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"/>
    </mc:Choice>
  </mc:AlternateContent>
  <xr:revisionPtr revIDLastSave="3800" documentId="8_{63233E60-0D35-4328-B615-FC236C0C069B}" xr6:coauthVersionLast="47" xr6:coauthVersionMax="47" xr10:uidLastSave="{0A7296DB-E973-404E-B64A-49D6150728CD}"/>
  <bookViews>
    <workbookView xWindow="-120" yWindow="-120" windowWidth="51840" windowHeight="21120" xr2:uid="{BC3F7CD7-E802-4A48-80AC-C7178F775197}"/>
  </bookViews>
  <sheets>
    <sheet name="Vision NG Metrics" sheetId="1" r:id="rId1"/>
    <sheet name="Complexity LOE Tracking" sheetId="5" r:id="rId2"/>
    <sheet name="Sheet2" sheetId="4" r:id="rId3"/>
    <sheet name="Sheet1" sheetId="2" r:id="rId4"/>
    <sheet name="Window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3" i="5"/>
  <c r="F4" i="5"/>
  <c r="F5" i="5"/>
  <c r="F6" i="5"/>
  <c r="F7" i="5"/>
  <c r="F8" i="5"/>
  <c r="F9" i="5"/>
  <c r="F10" i="5"/>
  <c r="F11" i="5"/>
  <c r="F12" i="5"/>
  <c r="F13" i="5"/>
  <c r="L13" i="5" s="1"/>
  <c r="F14" i="5"/>
  <c r="L14" i="5" s="1"/>
  <c r="F15" i="5"/>
  <c r="L15" i="5" s="1"/>
  <c r="F16" i="5"/>
  <c r="L16" i="5" s="1"/>
  <c r="F17" i="5"/>
  <c r="F18" i="5"/>
  <c r="F3" i="5"/>
  <c r="X5" i="5"/>
  <c r="X6" i="5"/>
  <c r="X7" i="5"/>
  <c r="Y7" i="5" s="1"/>
  <c r="X8" i="5"/>
  <c r="Y8" i="5" s="1"/>
  <c r="X9" i="5"/>
  <c r="Y9" i="5" s="1"/>
  <c r="X4" i="5"/>
  <c r="Y4" i="5" s="1"/>
  <c r="Y5" i="5"/>
  <c r="Y6" i="5"/>
  <c r="T5" i="5"/>
  <c r="U5" i="5" s="1"/>
  <c r="T6" i="5"/>
  <c r="U6" i="5" s="1"/>
  <c r="T7" i="5"/>
  <c r="U7" i="5" s="1"/>
  <c r="T8" i="5"/>
  <c r="U8" i="5" s="1"/>
  <c r="T9" i="5"/>
  <c r="U9" i="5" s="1"/>
  <c r="T4" i="5"/>
  <c r="U4" i="5" s="1"/>
  <c r="L12" i="5" l="1"/>
  <c r="L4" i="5"/>
  <c r="L11" i="5"/>
  <c r="L9" i="5"/>
  <c r="L8" i="5"/>
  <c r="L7" i="5"/>
  <c r="L5" i="5"/>
  <c r="L3" i="5"/>
  <c r="L10" i="5"/>
  <c r="L6" i="5"/>
  <c r="L18" i="5"/>
  <c r="L17" i="5"/>
  <c r="Z4" i="5"/>
  <c r="Z9" i="5"/>
  <c r="Z8" i="5"/>
  <c r="Z7" i="5"/>
  <c r="Z6" i="5"/>
  <c r="Z5" i="5"/>
  <c r="P4" i="1" l="1"/>
  <c r="P17" i="1"/>
</calcChain>
</file>

<file path=xl/sharedStrings.xml><?xml version="1.0" encoding="utf-8"?>
<sst xmlns="http://schemas.openxmlformats.org/spreadsheetml/2006/main" count="1021" uniqueCount="418">
  <si>
    <t>Stage 1 Date</t>
  </si>
  <si>
    <t>Sprint</t>
  </si>
  <si>
    <t>Window #</t>
  </si>
  <si>
    <t>VISAR</t>
  </si>
  <si>
    <t>Dev</t>
  </si>
  <si>
    <t>QA/
BSA</t>
  </si>
  <si>
    <t>Window Name</t>
  </si>
  <si>
    <t>Functional Grouping</t>
  </si>
  <si>
    <t>Latest Status</t>
  </si>
  <si>
    <t>Component Group</t>
  </si>
  <si>
    <t>Stage 1</t>
  </si>
  <si>
    <t>Stage 2</t>
  </si>
  <si>
    <t>Stage 3</t>
  </si>
  <si>
    <t>Stage 4</t>
  </si>
  <si>
    <t>Stage 5</t>
  </si>
  <si>
    <t>Total Dev Hrs</t>
  </si>
  <si>
    <t>Total QA 
Hours</t>
  </si>
  <si>
    <t>#QA Bug
Major</t>
  </si>
  <si>
    <t>#QA Bug Minor</t>
  </si>
  <si>
    <t xml:space="preserve">#QA Bug
Regression </t>
  </si>
  <si>
    <t>#QA Cycle</t>
  </si>
  <si>
    <t>Open Defects</t>
  </si>
  <si>
    <t>No Action Defects</t>
  </si>
  <si>
    <t>Resolved Defects</t>
  </si>
  <si>
    <t>QA Pass Date</t>
  </si>
  <si>
    <t>UAT Start Date</t>
  </si>
  <si>
    <t>Ready for Deployment</t>
  </si>
  <si>
    <t>Deployed</t>
  </si>
  <si>
    <t>Deploy Date</t>
  </si>
  <si>
    <t>Notes</t>
  </si>
  <si>
    <t>CANCELED</t>
  </si>
  <si>
    <t>VISAR-7333</t>
  </si>
  <si>
    <t>CN</t>
  </si>
  <si>
    <t>Officer Consolidate</t>
  </si>
  <si>
    <t>Low High</t>
  </si>
  <si>
    <t>BY</t>
  </si>
  <si>
    <t>Minutes - Generic Notice</t>
  </si>
  <si>
    <t>Deactivated</t>
  </si>
  <si>
    <t>Window deactivated 8/27</t>
  </si>
  <si>
    <t>VISAR-6499</t>
  </si>
  <si>
    <t>SM</t>
  </si>
  <si>
    <t>MU</t>
  </si>
  <si>
    <t>Purge Duplicates</t>
  </si>
  <si>
    <t>Low</t>
  </si>
  <si>
    <t>Deployed to Production</t>
  </si>
  <si>
    <t>F1</t>
  </si>
  <si>
    <t>Build 5.02</t>
  </si>
  <si>
    <t>VISAR-6190</t>
  </si>
  <si>
    <t>NV</t>
  </si>
  <si>
    <t>Code Entry</t>
  </si>
  <si>
    <t>Build 5.01</t>
  </si>
  <si>
    <t>VISAR-6450</t>
  </si>
  <si>
    <t>JL</t>
  </si>
  <si>
    <t>CodesXref Maintenance</t>
  </si>
  <si>
    <t>Medium</t>
  </si>
  <si>
    <t>Build 5.03</t>
  </si>
  <si>
    <t>VISAR-6274</t>
  </si>
  <si>
    <t>Court Control</t>
  </si>
  <si>
    <t>Pre-release</t>
  </si>
  <si>
    <t>VISAR-6167</t>
  </si>
  <si>
    <t>Error Code</t>
  </si>
  <si>
    <t>VISAR-6217</t>
  </si>
  <si>
    <t>Event Codes</t>
  </si>
  <si>
    <t>VISAR-6189</t>
  </si>
  <si>
    <t>Job Error Log</t>
  </si>
  <si>
    <t>VISAR-6254</t>
  </si>
  <si>
    <t>Parm Lookups</t>
  </si>
  <si>
    <t>VISAR-6848</t>
  </si>
  <si>
    <t>CL</t>
  </si>
  <si>
    <t>Sentence Workflow Maintanence</t>
  </si>
  <si>
    <t>Medium-High</t>
  </si>
  <si>
    <t>Y</t>
  </si>
  <si>
    <t>1.0</t>
  </si>
  <si>
    <t>VISAR-6316</t>
  </si>
  <si>
    <t>SP Registry</t>
  </si>
  <si>
    <t>Pre-release2</t>
  </si>
  <si>
    <t>VISAR-6168</t>
  </si>
  <si>
    <t>Bail Schedule</t>
  </si>
  <si>
    <t>Medium High</t>
  </si>
  <si>
    <t>Bail Schedule - Review</t>
  </si>
  <si>
    <t>VISAR-6474</t>
  </si>
  <si>
    <t>Violations</t>
  </si>
  <si>
    <t>VISAR-6475</t>
  </si>
  <si>
    <t>Courtroom Setup</t>
  </si>
  <si>
    <r>
      <rPr>
        <sz val="11"/>
        <color rgb="FFD0D0D0"/>
        <rFont val="Calibri"/>
        <family val="2"/>
      </rPr>
      <t xml:space="preserve">5/15/2026
</t>
    </r>
    <r>
      <rPr>
        <sz val="11"/>
        <color rgb="FF000000"/>
        <rFont val="Calibri"/>
        <family val="2"/>
      </rPr>
      <t>7/9/2026</t>
    </r>
  </si>
  <si>
    <t>VISAR-6544</t>
  </si>
  <si>
    <t>Violation Agency X-Ref</t>
  </si>
  <si>
    <t>VISAR-6797</t>
  </si>
  <si>
    <t xml:space="preserve">NV </t>
  </si>
  <si>
    <t>Case Payment History</t>
  </si>
  <si>
    <t>VISAR-6895</t>
  </si>
  <si>
    <t>Unlock Case</t>
  </si>
  <si>
    <t>sprint2</t>
  </si>
  <si>
    <t>VISAR-7188</t>
  </si>
  <si>
    <t>DC</t>
  </si>
  <si>
    <t>Exhibit List</t>
  </si>
  <si>
    <t>Low-Medium</t>
  </si>
  <si>
    <t>UAT Ready</t>
  </si>
  <si>
    <t>Exhibit List Case Search</t>
  </si>
  <si>
    <t>VISAR-7189</t>
  </si>
  <si>
    <t>Exhibit Maintenance</t>
  </si>
  <si>
    <t>High</t>
  </si>
  <si>
    <t>Deployment Ready</t>
  </si>
  <si>
    <t>New Exhibit Hearing LIst</t>
  </si>
  <si>
    <t>VISAR-7185</t>
  </si>
  <si>
    <t>Exhibit Management</t>
  </si>
  <si>
    <t>Window deactivated 09/14/26, Deploy into Prod for CT_DEVELOPER only.</t>
  </si>
  <si>
    <t>VISAR-7206</t>
  </si>
  <si>
    <t>Exhibit Management Search</t>
  </si>
  <si>
    <t>Exhibit History</t>
  </si>
  <si>
    <t>Exhibit Disposition Notice</t>
  </si>
  <si>
    <t>sprint1</t>
  </si>
  <si>
    <t>VISAR-7215</t>
  </si>
  <si>
    <t>JBSIS Maintenance</t>
  </si>
  <si>
    <t>VISAR-7012</t>
  </si>
  <si>
    <t xml:space="preserve">Priors </t>
  </si>
  <si>
    <t>VISAR-6315</t>
  </si>
  <si>
    <t>Minutes</t>
  </si>
  <si>
    <t>QA Cycle 4</t>
  </si>
  <si>
    <t>VISAR-6907</t>
  </si>
  <si>
    <t>CC</t>
  </si>
  <si>
    <t>FTBCOD Interface</t>
  </si>
  <si>
    <t>On Hold</t>
  </si>
  <si>
    <t>hold  L: drive</t>
  </si>
  <si>
    <t>FTBCOD Payment Processor</t>
  </si>
  <si>
    <t>VISAR-7296</t>
  </si>
  <si>
    <t>Agency X-Ref Maintenance</t>
  </si>
  <si>
    <t>QA Cycle 3</t>
  </si>
  <si>
    <t>VISAR-7311</t>
  </si>
  <si>
    <t>Court Holidays</t>
  </si>
  <si>
    <t>QA Cycle 1</t>
  </si>
  <si>
    <t>VISAR-7312</t>
  </si>
  <si>
    <t>JC</t>
  </si>
  <si>
    <t>Auto Process Schedule</t>
  </si>
  <si>
    <t>QA Cycle 2</t>
  </si>
  <si>
    <t>VISAR-7332</t>
  </si>
  <si>
    <t>Date of Action</t>
  </si>
  <si>
    <t>VISAR-7368</t>
  </si>
  <si>
    <t>Agency Codes</t>
  </si>
  <si>
    <t>internal window</t>
  </si>
  <si>
    <t>VISAR-7382</t>
  </si>
  <si>
    <t>Unit Codes</t>
  </si>
  <si>
    <t>Backlog</t>
  </si>
  <si>
    <t>VISAR-7388</t>
  </si>
  <si>
    <t>MOCS Docket Definition</t>
  </si>
  <si>
    <t>In Development</t>
  </si>
  <si>
    <t xml:space="preserve">hold </t>
  </si>
  <si>
    <t>VISAR-7418</t>
  </si>
  <si>
    <t>VISAR-7421</t>
  </si>
  <si>
    <t>Calendar Report</t>
  </si>
  <si>
    <t>VISAR-7422</t>
  </si>
  <si>
    <t>Calendar Batch Print</t>
  </si>
  <si>
    <t>VISAR-7423</t>
  </si>
  <si>
    <t>Web Browser of generated files</t>
  </si>
  <si>
    <t>Calendar Transfer</t>
  </si>
  <si>
    <t>VISAR-7419</t>
  </si>
  <si>
    <t>Calendar List</t>
  </si>
  <si>
    <t>VISAR-7420</t>
  </si>
  <si>
    <t>Post-Conviction Worksheet Report</t>
  </si>
  <si>
    <t>VISAR-7417</t>
  </si>
  <si>
    <t>Simple Search</t>
  </si>
  <si>
    <t>Advanced Search</t>
  </si>
  <si>
    <t>UI &amp; analysis</t>
  </si>
  <si>
    <t>Layout Creation</t>
  </si>
  <si>
    <t>AI migration/ Development</t>
  </si>
  <si>
    <t>Wiring up the layout with real data</t>
  </si>
  <si>
    <t>Unit Testing</t>
  </si>
  <si>
    <t>Testing</t>
  </si>
  <si>
    <t>QA Regression Fixing</t>
  </si>
  <si>
    <t>UAT Defects</t>
  </si>
  <si>
    <t>More fixing</t>
  </si>
  <si>
    <t>QA</t>
  </si>
  <si>
    <t>One datawindow section / updateable</t>
  </si>
  <si>
    <t>Formula</t>
  </si>
  <si>
    <t>Deployed Window</t>
  </si>
  <si>
    <t>Grouping</t>
  </si>
  <si>
    <t>LOE DEV</t>
  </si>
  <si>
    <t>LOE QA</t>
  </si>
  <si>
    <t>LOE TOTAL</t>
  </si>
  <si>
    <t>DEV Actual</t>
  </si>
  <si>
    <t>QA Actual</t>
  </si>
  <si>
    <t>TOTAL Actual</t>
  </si>
  <si>
    <t>DEV Delta</t>
  </si>
  <si>
    <t>QA Delta</t>
  </si>
  <si>
    <t>Total Delta</t>
  </si>
  <si>
    <t> </t>
  </si>
  <si>
    <t>DEV</t>
  </si>
  <si>
    <t>Category</t>
  </si>
  <si>
    <t>Analysis/Migration</t>
  </si>
  <si>
    <t>Defects Resolution</t>
  </si>
  <si>
    <t xml:space="preserve">DEV LOE </t>
  </si>
  <si>
    <t>DEV LOE Hours</t>
  </si>
  <si>
    <t>QA Testing</t>
  </si>
  <si>
    <t>Regression Testing</t>
  </si>
  <si>
    <t>BSA LOE</t>
  </si>
  <si>
    <t>BSA LOE Hours</t>
  </si>
  <si>
    <t>Total LOE Hours</t>
  </si>
  <si>
    <t>Under estimated</t>
  </si>
  <si>
    <t>Over Estimated</t>
  </si>
  <si>
    <t>Medium high</t>
  </si>
  <si>
    <t>Very High</t>
  </si>
  <si>
    <t>Window</t>
  </si>
  <si>
    <t>Nbr of hits / day</t>
  </si>
  <si>
    <t>Bail Schedule / Bail Schedule Review</t>
  </si>
  <si>
    <t>Bail Schedule Information/Response</t>
  </si>
  <si>
    <t>Bail Schedule History Report</t>
  </si>
  <si>
    <t>100 Hrs</t>
  </si>
  <si>
    <t>WINDOW LIST FOUND AT</t>
  </si>
  <si>
    <t>VISAR-4987 Vision NG - Grouping.xlsx</t>
  </si>
  <si>
    <t>SUB-MENU</t>
  </si>
  <si>
    <t>GROUPING</t>
  </si>
  <si>
    <t>MENU</t>
  </si>
  <si>
    <t>Activity Maintenance - NOT IN USE</t>
  </si>
  <si>
    <t>1 - ADMIN</t>
  </si>
  <si>
    <t>Date of Action Maintenance</t>
  </si>
  <si>
    <t>Excel Batch Processing</t>
  </si>
  <si>
    <t>Maintenance Request - NOT IN USE</t>
  </si>
  <si>
    <t>Maintenance Request Qry - NOT IN USE</t>
  </si>
  <si>
    <t>Name Maintenance - NOT IN USE</t>
  </si>
  <si>
    <t>Deactivated 09/04/2026</t>
  </si>
  <si>
    <t>Person Delete</t>
  </si>
  <si>
    <t>Purge Duplicate Filings</t>
  </si>
  <si>
    <t>Task Maintenance - NOT IN USE</t>
  </si>
  <si>
    <t>Vlan IP ranges</t>
  </si>
  <si>
    <t>Appeal Maintenance - NOT IN USE</t>
  </si>
  <si>
    <t>2 - APPEALS</t>
  </si>
  <si>
    <t>Appeal Summary - NOT IN USE</t>
  </si>
  <si>
    <t>Case Documents - NOT IN USE</t>
  </si>
  <si>
    <t>3 - CALENDARING</t>
  </si>
  <si>
    <t>Calendar Transfer Notices</t>
  </si>
  <si>
    <t>Court Closure Transfer</t>
  </si>
  <si>
    <t>Court Trial Transfer</t>
  </si>
  <si>
    <t>Notice of Packaged Hearings</t>
  </si>
  <si>
    <t>Bail Maintenance</t>
  </si>
  <si>
    <t>4 - CASE</t>
  </si>
  <si>
    <t>Case Backup and Restore</t>
  </si>
  <si>
    <t>Case Maintenance</t>
  </si>
  <si>
    <t>Case Summary</t>
  </si>
  <si>
    <t>Case Transfer</t>
  </si>
  <si>
    <t>Citation Batches / Batch Entry</t>
  </si>
  <si>
    <t>Citation Entry</t>
  </si>
  <si>
    <t>DMV Case Backup/Restore - NOT IN USE</t>
  </si>
  <si>
    <t>Image Viewer</t>
  </si>
  <si>
    <t>LEA Interface</t>
  </si>
  <si>
    <t>Mass Case/Calendar Copy</t>
  </si>
  <si>
    <t>MCS Interface</t>
  </si>
  <si>
    <t>Missing Complaint</t>
  </si>
  <si>
    <t>NCIC Case Initiation</t>
  </si>
  <si>
    <t>Priors</t>
  </si>
  <si>
    <t>Amnesty</t>
  </si>
  <si>
    <t>5 - COLLECTIONS</t>
  </si>
  <si>
    <t>Assign Account - NOT IN USE</t>
  </si>
  <si>
    <t>Campaign Maintenance</t>
  </si>
  <si>
    <t>Collections</t>
  </si>
  <si>
    <t>Collections Campaign Queue</t>
  </si>
  <si>
    <t>Collections Person Interface</t>
  </si>
  <si>
    <t>Collections Work Queue</t>
  </si>
  <si>
    <t>Collector Maintenance</t>
  </si>
  <si>
    <t>Financial Evaluation</t>
  </si>
  <si>
    <t>FTBTI Interface</t>
  </si>
  <si>
    <t>FTBTI Payment Processor</t>
  </si>
  <si>
    <t>OCV Payment Processor</t>
  </si>
  <si>
    <t>OCV Return</t>
  </si>
  <si>
    <t>Activity Augmentation - NOT IN USE</t>
  </si>
  <si>
    <t>6 - CONVERSION</t>
  </si>
  <si>
    <t>Bail Sched Mnt - NOT IN USE</t>
  </si>
  <si>
    <t>Case Augmentation - NOT IN USE</t>
  </si>
  <si>
    <t>Case Status Maintenance - NOT IN USE</t>
  </si>
  <si>
    <t>Code Entries XWalk - NOT IN USE</t>
  </si>
  <si>
    <t>Conversion Reports - NOT IN USE</t>
  </si>
  <si>
    <t>DMV Augmentation - NOT IN USE</t>
  </si>
  <si>
    <t>Generic Code XWalk - NOT IN USE</t>
  </si>
  <si>
    <t>Generic Event ROC Xwalk - NOT IN USE</t>
  </si>
  <si>
    <t>Missing Complaint Augmentation - NOT IN USE</t>
  </si>
  <si>
    <t>Person Augmentation - NOT IN USE</t>
  </si>
  <si>
    <t>Sentence Augmentation - NOT IN USE</t>
  </si>
  <si>
    <t>Agency Payment</t>
  </si>
  <si>
    <t>7 - COUNTER</t>
  </si>
  <si>
    <t>Cash Bail Notice (formerly Bail Bond Notice)</t>
  </si>
  <si>
    <t>Bail Entry</t>
  </si>
  <si>
    <t>Batch Payment Entry</t>
  </si>
  <si>
    <t>Cashier Reconciliation</t>
  </si>
  <si>
    <t>Counter Payment</t>
  </si>
  <si>
    <t>Multi-Case Payment</t>
  </si>
  <si>
    <t>Non-Case Payment</t>
  </si>
  <si>
    <t>Open Cashier Session</t>
  </si>
  <si>
    <t>TS Completion</t>
  </si>
  <si>
    <t>Victim Restitution Notice</t>
  </si>
  <si>
    <t>Admin Minutes Entry</t>
  </si>
  <si>
    <t>8 - COURTROOM</t>
  </si>
  <si>
    <t>Courtroom</t>
  </si>
  <si>
    <t>Generic Notice Reporting (Minutes)</t>
  </si>
  <si>
    <t>MOCS</t>
  </si>
  <si>
    <t>9 - EXHIBITS</t>
  </si>
  <si>
    <t>Added</t>
  </si>
  <si>
    <t>10 - FISCAL</t>
  </si>
  <si>
    <t>Case Distribution Override</t>
  </si>
  <si>
    <t>Check Approval</t>
  </si>
  <si>
    <t>Check Maintenance</t>
  </si>
  <si>
    <t>Fiscal Case Analysis</t>
  </si>
  <si>
    <t>Fiscal Reports</t>
  </si>
  <si>
    <t>Misapplications/Voids</t>
  </si>
  <si>
    <t>Reapply Payment</t>
  </si>
  <si>
    <t>Reversals</t>
  </si>
  <si>
    <t>Satellite Payment Approval - NOT IN USE</t>
  </si>
  <si>
    <t>Victim Restitution Approval</t>
  </si>
  <si>
    <t>Summary Judgment</t>
  </si>
  <si>
    <t>Bail Distribution Schedule</t>
  </si>
  <si>
    <t>11 - FISCAL MAINTENANCE</t>
  </si>
  <si>
    <t>Base Distribution Xref</t>
  </si>
  <si>
    <t>Bondsman / Surety</t>
  </si>
  <si>
    <t>Chart of Accounts</t>
  </si>
  <si>
    <t>Cost of Collections</t>
  </si>
  <si>
    <t>Fee Distribution Schedule</t>
  </si>
  <si>
    <t>Fund Maintenance</t>
  </si>
  <si>
    <t>PA Distribution Mass Update - NOT IN USE</t>
  </si>
  <si>
    <t>PA Distribution Schedule</t>
  </si>
  <si>
    <t>PA Distribution Xref</t>
  </si>
  <si>
    <t>Special Distribution Schedule</t>
  </si>
  <si>
    <t>VR Distribution Schedule</t>
  </si>
  <si>
    <t>ATP Dashboard</t>
  </si>
  <si>
    <t>12 - INTERFACES</t>
  </si>
  <si>
    <t>Check 21 - Collections - NOT IN USE</t>
  </si>
  <si>
    <t>Check 21 - Operations - NOT IN USE</t>
  </si>
  <si>
    <t>Check Auditor/Controller</t>
  </si>
  <si>
    <t>DMV Abstract on Demand</t>
  </si>
  <si>
    <t>DMV Admin Transactions</t>
  </si>
  <si>
    <t>DMV Error Cases Report</t>
  </si>
  <si>
    <t>DMV Error Maintenance</t>
  </si>
  <si>
    <t>DMV Prior Missing Report</t>
  </si>
  <si>
    <t>DOJ Data Validation - NOT IN USE</t>
  </si>
  <si>
    <t>DOJ Interface</t>
  </si>
  <si>
    <t>JMS Dashboard</t>
  </si>
  <si>
    <t>Mail Machine Interface - Collections - NOT IN USE</t>
  </si>
  <si>
    <t>Mail Machine Interface - Operations - NOT IN USE</t>
  </si>
  <si>
    <t>OneOC - Clerk Review Module</t>
  </si>
  <si>
    <t>JBSIS Audit Report</t>
  </si>
  <si>
    <t>13 - JBSIS</t>
  </si>
  <si>
    <t>JBSIS Report Defn.</t>
  </si>
  <si>
    <t>JBSIS Reporting</t>
  </si>
  <si>
    <t>BR/SP Assoc - NOT IN USE</t>
  </si>
  <si>
    <t>14 - MOCS MAINTENANCE</t>
  </si>
  <si>
    <t>Case Characteristics - NOT IN USE</t>
  </si>
  <si>
    <t>Courtroom Setup - NOT IN USE</t>
  </si>
  <si>
    <t>Docket Definition - NOT IN USE</t>
  </si>
  <si>
    <t>SP Registry - NOT IN USE</t>
  </si>
  <si>
    <t>WorkFlow/Groups/Scenarios - NOT IN USE</t>
  </si>
  <si>
    <t>Attorney Maintenance</t>
  </si>
  <si>
    <t>15 - PERSON</t>
  </si>
  <si>
    <t>Interpreters Maintenance</t>
  </si>
  <si>
    <t>Multi-Person Maintenance</t>
  </si>
  <si>
    <t>Person Link/Unlink</t>
  </si>
  <si>
    <t>Person Maintenance</t>
  </si>
  <si>
    <t>Person Unlink - NOT IN USE</t>
  </si>
  <si>
    <t>Professional Consolidation</t>
  </si>
  <si>
    <t>Professional Maintenance</t>
  </si>
  <si>
    <t>Sealed Access</t>
  </si>
  <si>
    <t>Batch Purge</t>
  </si>
  <si>
    <t>16 - RECORDS</t>
  </si>
  <si>
    <t>Calendar File Location</t>
  </si>
  <si>
    <t>Case File Purge</t>
  </si>
  <si>
    <t>File Location</t>
  </si>
  <si>
    <t>File Request</t>
  </si>
  <si>
    <t>File Request Inquiry</t>
  </si>
  <si>
    <t>File Request Maintenance</t>
  </si>
  <si>
    <t>Image dummy pdf viewer - NOT IN USE</t>
  </si>
  <si>
    <t>Image Maintenance</t>
  </si>
  <si>
    <t>Location History</t>
  </si>
  <si>
    <t>Metadata Sync Error Report - NOT IN USE</t>
  </si>
  <si>
    <t>Missing Complaints Purge</t>
  </si>
  <si>
    <t>File Import - NOT IN USE</t>
  </si>
  <si>
    <t>17 - REPORTS</t>
  </si>
  <si>
    <t>Monthly Funding Report</t>
  </si>
  <si>
    <t>Reports</t>
  </si>
  <si>
    <t>State Prison Abstracts</t>
  </si>
  <si>
    <t>Special Schedule</t>
  </si>
  <si>
    <t>18 - SCHEDULE MAINTENANCE</t>
  </si>
  <si>
    <t>Speed Schedule</t>
  </si>
  <si>
    <t>Speed Schedule 2</t>
  </si>
  <si>
    <t>Advanced Menu Manager</t>
  </si>
  <si>
    <t>19 - SECURITY</t>
  </si>
  <si>
    <t>Basic Menu Manager</t>
  </si>
  <si>
    <t>Broadcast Message - NOT IN USE</t>
  </si>
  <si>
    <t>Data Search - NOT IN USE</t>
  </si>
  <si>
    <t>Menu Admin</t>
  </si>
  <si>
    <t>Password Reset - NOT IN USE</t>
  </si>
  <si>
    <t>SCSWEB Security Admin - NOT IN USE</t>
  </si>
  <si>
    <t>Security Admin</t>
  </si>
  <si>
    <t>20 - TABLES</t>
  </si>
  <si>
    <t>Agency Location X-Ref Maintenance - NOT IN USE</t>
  </si>
  <si>
    <t>Bail Schedule Review</t>
  </si>
  <si>
    <t>Calendar Plan Maintenance</t>
  </si>
  <si>
    <t>Code Mover</t>
  </si>
  <si>
    <t>Codes (Code Entry)</t>
  </si>
  <si>
    <t>Codes X-Ref Maintenance</t>
  </si>
  <si>
    <t>Development Log - NOT IN USE</t>
  </si>
  <si>
    <t>Docket Code Macro Configuration</t>
  </si>
  <si>
    <t>Docket Code Macro Maintenance</t>
  </si>
  <si>
    <t>Docket Code Macro Mover</t>
  </si>
  <si>
    <t>Docket Code Maintenance</t>
  </si>
  <si>
    <t>Docket Code Reference</t>
  </si>
  <si>
    <t>Error Codes</t>
  </si>
  <si>
    <t>Fee Schedule</t>
  </si>
  <si>
    <t>Generic Notice Maintenance</t>
  </si>
  <si>
    <t>Letter Maintenance</t>
  </si>
  <si>
    <t>PA Schedule Maintenance</t>
  </si>
  <si>
    <t>RACD night court dates - NOT IN USE</t>
  </si>
  <si>
    <t>Sentence Workflow Maintenance</t>
  </si>
  <si>
    <t>Warrant Control Maintenance - NOT IN USE</t>
  </si>
  <si>
    <t>File Mappings</t>
  </si>
  <si>
    <t>Appeal Activity Maintenance</t>
  </si>
  <si>
    <t>Pending Warrant Review</t>
  </si>
  <si>
    <t>21 - WARRANTS</t>
  </si>
  <si>
    <t>Warrant Image Viewer (CTS)</t>
  </si>
  <si>
    <t>Warrant Maintenance</t>
  </si>
  <si>
    <t>Warrant Maintenance (CTS) (Warrant Signal Audit)</t>
  </si>
  <si>
    <t>Warrant Reports</t>
  </si>
  <si>
    <t>Warrant XML Viewer (CTS)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</si>
</sst>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22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Calibri"/>
      <family val="2"/>
    </font>
    <font>
      <sz val="11"/>
      <color theme="2" tint="-9.9978637043366805E-2"/>
      <name val="Calibri"/>
      <family val="2"/>
    </font>
    <font>
      <sz val="11"/>
      <color rgb="FFD0D0D0"/>
      <name val="Calibri"/>
      <family val="2"/>
    </font>
    <font>
      <sz val="11"/>
      <color rgb="FF242424"/>
      <name val="Calibri"/>
      <family val="2"/>
    </font>
    <font>
      <sz val="11"/>
      <color theme="0"/>
      <name val="Calibri"/>
      <family val="2"/>
    </font>
    <font>
      <sz val="11"/>
      <color rgb="FF242424"/>
      <name val="Aptos Narrow"/>
      <family val="2"/>
    </font>
    <font>
      <sz val="11"/>
      <color rgb="FF006100"/>
      <name val="Aptos Narrow"/>
      <family val="2"/>
      <scheme val="minor"/>
    </font>
    <font>
      <sz val="8"/>
      <name val="Calibri"/>
      <family val="2"/>
    </font>
    <font>
      <sz val="11"/>
      <color theme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/>
      <diagonal/>
    </border>
  </borders>
  <cellStyleXfs count="7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5" fillId="0" borderId="0"/>
    <xf numFmtId="0" fontId="13" fillId="0" borderId="0" applyNumberFormat="0" applyFill="0" applyBorder="0" applyAlignment="0" applyProtection="0"/>
    <xf numFmtId="0" fontId="19" fillId="19" borderId="0" applyNumberFormat="0" applyBorder="0" applyAlignment="0" applyProtection="0"/>
  </cellStyleXfs>
  <cellXfs count="172">
    <xf numFmtId="0" fontId="0" fillId="0" borderId="0" xfId="0"/>
    <xf numFmtId="0" fontId="0" fillId="0" borderId="1" xfId="0" applyBorder="1"/>
    <xf numFmtId="0" fontId="0" fillId="0" borderId="3" xfId="0" applyBorder="1"/>
    <xf numFmtId="0" fontId="0" fillId="5" borderId="3" xfId="0" applyFill="1" applyBorder="1"/>
    <xf numFmtId="0" fontId="0" fillId="6" borderId="3" xfId="0" applyFill="1" applyBorder="1"/>
    <xf numFmtId="0" fontId="9" fillId="7" borderId="4" xfId="1" applyFont="1" applyFill="1" applyBorder="1"/>
    <xf numFmtId="0" fontId="6" fillId="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horizontal="center" vertical="center"/>
    </xf>
    <xf numFmtId="0" fontId="9" fillId="0" borderId="4" xfId="1" applyFont="1" applyBorder="1"/>
    <xf numFmtId="0" fontId="8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49" fontId="0" fillId="0" borderId="3" xfId="0" applyNumberFormat="1" applyBorder="1"/>
    <xf numFmtId="49" fontId="0" fillId="0" borderId="3" xfId="0" applyNumberFormat="1" applyBorder="1" applyAlignment="1">
      <alignment horizontal="center"/>
    </xf>
    <xf numFmtId="0" fontId="9" fillId="8" borderId="4" xfId="1" applyFont="1" applyFill="1" applyBorder="1"/>
    <xf numFmtId="0" fontId="6" fillId="8" borderId="3" xfId="0" applyFont="1" applyFill="1" applyBorder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0" fontId="6" fillId="7" borderId="3" xfId="0" applyFont="1" applyFill="1" applyBorder="1"/>
    <xf numFmtId="0" fontId="6" fillId="7" borderId="3" xfId="0" applyFont="1" applyFill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9" fillId="9" borderId="4" xfId="1" applyFont="1" applyFill="1" applyBorder="1"/>
    <xf numFmtId="0" fontId="6" fillId="9" borderId="3" xfId="0" applyFont="1" applyFill="1" applyBorder="1"/>
    <xf numFmtId="0" fontId="6" fillId="9" borderId="3" xfId="0" applyFont="1" applyFill="1" applyBorder="1" applyAlignment="1">
      <alignment horizontal="center"/>
    </xf>
    <xf numFmtId="0" fontId="6" fillId="8" borderId="3" xfId="0" applyFont="1" applyFill="1" applyBorder="1"/>
    <xf numFmtId="0" fontId="6" fillId="8" borderId="3" xfId="0" applyFont="1" applyFill="1" applyBorder="1" applyAlignment="1">
      <alignment horizontal="center"/>
    </xf>
    <xf numFmtId="0" fontId="9" fillId="7" borderId="3" xfId="0" applyFont="1" applyFill="1" applyBorder="1"/>
    <xf numFmtId="0" fontId="9" fillId="7" borderId="3" xfId="0" applyFont="1" applyFill="1" applyBorder="1" applyAlignment="1">
      <alignment horizontal="center"/>
    </xf>
    <xf numFmtId="0" fontId="8" fillId="0" borderId="3" xfId="0" applyFont="1" applyBorder="1"/>
    <xf numFmtId="0" fontId="7" fillId="10" borderId="0" xfId="0" applyFont="1" applyFill="1"/>
    <xf numFmtId="0" fontId="0" fillId="0" borderId="2" xfId="0" applyBorder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3" fillId="0" borderId="0" xfId="5"/>
    <xf numFmtId="0" fontId="10" fillId="0" borderId="3" xfId="0" applyFont="1" applyBorder="1" applyAlignment="1">
      <alignment vertical="center"/>
    </xf>
    <xf numFmtId="0" fontId="1" fillId="16" borderId="3" xfId="0" applyFon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7" fillId="10" borderId="6" xfId="0" applyFont="1" applyFill="1" applyBorder="1"/>
    <xf numFmtId="0" fontId="6" fillId="7" borderId="6" xfId="0" applyFont="1" applyFill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8" borderId="6" xfId="0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  <xf numFmtId="0" fontId="6" fillId="9" borderId="6" xfId="0" applyFont="1" applyFill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7" borderId="7" xfId="0" applyFont="1" applyFill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8" borderId="7" xfId="0" applyFont="1" applyFill="1" applyBorder="1" applyAlignment="1">
      <alignment horizontal="left" vertical="top"/>
    </xf>
    <xf numFmtId="0" fontId="6" fillId="7" borderId="7" xfId="0" applyFont="1" applyFill="1" applyBorder="1" applyAlignment="1">
      <alignment horizontal="left" vertical="top" wrapText="1"/>
    </xf>
    <xf numFmtId="0" fontId="6" fillId="9" borderId="7" xfId="0" applyFont="1" applyFill="1" applyBorder="1" applyAlignment="1">
      <alignment horizontal="left" vertical="top"/>
    </xf>
    <xf numFmtId="0" fontId="6" fillId="0" borderId="7" xfId="0" applyFont="1" applyBorder="1" applyAlignment="1">
      <alignment horizontal="left" vertical="top" wrapText="1"/>
    </xf>
    <xf numFmtId="0" fontId="1" fillId="0" borderId="0" xfId="0" applyFont="1"/>
    <xf numFmtId="0" fontId="0" fillId="0" borderId="6" xfId="0" applyBorder="1"/>
    <xf numFmtId="0" fontId="9" fillId="0" borderId="6" xfId="0" applyFont="1" applyBorder="1"/>
    <xf numFmtId="0" fontId="10" fillId="0" borderId="6" xfId="0" applyFont="1" applyBorder="1"/>
    <xf numFmtId="14" fontId="10" fillId="0" borderId="6" xfId="0" applyNumberFormat="1" applyFont="1" applyBorder="1"/>
    <xf numFmtId="0" fontId="1" fillId="2" borderId="6" xfId="0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13" borderId="0" xfId="0" applyFont="1" applyFill="1"/>
    <xf numFmtId="0" fontId="0" fillId="13" borderId="0" xfId="0" applyFill="1"/>
    <xf numFmtId="0" fontId="10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" fillId="20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4" fillId="4" borderId="0" xfId="3"/>
    <xf numFmtId="0" fontId="19" fillId="19" borderId="0" xfId="6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" fillId="0" borderId="6" xfId="0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4" applyFont="1" applyBorder="1" applyAlignment="1">
      <alignment vertical="top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49" fontId="1" fillId="11" borderId="5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3" borderId="5" xfId="0" applyNumberFormat="1" applyFont="1" applyFill="1" applyBorder="1" applyAlignment="1">
      <alignment horizontal="center" vertical="center" wrapText="1"/>
    </xf>
    <xf numFmtId="164" fontId="1" fillId="13" borderId="5" xfId="0" applyNumberFormat="1" applyFont="1" applyFill="1" applyBorder="1" applyAlignment="1">
      <alignment horizontal="center" vertical="center" wrapText="1"/>
    </xf>
    <xf numFmtId="164" fontId="1" fillId="11" borderId="5" xfId="0" applyNumberFormat="1" applyFont="1" applyFill="1" applyBorder="1" applyAlignment="1">
      <alignment horizontal="center" vertical="center"/>
    </xf>
    <xf numFmtId="164" fontId="1" fillId="11" borderId="5" xfId="0" applyNumberFormat="1" applyFont="1" applyFill="1" applyBorder="1" applyAlignment="1">
      <alignment horizontal="left" vertical="center"/>
    </xf>
    <xf numFmtId="164" fontId="17" fillId="17" borderId="1" xfId="0" applyNumberFormat="1" applyFont="1" applyFill="1" applyBorder="1" applyAlignment="1">
      <alignment horizontal="center" vertical="top"/>
    </xf>
    <xf numFmtId="0" fontId="17" fillId="17" borderId="1" xfId="0" applyFont="1" applyFill="1" applyBorder="1" applyAlignment="1">
      <alignment horizontal="center" vertical="top"/>
    </xf>
    <xf numFmtId="0" fontId="17" fillId="17" borderId="1" xfId="0" applyFont="1" applyFill="1" applyBorder="1" applyAlignment="1">
      <alignment vertical="top"/>
    </xf>
    <xf numFmtId="0" fontId="17" fillId="17" borderId="1" xfId="5" applyFont="1" applyFill="1" applyBorder="1" applyAlignment="1">
      <alignment horizontal="center" vertical="top"/>
    </xf>
    <xf numFmtId="49" fontId="17" fillId="17" borderId="1" xfId="0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9" fillId="11" borderId="1" xfId="0" applyFont="1" applyFill="1" applyBorder="1" applyAlignment="1">
      <alignment vertical="top"/>
    </xf>
    <xf numFmtId="0" fontId="10" fillId="11" borderId="1" xfId="0" applyFont="1" applyFill="1" applyBorder="1" applyAlignment="1">
      <alignment vertical="top"/>
    </xf>
    <xf numFmtId="14" fontId="8" fillId="11" borderId="1" xfId="0" applyNumberFormat="1" applyFont="1" applyFill="1" applyBorder="1" applyAlignment="1">
      <alignment horizontal="center" vertical="top"/>
    </xf>
    <xf numFmtId="14" fontId="0" fillId="11" borderId="1" xfId="0" applyNumberFormat="1" applyFill="1" applyBorder="1" applyAlignment="1">
      <alignment horizontal="center" vertical="top"/>
    </xf>
    <xf numFmtId="49" fontId="5" fillId="11" borderId="1" xfId="4" applyNumberFormat="1" applyFill="1" applyBorder="1" applyAlignment="1">
      <alignment vertical="top"/>
    </xf>
    <xf numFmtId="164" fontId="10" fillId="11" borderId="1" xfId="0" applyNumberFormat="1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center" vertical="top"/>
    </xf>
    <xf numFmtId="14" fontId="10" fillId="11" borderId="1" xfId="0" applyNumberFormat="1" applyFont="1" applyFill="1" applyBorder="1" applyAlignment="1">
      <alignment horizontal="center" vertical="top"/>
    </xf>
    <xf numFmtId="49" fontId="10" fillId="11" borderId="1" xfId="0" applyNumberFormat="1" applyFont="1" applyFill="1" applyBorder="1" applyAlignment="1">
      <alignment horizontal="left" vertical="top"/>
    </xf>
    <xf numFmtId="49" fontId="12" fillId="11" borderId="1" xfId="4" applyNumberFormat="1" applyFont="1" applyFill="1" applyBorder="1" applyAlignment="1">
      <alignment vertical="top"/>
    </xf>
    <xf numFmtId="164" fontId="14" fillId="11" borderId="1" xfId="0" applyNumberFormat="1" applyFont="1" applyFill="1" applyBorder="1" applyAlignment="1">
      <alignment horizontal="center" vertical="top" wrapText="1"/>
    </xf>
    <xf numFmtId="164" fontId="9" fillId="11" borderId="1" xfId="0" applyNumberFormat="1" applyFont="1" applyFill="1" applyBorder="1" applyAlignment="1">
      <alignment horizontal="center" vertical="top" wrapText="1"/>
    </xf>
    <xf numFmtId="14" fontId="10" fillId="11" borderId="1" xfId="0" applyNumberFormat="1" applyFont="1" applyFill="1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13" borderId="1" xfId="0" applyFill="1" applyBorder="1" applyAlignment="1">
      <alignment vertical="top"/>
    </xf>
    <xf numFmtId="164" fontId="9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49" fontId="0" fillId="0" borderId="1" xfId="0" applyNumberFormat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0" fontId="0" fillId="12" borderId="1" xfId="0" applyFill="1" applyBorder="1" applyAlignment="1">
      <alignment vertical="top"/>
    </xf>
    <xf numFmtId="0" fontId="9" fillId="0" borderId="1" xfId="0" applyFont="1" applyBorder="1" applyAlignment="1">
      <alignment vertical="top"/>
    </xf>
    <xf numFmtId="14" fontId="9" fillId="0" borderId="1" xfId="0" applyNumberFormat="1" applyFont="1" applyBorder="1" applyAlignment="1">
      <alignment horizontal="center" vertical="top"/>
    </xf>
    <xf numFmtId="0" fontId="9" fillId="13" borderId="1" xfId="0" applyFont="1" applyFill="1" applyBorder="1" applyAlignment="1">
      <alignment vertical="top"/>
    </xf>
    <xf numFmtId="49" fontId="9" fillId="0" borderId="1" xfId="0" applyNumberFormat="1" applyFont="1" applyBorder="1" applyAlignment="1">
      <alignment horizontal="left" vertical="top"/>
    </xf>
    <xf numFmtId="0" fontId="9" fillId="1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15" borderId="1" xfId="0" applyFill="1" applyBorder="1" applyAlignment="1">
      <alignment vertical="top"/>
    </xf>
    <xf numFmtId="0" fontId="8" fillId="15" borderId="1" xfId="0" applyFont="1" applyFill="1" applyBorder="1" applyAlignment="1">
      <alignment vertical="top"/>
    </xf>
    <xf numFmtId="0" fontId="0" fillId="0" borderId="1" xfId="0" applyBorder="1" applyAlignment="1">
      <alignment horizontal="right" vertical="top"/>
    </xf>
    <xf numFmtId="0" fontId="0" fillId="14" borderId="1" xfId="0" applyFill="1" applyBorder="1" applyAlignment="1">
      <alignment vertical="top"/>
    </xf>
    <xf numFmtId="0" fontId="0" fillId="3" borderId="1" xfId="0" applyFill="1" applyBorder="1" applyAlignment="1">
      <alignment horizontal="left" vertical="top" wrapText="1"/>
    </xf>
    <xf numFmtId="0" fontId="0" fillId="18" borderId="1" xfId="0" applyFill="1" applyBorder="1" applyAlignment="1">
      <alignment vertical="top"/>
    </xf>
    <xf numFmtId="0" fontId="18" fillId="18" borderId="1" xfId="0" applyFont="1" applyFill="1" applyBorder="1" applyAlignment="1">
      <alignment vertical="top"/>
    </xf>
    <xf numFmtId="0" fontId="13" fillId="0" borderId="1" xfId="5" applyBorder="1" applyAlignment="1">
      <alignment horizontal="center" vertical="top"/>
    </xf>
    <xf numFmtId="0" fontId="13" fillId="0" borderId="1" xfId="5" applyBorder="1" applyAlignment="1">
      <alignment vertical="top"/>
    </xf>
    <xf numFmtId="0" fontId="9" fillId="18" borderId="1" xfId="1" applyFont="1" applyFill="1" applyBorder="1" applyAlignment="1">
      <alignment horizontal="left" vertical="top"/>
    </xf>
    <xf numFmtId="0" fontId="9" fillId="18" borderId="1" xfId="4" applyFont="1" applyFill="1" applyBorder="1" applyAlignment="1">
      <alignment horizontal="left" vertical="top" wrapText="1"/>
    </xf>
    <xf numFmtId="0" fontId="21" fillId="0" borderId="1" xfId="5" applyFont="1" applyBorder="1" applyAlignment="1">
      <alignment horizontal="left" vertical="top"/>
    </xf>
    <xf numFmtId="0" fontId="16" fillId="13" borderId="1" xfId="0" applyFont="1" applyFill="1" applyBorder="1" applyAlignment="1">
      <alignment vertical="top"/>
    </xf>
    <xf numFmtId="49" fontId="5" fillId="0" borderId="6" xfId="4" applyNumberFormat="1" applyBorder="1"/>
    <xf numFmtId="49" fontId="12" fillId="0" borderId="6" xfId="4" applyNumberFormat="1" applyFont="1" applyBorder="1"/>
    <xf numFmtId="0" fontId="0" fillId="0" borderId="0" xfId="0"/>
    <xf numFmtId="0" fontId="0" fillId="11" borderId="1" xfId="0" applyFill="1" applyBorder="1" applyAlignment="1">
      <alignment horizontal="right" vertical="top"/>
    </xf>
    <xf numFmtId="0" fontId="21" fillId="11" borderId="1" xfId="5" applyFont="1" applyFill="1" applyBorder="1" applyAlignment="1">
      <alignment horizontal="center" vertical="top"/>
    </xf>
    <xf numFmtId="164" fontId="0" fillId="11" borderId="1" xfId="0" applyNumberFormat="1" applyFill="1" applyBorder="1" applyAlignment="1">
      <alignment horizontal="center" vertical="top"/>
    </xf>
    <xf numFmtId="0" fontId="0" fillId="11" borderId="1" xfId="0" applyFill="1" applyBorder="1" applyAlignment="1">
      <alignment vertical="top"/>
    </xf>
    <xf numFmtId="49" fontId="0" fillId="11" borderId="1" xfId="0" applyNumberFormat="1" applyFill="1" applyBorder="1" applyAlignment="1">
      <alignment horizontal="left" vertical="top"/>
    </xf>
    <xf numFmtId="164" fontId="9" fillId="11" borderId="1" xfId="0" applyNumberFormat="1" applyFont="1" applyFill="1" applyBorder="1" applyAlignment="1">
      <alignment horizontal="center" vertical="top"/>
    </xf>
    <xf numFmtId="0" fontId="21" fillId="0" borderId="1" xfId="5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0" fontId="9" fillId="0" borderId="1" xfId="5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center"/>
    </xf>
    <xf numFmtId="164" fontId="0" fillId="0" borderId="1" xfId="0" applyNumberFormat="1" applyBorder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21" fillId="0" borderId="1" xfId="5" applyFont="1" applyFill="1" applyBorder="1" applyAlignment="1">
      <alignment horizontal="center" vertical="top"/>
    </xf>
    <xf numFmtId="164" fontId="0" fillId="11" borderId="1" xfId="0" applyNumberForma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left" vertical="top"/>
    </xf>
    <xf numFmtId="0" fontId="9" fillId="0" borderId="1" xfId="5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21" fillId="0" borderId="1" xfId="5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0" fillId="11" borderId="1" xfId="0" applyFill="1" applyBorder="1" applyAlignment="1">
      <alignment horizontal="right" vertical="top"/>
    </xf>
    <xf numFmtId="0" fontId="0" fillId="11" borderId="1" xfId="0" applyFill="1" applyBorder="1" applyAlignment="1">
      <alignment vertical="top"/>
    </xf>
    <xf numFmtId="0" fontId="21" fillId="11" borderId="1" xfId="5" applyFont="1" applyFill="1" applyBorder="1" applyAlignment="1">
      <alignment horizontal="center" vertical="top"/>
    </xf>
    <xf numFmtId="49" fontId="0" fillId="11" borderId="1" xfId="0" applyNumberFormat="1" applyFill="1" applyBorder="1" applyAlignment="1">
      <alignment horizontal="left" vertical="top"/>
    </xf>
    <xf numFmtId="164" fontId="9" fillId="11" borderId="1" xfId="0" applyNumberFormat="1" applyFont="1" applyFill="1" applyBorder="1" applyAlignment="1">
      <alignment horizontal="center" vertical="top"/>
    </xf>
    <xf numFmtId="0" fontId="0" fillId="0" borderId="0" xfId="0" applyAlignment="1"/>
    <xf numFmtId="0" fontId="0" fillId="0" borderId="3" xfId="0" applyBorder="1" applyAlignment="1">
      <alignment horizontal="center"/>
    </xf>
    <xf numFmtId="0" fontId="8" fillId="11" borderId="1" xfId="0" applyFont="1" applyFill="1" applyBorder="1" applyAlignment="1">
      <alignment vertical="top"/>
    </xf>
  </cellXfs>
  <cellStyles count="7">
    <cellStyle name="Bad 2" xfId="3" xr:uid="{DA2511F7-2E46-4CC8-854C-800DF2750039}"/>
    <cellStyle name="Good" xfId="6" builtinId="26"/>
    <cellStyle name="Hyperlink" xfId="5" builtinId="8"/>
    <cellStyle name="Hyperlink 2" xfId="2" xr:uid="{EFFF3184-96E1-4247-9FA1-6C17952E6938}"/>
    <cellStyle name="Normal" xfId="0" builtinId="0"/>
    <cellStyle name="Normal 2" xfId="1" xr:uid="{1FF803EC-BC64-4650-BBBE-EE22A567A875}"/>
    <cellStyle name="Normal 3" xfId="4" xr:uid="{D2B8EF17-5F8D-4900-9C39-E69018919EFF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39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 identified bugs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'Vision NG Metrics'!$R$4:$R$15</c:f>
              <c:numCache>
                <c:formatCode>General</c:formatCode>
                <c:ptCount val="12"/>
                <c:pt idx="0">
                  <c:v>4</c:v>
                </c:pt>
                <c:pt idx="1">
                  <c:v>28</c:v>
                </c:pt>
                <c:pt idx="2">
                  <c:v>2</c:v>
                </c:pt>
                <c:pt idx="3">
                  <c:v>27</c:v>
                </c:pt>
                <c:pt idx="4">
                  <c:v>23</c:v>
                </c:pt>
                <c:pt idx="5">
                  <c:v>24</c:v>
                </c:pt>
                <c:pt idx="6">
                  <c:v>15</c:v>
                </c:pt>
                <c:pt idx="7">
                  <c:v>13</c:v>
                </c:pt>
                <c:pt idx="8">
                  <c:v>5</c:v>
                </c:pt>
                <c:pt idx="9">
                  <c:v>13</c:v>
                </c:pt>
                <c:pt idx="1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5-48E3-B76A-A732E7D7978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'Vision NG Metrics'!$S$4:$S$15</c:f>
              <c:numCache>
                <c:formatCode>General</c:formatCode>
                <c:ptCount val="12"/>
                <c:pt idx="0">
                  <c:v>10</c:v>
                </c:pt>
                <c:pt idx="1">
                  <c:v>62</c:v>
                </c:pt>
                <c:pt idx="2">
                  <c:v>10</c:v>
                </c:pt>
                <c:pt idx="3">
                  <c:v>13</c:v>
                </c:pt>
                <c:pt idx="4">
                  <c:v>28</c:v>
                </c:pt>
                <c:pt idx="5">
                  <c:v>18</c:v>
                </c:pt>
                <c:pt idx="6">
                  <c:v>39</c:v>
                </c:pt>
                <c:pt idx="7">
                  <c:v>29</c:v>
                </c:pt>
                <c:pt idx="8">
                  <c:v>16</c:v>
                </c:pt>
                <c:pt idx="9">
                  <c:v>24</c:v>
                </c:pt>
                <c:pt idx="1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35-48E3-B76A-A732E7D7978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'Vision NG Metrics'!$T$4:$T$15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6</c:v>
                </c:pt>
                <c:pt idx="4">
                  <c:v>7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35-48E3-B76A-A732E7D7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3922440"/>
        <c:axId val="1283924488"/>
      </c:barChart>
      <c:catAx>
        <c:axId val="128392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24488"/>
        <c:crosses val="autoZero"/>
        <c:auto val="1"/>
        <c:lblAlgn val="ctr"/>
        <c:lblOffset val="100"/>
        <c:noMultiLvlLbl val="0"/>
      </c:catAx>
      <c:valAx>
        <c:axId val="128392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2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 Spent on Dev and QA (Low Group)</a:t>
            </a:r>
          </a:p>
        </c:rich>
      </c:tx>
      <c:layout>
        <c:manualLayout>
          <c:xMode val="edge"/>
          <c:yMode val="edge"/>
          <c:x val="0.2731632613636765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'Vision NG Metrics'!$G$4:$G$15</c:f>
              <c:strCache>
                <c:ptCount val="12"/>
                <c:pt idx="0">
                  <c:v>Purge Duplicates</c:v>
                </c:pt>
                <c:pt idx="1">
                  <c:v>Code Entry</c:v>
                </c:pt>
                <c:pt idx="2">
                  <c:v>CodesXref Maintenance</c:v>
                </c:pt>
                <c:pt idx="3">
                  <c:v>Court Control</c:v>
                </c:pt>
                <c:pt idx="4">
                  <c:v>Error Code</c:v>
                </c:pt>
                <c:pt idx="5">
                  <c:v>Event Codes</c:v>
                </c:pt>
                <c:pt idx="6">
                  <c:v>Job Error Log</c:v>
                </c:pt>
                <c:pt idx="7">
                  <c:v>Parm Lookups</c:v>
                </c:pt>
                <c:pt idx="8">
                  <c:v>Sentence Workflow Maintanence</c:v>
                </c:pt>
                <c:pt idx="9">
                  <c:v>SP Registry</c:v>
                </c:pt>
                <c:pt idx="10">
                  <c:v>Bail Schedule</c:v>
                </c:pt>
                <c:pt idx="11">
                  <c:v>Bail Schedule - Review</c:v>
                </c:pt>
              </c:strCache>
            </c:strRef>
          </c:cat>
          <c:val>
            <c:numRef>
              <c:f>'Vision NG Metrics'!$K$4:$K$15</c:f>
              <c:numCache>
                <c:formatCode>General</c:formatCode>
                <c:ptCount val="12"/>
                <c:pt idx="0">
                  <c:v>7</c:v>
                </c:pt>
                <c:pt idx="1">
                  <c:v>42</c:v>
                </c:pt>
                <c:pt idx="2">
                  <c:v>4</c:v>
                </c:pt>
                <c:pt idx="3">
                  <c:v>25</c:v>
                </c:pt>
                <c:pt idx="4">
                  <c:v>14</c:v>
                </c:pt>
                <c:pt idx="5">
                  <c:v>44</c:v>
                </c:pt>
                <c:pt idx="6">
                  <c:v>18.5</c:v>
                </c:pt>
                <c:pt idx="7">
                  <c:v>26</c:v>
                </c:pt>
                <c:pt idx="8">
                  <c:v>20</c:v>
                </c:pt>
                <c:pt idx="9">
                  <c:v>22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727-456D-B65B-2C0DD5F626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'Vision NG Metrics'!$G$4:$G$15</c:f>
              <c:strCache>
                <c:ptCount val="12"/>
                <c:pt idx="0">
                  <c:v>Purge Duplicates</c:v>
                </c:pt>
                <c:pt idx="1">
                  <c:v>Code Entry</c:v>
                </c:pt>
                <c:pt idx="2">
                  <c:v>CodesXref Maintenance</c:v>
                </c:pt>
                <c:pt idx="3">
                  <c:v>Court Control</c:v>
                </c:pt>
                <c:pt idx="4">
                  <c:v>Error Code</c:v>
                </c:pt>
                <c:pt idx="5">
                  <c:v>Event Codes</c:v>
                </c:pt>
                <c:pt idx="6">
                  <c:v>Job Error Log</c:v>
                </c:pt>
                <c:pt idx="7">
                  <c:v>Parm Lookups</c:v>
                </c:pt>
                <c:pt idx="8">
                  <c:v>Sentence Workflow Maintanence</c:v>
                </c:pt>
                <c:pt idx="9">
                  <c:v>SP Registry</c:v>
                </c:pt>
                <c:pt idx="10">
                  <c:v>Bail Schedule</c:v>
                </c:pt>
                <c:pt idx="11">
                  <c:v>Bail Schedule - Review</c:v>
                </c:pt>
              </c:strCache>
            </c:strRef>
          </c:cat>
          <c:val>
            <c:numRef>
              <c:f>'Vision NG Metrics'!$L$4:$L$15</c:f>
              <c:numCache>
                <c:formatCode>General</c:formatCode>
                <c:ptCount val="12"/>
                <c:pt idx="0">
                  <c:v>8</c:v>
                </c:pt>
                <c:pt idx="1">
                  <c:v>32</c:v>
                </c:pt>
                <c:pt idx="2">
                  <c:v>12</c:v>
                </c:pt>
                <c:pt idx="3">
                  <c:v>17</c:v>
                </c:pt>
                <c:pt idx="4">
                  <c:v>21</c:v>
                </c:pt>
                <c:pt idx="5">
                  <c:v>24</c:v>
                </c:pt>
                <c:pt idx="6">
                  <c:v>17</c:v>
                </c:pt>
                <c:pt idx="7">
                  <c:v>24</c:v>
                </c:pt>
                <c:pt idx="8">
                  <c:v>24</c:v>
                </c:pt>
                <c:pt idx="9">
                  <c:v>20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727-456D-B65B-2C0DD5F6268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'Vision NG Metrics'!$G$4:$G$15</c:f>
              <c:strCache>
                <c:ptCount val="12"/>
                <c:pt idx="0">
                  <c:v>Purge Duplicates</c:v>
                </c:pt>
                <c:pt idx="1">
                  <c:v>Code Entry</c:v>
                </c:pt>
                <c:pt idx="2">
                  <c:v>CodesXref Maintenance</c:v>
                </c:pt>
                <c:pt idx="3">
                  <c:v>Court Control</c:v>
                </c:pt>
                <c:pt idx="4">
                  <c:v>Error Code</c:v>
                </c:pt>
                <c:pt idx="5">
                  <c:v>Event Codes</c:v>
                </c:pt>
                <c:pt idx="6">
                  <c:v>Job Error Log</c:v>
                </c:pt>
                <c:pt idx="7">
                  <c:v>Parm Lookups</c:v>
                </c:pt>
                <c:pt idx="8">
                  <c:v>Sentence Workflow Maintanence</c:v>
                </c:pt>
                <c:pt idx="9">
                  <c:v>SP Registry</c:v>
                </c:pt>
                <c:pt idx="10">
                  <c:v>Bail Schedule</c:v>
                </c:pt>
                <c:pt idx="11">
                  <c:v>Bail Schedule - Review</c:v>
                </c:pt>
              </c:strCache>
            </c:strRef>
          </c:cat>
          <c:val>
            <c:numRef>
              <c:f>'Vision NG Metrics'!$M$4:$M$15</c:f>
              <c:numCache>
                <c:formatCode>General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2</c:v>
                </c:pt>
                <c:pt idx="3">
                  <c:v>39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21</c:v>
                </c:pt>
                <c:pt idx="8">
                  <c:v>2</c:v>
                </c:pt>
                <c:pt idx="9">
                  <c:v>6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727-456D-B65B-2C0DD5F6268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'Vision NG Metrics'!$G$4:$G$15</c:f>
              <c:strCache>
                <c:ptCount val="12"/>
                <c:pt idx="0">
                  <c:v>Purge Duplicates</c:v>
                </c:pt>
                <c:pt idx="1">
                  <c:v>Code Entry</c:v>
                </c:pt>
                <c:pt idx="2">
                  <c:v>CodesXref Maintenance</c:v>
                </c:pt>
                <c:pt idx="3">
                  <c:v>Court Control</c:v>
                </c:pt>
                <c:pt idx="4">
                  <c:v>Error Code</c:v>
                </c:pt>
                <c:pt idx="5">
                  <c:v>Event Codes</c:v>
                </c:pt>
                <c:pt idx="6">
                  <c:v>Job Error Log</c:v>
                </c:pt>
                <c:pt idx="7">
                  <c:v>Parm Lookups</c:v>
                </c:pt>
                <c:pt idx="8">
                  <c:v>Sentence Workflow Maintanence</c:v>
                </c:pt>
                <c:pt idx="9">
                  <c:v>SP Registry</c:v>
                </c:pt>
                <c:pt idx="10">
                  <c:v>Bail Schedule</c:v>
                </c:pt>
                <c:pt idx="11">
                  <c:v>Bail Schedule - Review</c:v>
                </c:pt>
              </c:strCache>
            </c:strRef>
          </c:cat>
          <c:val>
            <c:numRef>
              <c:f>'Vision NG Metrics'!$N$4:$N$15</c:f>
              <c:numCache>
                <c:formatCode>General</c:formatCode>
                <c:ptCount val="12"/>
                <c:pt idx="0">
                  <c:v>16</c:v>
                </c:pt>
                <c:pt idx="1">
                  <c:v>71</c:v>
                </c:pt>
                <c:pt idx="2">
                  <c:v>4</c:v>
                </c:pt>
                <c:pt idx="3">
                  <c:v>43</c:v>
                </c:pt>
                <c:pt idx="4">
                  <c:v>33</c:v>
                </c:pt>
                <c:pt idx="5">
                  <c:v>35</c:v>
                </c:pt>
                <c:pt idx="6">
                  <c:v>32</c:v>
                </c:pt>
                <c:pt idx="7">
                  <c:v>31</c:v>
                </c:pt>
                <c:pt idx="8">
                  <c:v>26</c:v>
                </c:pt>
                <c:pt idx="9">
                  <c:v>22</c:v>
                </c:pt>
                <c:pt idx="1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727-456D-B65B-2C0DD5F6268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'Vision NG Metrics'!$G$4:$G$15</c:f>
              <c:strCache>
                <c:ptCount val="12"/>
                <c:pt idx="0">
                  <c:v>Purge Duplicates</c:v>
                </c:pt>
                <c:pt idx="1">
                  <c:v>Code Entry</c:v>
                </c:pt>
                <c:pt idx="2">
                  <c:v>CodesXref Maintenance</c:v>
                </c:pt>
                <c:pt idx="3">
                  <c:v>Court Control</c:v>
                </c:pt>
                <c:pt idx="4">
                  <c:v>Error Code</c:v>
                </c:pt>
                <c:pt idx="5">
                  <c:v>Event Codes</c:v>
                </c:pt>
                <c:pt idx="6">
                  <c:v>Job Error Log</c:v>
                </c:pt>
                <c:pt idx="7">
                  <c:v>Parm Lookups</c:v>
                </c:pt>
                <c:pt idx="8">
                  <c:v>Sentence Workflow Maintanence</c:v>
                </c:pt>
                <c:pt idx="9">
                  <c:v>SP Registry</c:v>
                </c:pt>
                <c:pt idx="10">
                  <c:v>Bail Schedule</c:v>
                </c:pt>
                <c:pt idx="11">
                  <c:v>Bail Schedule - Review</c:v>
                </c:pt>
              </c:strCache>
            </c:strRef>
          </c:cat>
          <c:val>
            <c:numRef>
              <c:f>'Vision NG Metrics'!$Q$4:$Q$15</c:f>
              <c:numCache>
                <c:formatCode>General</c:formatCode>
                <c:ptCount val="12"/>
                <c:pt idx="0">
                  <c:v>12</c:v>
                </c:pt>
                <c:pt idx="1">
                  <c:v>71</c:v>
                </c:pt>
                <c:pt idx="2">
                  <c:v>4</c:v>
                </c:pt>
                <c:pt idx="3">
                  <c:v>19</c:v>
                </c:pt>
                <c:pt idx="4">
                  <c:v>23</c:v>
                </c:pt>
                <c:pt idx="5">
                  <c:v>21</c:v>
                </c:pt>
                <c:pt idx="6">
                  <c:v>31</c:v>
                </c:pt>
                <c:pt idx="7">
                  <c:v>31.5</c:v>
                </c:pt>
                <c:pt idx="8">
                  <c:v>34</c:v>
                </c:pt>
                <c:pt idx="9">
                  <c:v>21.5</c:v>
                </c:pt>
                <c:pt idx="1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727-456D-B65B-2C0DD5F62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3851527"/>
        <c:axId val="1823853575"/>
      </c:barChart>
      <c:catAx>
        <c:axId val="18238515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53575"/>
        <c:crosses val="autoZero"/>
        <c:auto val="1"/>
        <c:lblAlgn val="ctr"/>
        <c:lblOffset val="100"/>
        <c:noMultiLvlLbl val="0"/>
      </c:catAx>
      <c:valAx>
        <c:axId val="182385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5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382681</xdr:colOff>
      <xdr:row>71</xdr:row>
      <xdr:rowOff>26893</xdr:rowOff>
    </xdr:from>
    <xdr:to>
      <xdr:col>29</xdr:col>
      <xdr:colOff>4238065</xdr:colOff>
      <xdr:row>78</xdr:row>
      <xdr:rowOff>149036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9393E21A-59D9-1BDF-DABC-CA14A78532F0}"/>
            </a:ext>
            <a:ext uri="{147F2762-F138-4A5C-976F-8EAC2B608ADB}">
              <a16:predDERef xmlns:a16="http://schemas.microsoft.com/office/drawing/2014/main" pred="{185CDDB9-657E-09B0-A36C-79D673280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1369695</xdr:colOff>
      <xdr:row>70</xdr:row>
      <xdr:rowOff>173647</xdr:rowOff>
    </xdr:from>
    <xdr:to>
      <xdr:col>20</xdr:col>
      <xdr:colOff>186104</xdr:colOff>
      <xdr:row>91</xdr:row>
      <xdr:rowOff>47624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A990D6D-CC60-442E-93CA-A029EBB731A1}"/>
            </a:ext>
            <a:ext uri="{147F2762-F138-4A5C-976F-8EAC2B608ADB}">
              <a16:predDERef xmlns:a16="http://schemas.microsoft.com/office/drawing/2014/main" pred="{9393E21A-59D9-1BDF-DABC-CA14A7853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304800</xdr:colOff>
      <xdr:row>34</xdr:row>
      <xdr:rowOff>114300</xdr:rowOff>
    </xdr:to>
    <xdr:sp macro="" textlink="">
      <xdr:nvSpPr>
        <xdr:cNvPr id="1025" name="x_0-gccaz-d2-e14765e62928f1ed33570a2f7aa3b8d8" descr="image">
          <a:extLst>
            <a:ext uri="{FF2B5EF4-FFF2-40B4-BE49-F238E27FC236}">
              <a16:creationId xmlns:a16="http://schemas.microsoft.com/office/drawing/2014/main" id="{0943464C-4A4A-979B-A7CC-BE4E88E3755D}"/>
            </a:ext>
          </a:extLst>
        </xdr:cNvPr>
        <xdr:cNvSpPr>
          <a:spLocks noChangeAspect="1" noChangeArrowheads="1"/>
        </xdr:cNvSpPr>
      </xdr:nvSpPr>
      <xdr:spPr bwMode="auto">
        <a:xfrm>
          <a:off x="23936325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csuperiorcourt.atlassian.net/browse/VISAR-6189" TargetMode="External"/><Relationship Id="rId18" Type="http://schemas.openxmlformats.org/officeDocument/2006/relationships/hyperlink" Target="https://ocsuperiorcourt.atlassian.net/browse/VISAR-6499" TargetMode="External"/><Relationship Id="rId26" Type="http://schemas.openxmlformats.org/officeDocument/2006/relationships/hyperlink" Target="https://ocsuperiorcourt.atlassian.net/browse/VISAR-7312" TargetMode="External"/><Relationship Id="rId39" Type="http://schemas.openxmlformats.org/officeDocument/2006/relationships/hyperlink" Target="https://ocsuperiorcourt.atlassian.net/browse/VISAR-7419" TargetMode="External"/><Relationship Id="rId21" Type="http://schemas.openxmlformats.org/officeDocument/2006/relationships/hyperlink" Target="https://ocsuperiorcourt.atlassian.net/browse/VISAR-7189" TargetMode="External"/><Relationship Id="rId34" Type="http://schemas.openxmlformats.org/officeDocument/2006/relationships/hyperlink" Target="https://ocsuperiorcourt.atlassian.net/browse/VISAR-7417" TargetMode="External"/><Relationship Id="rId42" Type="http://schemas.openxmlformats.org/officeDocument/2006/relationships/hyperlink" Target="https://ocsuperiorcourt.atlassian.net/browse/VISAR-7421" TargetMode="External"/><Relationship Id="rId47" Type="http://schemas.openxmlformats.org/officeDocument/2006/relationships/drawing" Target="../drawings/drawing1.xml"/><Relationship Id="rId7" Type="http://schemas.openxmlformats.org/officeDocument/2006/relationships/hyperlink" Target="https://ocsuperiorcourt.atlassian.net/browse/VISAR-6797" TargetMode="External"/><Relationship Id="rId2" Type="http://schemas.openxmlformats.org/officeDocument/2006/relationships/hyperlink" Target="https://ocsuperiorcourt.atlassian.net/browse/VISAR-6316" TargetMode="External"/><Relationship Id="rId16" Type="http://schemas.openxmlformats.org/officeDocument/2006/relationships/hyperlink" Target="https://ocsuperiorcourt.atlassian.net/browse/VISAR-6274" TargetMode="External"/><Relationship Id="rId29" Type="http://schemas.openxmlformats.org/officeDocument/2006/relationships/hyperlink" Target="https://ocsuperiorcourt.atlassian.net/browse/VISAR-7368" TargetMode="External"/><Relationship Id="rId1" Type="http://schemas.openxmlformats.org/officeDocument/2006/relationships/hyperlink" Target="https://ocsuperiorcourt.atlassian.net/browse/VISAR-6450" TargetMode="External"/><Relationship Id="rId6" Type="http://schemas.openxmlformats.org/officeDocument/2006/relationships/hyperlink" Target="https://ocsuperiorcourt.atlassian.net/browse/VISAR-6475" TargetMode="External"/><Relationship Id="rId11" Type="http://schemas.openxmlformats.org/officeDocument/2006/relationships/hyperlink" Target="https://ocsuperiorcourt.atlassian.net/browse/VISAR-7012" TargetMode="External"/><Relationship Id="rId24" Type="http://schemas.openxmlformats.org/officeDocument/2006/relationships/hyperlink" Target="https://ocsuperiorcourt.atlassian.net/browse/VISAR-7215" TargetMode="External"/><Relationship Id="rId32" Type="http://schemas.openxmlformats.org/officeDocument/2006/relationships/hyperlink" Target="https://ocsuperiorcourt.atlassian.net/browse/VISAR-7388" TargetMode="External"/><Relationship Id="rId37" Type="http://schemas.openxmlformats.org/officeDocument/2006/relationships/hyperlink" Target="https://ocsuperiorcourt.atlassian.net/browse/VISAR-7418" TargetMode="External"/><Relationship Id="rId40" Type="http://schemas.openxmlformats.org/officeDocument/2006/relationships/hyperlink" Target="https://ocsuperiorcourt.atlassian.net/browse/VISAR-7418" TargetMode="External"/><Relationship Id="rId45" Type="http://schemas.openxmlformats.org/officeDocument/2006/relationships/hyperlink" Target="https://ocsuperiorcourt.atlassian.net/browse/VISAR-7420" TargetMode="External"/><Relationship Id="rId5" Type="http://schemas.openxmlformats.org/officeDocument/2006/relationships/hyperlink" Target="https://ocsuperiorcourt.atlassian.net/browse/VISAR-6168" TargetMode="External"/><Relationship Id="rId15" Type="http://schemas.openxmlformats.org/officeDocument/2006/relationships/hyperlink" Target="https://ocsuperiorcourt.atlassian.net/browse/VISAR-6254" TargetMode="External"/><Relationship Id="rId23" Type="http://schemas.openxmlformats.org/officeDocument/2006/relationships/hyperlink" Target="https://ocsuperiorcourt.atlassian.net/browse/VISAR-7296" TargetMode="External"/><Relationship Id="rId28" Type="http://schemas.openxmlformats.org/officeDocument/2006/relationships/hyperlink" Target="https://ocsuperiorcourt.atlassian.net/browse/VISAR-7333" TargetMode="External"/><Relationship Id="rId36" Type="http://schemas.openxmlformats.org/officeDocument/2006/relationships/hyperlink" Target="https://ocsuperiorcourt.atlassian.net/browse/VISAR-7418" TargetMode="External"/><Relationship Id="rId10" Type="http://schemas.openxmlformats.org/officeDocument/2006/relationships/hyperlink" Target="https://ocsuperiorcourt.atlassian.net/browse/VISAR-6544" TargetMode="External"/><Relationship Id="rId19" Type="http://schemas.openxmlformats.org/officeDocument/2006/relationships/hyperlink" Target="https://ocsuperiorcourt.atlassian.net/browse/VISAR-7185" TargetMode="External"/><Relationship Id="rId31" Type="http://schemas.openxmlformats.org/officeDocument/2006/relationships/hyperlink" Target="https://ocsuperiorcourt.atlassian.net/browse/VISAR-6315" TargetMode="External"/><Relationship Id="rId44" Type="http://schemas.openxmlformats.org/officeDocument/2006/relationships/hyperlink" Target="https://ocsuperiorcourt.atlassian.net/browse/VISAR-7423" TargetMode="External"/><Relationship Id="rId4" Type="http://schemas.openxmlformats.org/officeDocument/2006/relationships/hyperlink" Target="https://ocsuperiorcourt.atlassian.net/browse/VISAR-6848" TargetMode="External"/><Relationship Id="rId9" Type="http://schemas.openxmlformats.org/officeDocument/2006/relationships/hyperlink" Target="https://ocsuperiorcourt.atlassian.net/browse/VISAR-6895" TargetMode="External"/><Relationship Id="rId14" Type="http://schemas.openxmlformats.org/officeDocument/2006/relationships/hyperlink" Target="https://ocsuperiorcourt.atlassian.net/browse/VISAR-6217" TargetMode="External"/><Relationship Id="rId22" Type="http://schemas.openxmlformats.org/officeDocument/2006/relationships/hyperlink" Target="https://ocsuperiorcourt.atlassian.net/browse/VISAR-7206" TargetMode="External"/><Relationship Id="rId27" Type="http://schemas.openxmlformats.org/officeDocument/2006/relationships/hyperlink" Target="https://ocsuperiorcourt.atlassian.net/browse/VISAR-7332" TargetMode="External"/><Relationship Id="rId30" Type="http://schemas.openxmlformats.org/officeDocument/2006/relationships/hyperlink" Target="https://ocsuperiorcourt.atlassian.net/browse/VISAR-6315" TargetMode="External"/><Relationship Id="rId35" Type="http://schemas.openxmlformats.org/officeDocument/2006/relationships/hyperlink" Target="https://ocsuperiorcourt.atlassian.net/browse/VISAR-7418" TargetMode="External"/><Relationship Id="rId43" Type="http://schemas.openxmlformats.org/officeDocument/2006/relationships/hyperlink" Target="https://ocsuperiorcourt.atlassian.net/browse/VISAR-7422" TargetMode="External"/><Relationship Id="rId8" Type="http://schemas.openxmlformats.org/officeDocument/2006/relationships/hyperlink" Target="https://ocsuperiorcourt.atlassian.net/browse/VISAR-6907" TargetMode="External"/><Relationship Id="rId3" Type="http://schemas.openxmlformats.org/officeDocument/2006/relationships/hyperlink" Target="https://ocsuperiorcourt.atlassian.net/browse/VISAR-6474" TargetMode="External"/><Relationship Id="rId12" Type="http://schemas.openxmlformats.org/officeDocument/2006/relationships/hyperlink" Target="https://ocsuperiorcourt.atlassian.net/browse/VISAR-6167" TargetMode="External"/><Relationship Id="rId17" Type="http://schemas.openxmlformats.org/officeDocument/2006/relationships/hyperlink" Target="https://ocsuperiorcourt.atlassian.net/browse/VISAR-6190" TargetMode="External"/><Relationship Id="rId25" Type="http://schemas.openxmlformats.org/officeDocument/2006/relationships/hyperlink" Target="https://ocsuperiorcourt.atlassian.net/browse/VISAR-7311" TargetMode="External"/><Relationship Id="rId33" Type="http://schemas.openxmlformats.org/officeDocument/2006/relationships/hyperlink" Target="https://ocsuperiorcourt.atlassian.net/browse/VISAR-7382" TargetMode="External"/><Relationship Id="rId38" Type="http://schemas.openxmlformats.org/officeDocument/2006/relationships/hyperlink" Target="https://ocsuperiorcourt.atlassian.net/browse/VISAR-7418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ocsuperiorcourt.atlassian.net/browse/VISAR-7188" TargetMode="External"/><Relationship Id="rId41" Type="http://schemas.openxmlformats.org/officeDocument/2006/relationships/hyperlink" Target="https://ocsuperiorcourt.atlassian.net/browse/VISAR-741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occourts.sharepoint.com/:x:/r/sites/Vision_ILJ/_layouts/15/Doc.aspx?sourcedoc=%7B6FDA12DE-80DC-4949-B5BA-DBC92D3D24D1%7D&amp;file=VISAR-4987%20Vision%20NG%20-%20Grouping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F0E8-2071-42E0-AE21-D9FFF53C5DBA}">
  <dimension ref="A1:AD210"/>
  <sheetViews>
    <sheetView tabSelected="1" zoomScaleNormal="100" workbookViewId="0">
      <pane ySplit="1" topLeftCell="A17" activePane="bottomLeft" state="frozen"/>
      <selection pane="bottomLeft" activeCell="G29" sqref="G29:G30"/>
    </sheetView>
  </sheetViews>
  <sheetFormatPr defaultRowHeight="15"/>
  <cols>
    <col min="1" max="1" width="11.85546875" style="84" bestFit="1" customWidth="1"/>
    <col min="2" max="2" width="13.28515625" style="65" customWidth="1"/>
    <col min="3" max="3" width="8.28515625" bestFit="1" customWidth="1"/>
    <col min="4" max="4" width="12" style="65" customWidth="1"/>
    <col min="5" max="6" width="6" style="65" customWidth="1"/>
    <col min="7" max="7" width="34" customWidth="1"/>
    <col min="8" max="8" width="15.7109375" customWidth="1"/>
    <col min="9" max="9" width="22.42578125" bestFit="1" customWidth="1"/>
    <col min="10" max="10" width="24.140625" bestFit="1" customWidth="1"/>
    <col min="11" max="15" width="6" customWidth="1"/>
    <col min="16" max="16" width="6.28515625" customWidth="1"/>
    <col min="17" max="17" width="5.85546875" customWidth="1"/>
    <col min="18" max="18" width="6" customWidth="1"/>
    <col min="19" max="19" width="7.140625" customWidth="1"/>
    <col min="20" max="20" width="8.5703125" customWidth="1"/>
    <col min="21" max="21" width="6.5703125" customWidth="1"/>
    <col min="22" max="24" width="9.140625" customWidth="1"/>
    <col min="25" max="26" width="11" style="84" customWidth="1"/>
    <col min="27" max="27" width="12.5703125" style="32" customWidth="1"/>
    <col min="28" max="28" width="12.140625" style="38" bestFit="1" customWidth="1"/>
    <col min="29" max="29" width="11" style="84" customWidth="1"/>
    <col min="30" max="30" width="67.28515625" bestFit="1" customWidth="1"/>
  </cols>
  <sheetData>
    <row r="1" spans="1:30" ht="60">
      <c r="A1" s="81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7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8" t="s">
        <v>13</v>
      </c>
      <c r="O1" s="78" t="s">
        <v>14</v>
      </c>
      <c r="P1" s="76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85" t="s">
        <v>24</v>
      </c>
      <c r="Z1" s="86" t="s">
        <v>25</v>
      </c>
      <c r="AA1" s="79" t="s">
        <v>26</v>
      </c>
      <c r="AB1" s="80" t="s">
        <v>27</v>
      </c>
      <c r="AC1" s="87" t="s">
        <v>28</v>
      </c>
      <c r="AD1" s="88" t="s">
        <v>29</v>
      </c>
    </row>
    <row r="2" spans="1:30" s="94" customFormat="1">
      <c r="A2" s="89" t="s">
        <v>30</v>
      </c>
      <c r="B2" s="90"/>
      <c r="C2" s="91">
        <v>4</v>
      </c>
      <c r="D2" s="92" t="s">
        <v>31</v>
      </c>
      <c r="E2" s="90" t="s">
        <v>32</v>
      </c>
      <c r="F2" s="90"/>
      <c r="G2" s="91" t="s">
        <v>33</v>
      </c>
      <c r="H2" s="91" t="s">
        <v>34</v>
      </c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89"/>
      <c r="Z2" s="89"/>
      <c r="AA2" s="90"/>
      <c r="AB2" s="93"/>
      <c r="AC2" s="89"/>
      <c r="AD2" s="91"/>
    </row>
    <row r="3" spans="1:30" s="94" customFormat="1">
      <c r="A3" s="89" t="s">
        <v>30</v>
      </c>
      <c r="B3" s="90"/>
      <c r="C3" s="91">
        <v>52</v>
      </c>
      <c r="D3" s="92"/>
      <c r="E3" s="90"/>
      <c r="F3" s="90" t="s">
        <v>35</v>
      </c>
      <c r="G3" s="91" t="s">
        <v>36</v>
      </c>
      <c r="H3" s="91"/>
      <c r="I3" s="91" t="s">
        <v>37</v>
      </c>
      <c r="J3" s="91" t="s">
        <v>38</v>
      </c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89"/>
      <c r="Z3" s="89"/>
      <c r="AA3" s="90"/>
      <c r="AB3" s="93"/>
      <c r="AC3" s="89"/>
      <c r="AD3" s="91"/>
    </row>
    <row r="4" spans="1:30" s="94" customFormat="1">
      <c r="A4" s="141"/>
      <c r="B4" s="147"/>
      <c r="C4" s="142">
        <v>6</v>
      </c>
      <c r="D4" s="140" t="s">
        <v>39</v>
      </c>
      <c r="E4" s="147" t="s">
        <v>40</v>
      </c>
      <c r="F4" s="147" t="s">
        <v>41</v>
      </c>
      <c r="G4" s="95" t="s">
        <v>42</v>
      </c>
      <c r="H4" s="142" t="s">
        <v>43</v>
      </c>
      <c r="I4" s="96" t="s">
        <v>44</v>
      </c>
      <c r="J4" s="142" t="s">
        <v>45</v>
      </c>
      <c r="K4" s="142">
        <v>7</v>
      </c>
      <c r="L4" s="142">
        <v>8</v>
      </c>
      <c r="M4" s="142">
        <v>9</v>
      </c>
      <c r="N4" s="142">
        <v>16</v>
      </c>
      <c r="O4" s="142"/>
      <c r="P4" s="142">
        <f>SUM(K4:N4)</f>
        <v>40</v>
      </c>
      <c r="Q4" s="142">
        <v>12</v>
      </c>
      <c r="R4" s="142">
        <v>4</v>
      </c>
      <c r="S4" s="142">
        <v>10</v>
      </c>
      <c r="T4" s="142">
        <v>0</v>
      </c>
      <c r="U4" s="142">
        <v>2</v>
      </c>
      <c r="V4" s="142">
        <v>0</v>
      </c>
      <c r="W4" s="142">
        <v>1</v>
      </c>
      <c r="X4" s="142">
        <v>13</v>
      </c>
      <c r="Y4" s="141">
        <v>46134</v>
      </c>
      <c r="Z4" s="144"/>
      <c r="AA4" s="97"/>
      <c r="AB4" s="143" t="s">
        <v>46</v>
      </c>
      <c r="AC4" s="141">
        <v>46147</v>
      </c>
      <c r="AD4" s="142"/>
    </row>
    <row r="5" spans="1:30" s="94" customFormat="1">
      <c r="A5" s="141">
        <v>45924</v>
      </c>
      <c r="B5" s="98"/>
      <c r="C5" s="142">
        <v>128</v>
      </c>
      <c r="D5" s="140" t="s">
        <v>47</v>
      </c>
      <c r="E5" s="147" t="s">
        <v>48</v>
      </c>
      <c r="F5" s="147" t="s">
        <v>35</v>
      </c>
      <c r="G5" s="95" t="s">
        <v>49</v>
      </c>
      <c r="H5" s="99" t="s">
        <v>34</v>
      </c>
      <c r="I5" s="142" t="s">
        <v>44</v>
      </c>
      <c r="J5" s="99"/>
      <c r="K5" s="142">
        <v>42</v>
      </c>
      <c r="L5" s="142">
        <v>32</v>
      </c>
      <c r="M5" s="142">
        <v>11</v>
      </c>
      <c r="N5" s="142">
        <v>71</v>
      </c>
      <c r="O5" s="142"/>
      <c r="P5" s="142">
        <v>151</v>
      </c>
      <c r="Q5" s="142">
        <v>71</v>
      </c>
      <c r="R5" s="142">
        <v>28</v>
      </c>
      <c r="S5" s="142">
        <v>62</v>
      </c>
      <c r="T5" s="142">
        <v>6</v>
      </c>
      <c r="U5" s="142">
        <v>9</v>
      </c>
      <c r="V5" s="139">
        <v>0</v>
      </c>
      <c r="W5" s="142">
        <v>29</v>
      </c>
      <c r="X5" s="142">
        <v>69</v>
      </c>
      <c r="Y5" s="141">
        <v>46055</v>
      </c>
      <c r="Z5" s="144"/>
      <c r="AA5" s="97"/>
      <c r="AB5" s="143" t="s">
        <v>50</v>
      </c>
      <c r="AC5" s="141">
        <v>46058</v>
      </c>
      <c r="AD5" s="142"/>
    </row>
    <row r="6" spans="1:30" s="94" customFormat="1">
      <c r="A6" s="100"/>
      <c r="B6" s="101"/>
      <c r="C6" s="96">
        <v>129</v>
      </c>
      <c r="D6" s="140" t="s">
        <v>51</v>
      </c>
      <c r="E6" s="101" t="s">
        <v>52</v>
      </c>
      <c r="F6" s="101" t="s">
        <v>35</v>
      </c>
      <c r="G6" s="96" t="s">
        <v>53</v>
      </c>
      <c r="H6" s="96" t="s">
        <v>54</v>
      </c>
      <c r="I6" s="96" t="s">
        <v>44</v>
      </c>
      <c r="J6" s="96"/>
      <c r="K6" s="96">
        <v>4</v>
      </c>
      <c r="L6" s="96">
        <v>12</v>
      </c>
      <c r="M6" s="96">
        <v>2</v>
      </c>
      <c r="N6" s="96">
        <v>4</v>
      </c>
      <c r="O6" s="96"/>
      <c r="P6" s="96">
        <v>22</v>
      </c>
      <c r="Q6" s="96">
        <v>4</v>
      </c>
      <c r="R6" s="96">
        <v>2</v>
      </c>
      <c r="S6" s="96">
        <v>10</v>
      </c>
      <c r="T6" s="96">
        <v>0</v>
      </c>
      <c r="U6" s="96">
        <v>2</v>
      </c>
      <c r="V6" s="96">
        <v>0</v>
      </c>
      <c r="W6" s="96">
        <v>6</v>
      </c>
      <c r="X6" s="96">
        <v>5</v>
      </c>
      <c r="Y6" s="100">
        <v>46169</v>
      </c>
      <c r="Z6" s="144"/>
      <c r="AA6" s="102"/>
      <c r="AB6" s="103" t="s">
        <v>55</v>
      </c>
      <c r="AC6" s="100">
        <v>46203</v>
      </c>
      <c r="AD6" s="96"/>
    </row>
    <row r="7" spans="1:30" s="94" customFormat="1">
      <c r="A7" s="141">
        <v>45953</v>
      </c>
      <c r="B7" s="98"/>
      <c r="C7" s="142">
        <v>130</v>
      </c>
      <c r="D7" s="140" t="s">
        <v>56</v>
      </c>
      <c r="E7" s="147" t="s">
        <v>40</v>
      </c>
      <c r="F7" s="147" t="s">
        <v>41</v>
      </c>
      <c r="G7" s="95" t="s">
        <v>57</v>
      </c>
      <c r="H7" s="99" t="s">
        <v>34</v>
      </c>
      <c r="I7" s="96" t="s">
        <v>44</v>
      </c>
      <c r="J7" s="99" t="s">
        <v>45</v>
      </c>
      <c r="K7" s="142">
        <v>25</v>
      </c>
      <c r="L7" s="142">
        <v>17</v>
      </c>
      <c r="M7" s="142">
        <v>39</v>
      </c>
      <c r="N7" s="142">
        <v>43</v>
      </c>
      <c r="O7" s="142"/>
      <c r="P7" s="142">
        <v>63</v>
      </c>
      <c r="Q7" s="142">
        <v>19</v>
      </c>
      <c r="R7" s="142">
        <v>27</v>
      </c>
      <c r="S7" s="142">
        <v>13</v>
      </c>
      <c r="T7" s="142">
        <v>6</v>
      </c>
      <c r="U7" s="142">
        <v>5</v>
      </c>
      <c r="V7" s="142">
        <v>0</v>
      </c>
      <c r="W7" s="142">
        <v>1</v>
      </c>
      <c r="X7" s="142">
        <v>45</v>
      </c>
      <c r="Y7" s="141">
        <v>46142</v>
      </c>
      <c r="Z7" s="144"/>
      <c r="AA7" s="97"/>
      <c r="AB7" s="143" t="s">
        <v>58</v>
      </c>
      <c r="AC7" s="141">
        <v>46147</v>
      </c>
      <c r="AD7" s="142"/>
    </row>
    <row r="8" spans="1:30" s="94" customFormat="1">
      <c r="A8" s="141">
        <v>45916</v>
      </c>
      <c r="B8" s="98"/>
      <c r="C8" s="142">
        <v>137</v>
      </c>
      <c r="D8" s="140" t="s">
        <v>59</v>
      </c>
      <c r="E8" s="147" t="s">
        <v>40</v>
      </c>
      <c r="F8" s="147" t="s">
        <v>41</v>
      </c>
      <c r="G8" s="95" t="s">
        <v>60</v>
      </c>
      <c r="H8" s="99" t="s">
        <v>43</v>
      </c>
      <c r="I8" s="142" t="s">
        <v>44</v>
      </c>
      <c r="J8" s="99"/>
      <c r="K8" s="142">
        <v>14</v>
      </c>
      <c r="L8" s="142">
        <v>21</v>
      </c>
      <c r="M8" s="142">
        <v>12</v>
      </c>
      <c r="N8" s="142">
        <v>33</v>
      </c>
      <c r="O8" s="142"/>
      <c r="P8" s="142">
        <v>49</v>
      </c>
      <c r="Q8" s="142">
        <v>23</v>
      </c>
      <c r="R8" s="142">
        <v>23</v>
      </c>
      <c r="S8" s="142">
        <v>28</v>
      </c>
      <c r="T8" s="142">
        <v>7</v>
      </c>
      <c r="U8" s="142">
        <v>10</v>
      </c>
      <c r="V8" s="142">
        <v>0</v>
      </c>
      <c r="W8" s="142">
        <v>7</v>
      </c>
      <c r="X8" s="142">
        <v>21</v>
      </c>
      <c r="Y8" s="141">
        <v>46056</v>
      </c>
      <c r="Z8" s="144"/>
      <c r="AA8" s="97"/>
      <c r="AB8" s="143" t="s">
        <v>58</v>
      </c>
      <c r="AC8" s="141">
        <v>46058</v>
      </c>
      <c r="AD8" s="142"/>
    </row>
    <row r="9" spans="1:30" s="94" customFormat="1">
      <c r="A9" s="141">
        <v>45936</v>
      </c>
      <c r="B9" s="98"/>
      <c r="C9" s="142">
        <v>138</v>
      </c>
      <c r="D9" s="140" t="s">
        <v>61</v>
      </c>
      <c r="E9" s="147" t="s">
        <v>40</v>
      </c>
      <c r="F9" s="147" t="s">
        <v>41</v>
      </c>
      <c r="G9" s="95" t="s">
        <v>62</v>
      </c>
      <c r="H9" s="99" t="s">
        <v>43</v>
      </c>
      <c r="I9" s="142" t="s">
        <v>44</v>
      </c>
      <c r="J9" s="99"/>
      <c r="K9" s="142">
        <v>44</v>
      </c>
      <c r="L9" s="142">
        <v>24</v>
      </c>
      <c r="M9" s="142">
        <v>11</v>
      </c>
      <c r="N9" s="142">
        <v>35</v>
      </c>
      <c r="O9" s="142"/>
      <c r="P9" s="142">
        <v>68</v>
      </c>
      <c r="Q9" s="142">
        <v>21</v>
      </c>
      <c r="R9" s="142">
        <v>24</v>
      </c>
      <c r="S9" s="142">
        <v>18</v>
      </c>
      <c r="T9" s="142">
        <v>2</v>
      </c>
      <c r="U9" s="142">
        <v>9</v>
      </c>
      <c r="V9" s="142">
        <v>0</v>
      </c>
      <c r="W9" s="142">
        <v>6</v>
      </c>
      <c r="X9" s="142">
        <v>38</v>
      </c>
      <c r="Y9" s="141">
        <v>46056</v>
      </c>
      <c r="Z9" s="144"/>
      <c r="AA9" s="97"/>
      <c r="AB9" s="143" t="s">
        <v>58</v>
      </c>
      <c r="AC9" s="141">
        <v>46058</v>
      </c>
      <c r="AD9" s="142"/>
    </row>
    <row r="10" spans="1:30" s="94" customFormat="1">
      <c r="A10" s="141">
        <v>45924</v>
      </c>
      <c r="B10" s="98"/>
      <c r="C10" s="142">
        <v>141</v>
      </c>
      <c r="D10" s="140" t="s">
        <v>63</v>
      </c>
      <c r="E10" s="147" t="s">
        <v>40</v>
      </c>
      <c r="F10" s="147" t="s">
        <v>35</v>
      </c>
      <c r="G10" s="95" t="s">
        <v>64</v>
      </c>
      <c r="H10" s="99" t="s">
        <v>43</v>
      </c>
      <c r="I10" s="142" t="s">
        <v>44</v>
      </c>
      <c r="J10" s="99"/>
      <c r="K10" s="142">
        <v>18.5</v>
      </c>
      <c r="L10" s="142">
        <v>17</v>
      </c>
      <c r="M10" s="142">
        <v>10</v>
      </c>
      <c r="N10" s="142">
        <v>32</v>
      </c>
      <c r="O10" s="142"/>
      <c r="P10" s="142">
        <v>33</v>
      </c>
      <c r="Q10" s="142">
        <v>31</v>
      </c>
      <c r="R10" s="142">
        <v>15</v>
      </c>
      <c r="S10" s="142">
        <v>39</v>
      </c>
      <c r="T10" s="142">
        <v>3</v>
      </c>
      <c r="U10" s="142">
        <v>5</v>
      </c>
      <c r="V10" s="142">
        <v>0</v>
      </c>
      <c r="W10" s="142">
        <v>36</v>
      </c>
      <c r="X10" s="142">
        <v>23</v>
      </c>
      <c r="Y10" s="141">
        <v>46036</v>
      </c>
      <c r="Z10" s="144"/>
      <c r="AA10" s="97"/>
      <c r="AB10" s="143" t="s">
        <v>58</v>
      </c>
      <c r="AC10" s="141">
        <v>46058</v>
      </c>
      <c r="AD10" s="142"/>
    </row>
    <row r="11" spans="1:30" s="94" customFormat="1">
      <c r="A11" s="141">
        <v>45945</v>
      </c>
      <c r="B11" s="98"/>
      <c r="C11" s="142">
        <v>144</v>
      </c>
      <c r="D11" s="140" t="s">
        <v>65</v>
      </c>
      <c r="E11" s="147" t="s">
        <v>48</v>
      </c>
      <c r="F11" s="147" t="s">
        <v>35</v>
      </c>
      <c r="G11" s="95" t="s">
        <v>66</v>
      </c>
      <c r="H11" s="99" t="s">
        <v>34</v>
      </c>
      <c r="I11" s="142" t="s">
        <v>44</v>
      </c>
      <c r="J11" s="99"/>
      <c r="K11" s="142">
        <v>26</v>
      </c>
      <c r="L11" s="142">
        <v>24</v>
      </c>
      <c r="M11" s="142">
        <v>21</v>
      </c>
      <c r="N11" s="142">
        <v>31</v>
      </c>
      <c r="O11" s="142"/>
      <c r="P11" s="142">
        <v>102</v>
      </c>
      <c r="Q11" s="142">
        <v>31.5</v>
      </c>
      <c r="R11" s="142">
        <v>13</v>
      </c>
      <c r="S11" s="142">
        <v>29</v>
      </c>
      <c r="T11" s="142">
        <v>3</v>
      </c>
      <c r="U11" s="142">
        <v>6</v>
      </c>
      <c r="V11" s="142">
        <v>0</v>
      </c>
      <c r="W11" s="142">
        <v>9</v>
      </c>
      <c r="X11" s="142">
        <v>36</v>
      </c>
      <c r="Y11" s="141">
        <v>46142</v>
      </c>
      <c r="Z11" s="144"/>
      <c r="AA11" s="97"/>
      <c r="AB11" s="143" t="s">
        <v>58</v>
      </c>
      <c r="AC11" s="141">
        <v>46147</v>
      </c>
      <c r="AD11" s="142"/>
    </row>
    <row r="12" spans="1:30" s="94" customFormat="1">
      <c r="A12" s="141">
        <v>46115</v>
      </c>
      <c r="B12" s="98"/>
      <c r="C12" s="142">
        <v>145</v>
      </c>
      <c r="D12" s="140" t="s">
        <v>67</v>
      </c>
      <c r="E12" s="147" t="s">
        <v>48</v>
      </c>
      <c r="F12" s="147" t="s">
        <v>68</v>
      </c>
      <c r="G12" s="96" t="s">
        <v>69</v>
      </c>
      <c r="H12" s="96" t="s">
        <v>70</v>
      </c>
      <c r="I12" s="142" t="s">
        <v>44</v>
      </c>
      <c r="J12" s="142"/>
      <c r="K12" s="142">
        <v>20</v>
      </c>
      <c r="L12" s="142">
        <v>24</v>
      </c>
      <c r="M12" s="142">
        <v>2</v>
      </c>
      <c r="N12" s="142">
        <v>26</v>
      </c>
      <c r="O12" s="142"/>
      <c r="P12" s="142">
        <v>72</v>
      </c>
      <c r="Q12" s="142">
        <v>34</v>
      </c>
      <c r="R12" s="142">
        <v>5</v>
      </c>
      <c r="S12" s="142">
        <v>16</v>
      </c>
      <c r="T12" s="142">
        <v>0</v>
      </c>
      <c r="U12" s="142">
        <v>4</v>
      </c>
      <c r="V12" s="142">
        <v>0</v>
      </c>
      <c r="W12" s="142">
        <v>5</v>
      </c>
      <c r="X12" s="142">
        <v>17</v>
      </c>
      <c r="Y12" s="141">
        <v>46219</v>
      </c>
      <c r="Z12" s="144"/>
      <c r="AA12" s="147" t="s">
        <v>71</v>
      </c>
      <c r="AB12" s="143" t="s">
        <v>72</v>
      </c>
      <c r="AC12" s="141">
        <v>46261</v>
      </c>
      <c r="AD12" s="142"/>
    </row>
    <row r="13" spans="1:30" s="94" customFormat="1">
      <c r="A13" s="100"/>
      <c r="B13" s="101"/>
      <c r="C13" s="96">
        <v>146</v>
      </c>
      <c r="D13" s="140" t="s">
        <v>73</v>
      </c>
      <c r="E13" s="101" t="s">
        <v>48</v>
      </c>
      <c r="F13" s="101" t="s">
        <v>35</v>
      </c>
      <c r="G13" s="96" t="s">
        <v>74</v>
      </c>
      <c r="H13" s="104" t="s">
        <v>34</v>
      </c>
      <c r="I13" s="142" t="s">
        <v>44</v>
      </c>
      <c r="J13" s="104"/>
      <c r="K13" s="96">
        <v>22</v>
      </c>
      <c r="L13" s="96">
        <v>20</v>
      </c>
      <c r="M13" s="96">
        <v>6</v>
      </c>
      <c r="N13" s="96">
        <v>22</v>
      </c>
      <c r="O13" s="96"/>
      <c r="P13" s="96">
        <v>70</v>
      </c>
      <c r="Q13" s="96">
        <v>21.5</v>
      </c>
      <c r="R13" s="96">
        <v>13</v>
      </c>
      <c r="S13" s="96">
        <v>24</v>
      </c>
      <c r="T13" s="96">
        <v>3</v>
      </c>
      <c r="U13" s="96">
        <v>5</v>
      </c>
      <c r="V13" s="96">
        <v>0</v>
      </c>
      <c r="W13" s="96">
        <v>7</v>
      </c>
      <c r="X13" s="96">
        <v>32</v>
      </c>
      <c r="Y13" s="100">
        <v>46195</v>
      </c>
      <c r="Z13" s="144"/>
      <c r="AA13" s="102"/>
      <c r="AB13" s="143" t="s">
        <v>75</v>
      </c>
      <c r="AC13" s="100">
        <v>46203</v>
      </c>
      <c r="AD13" s="96"/>
    </row>
    <row r="14" spans="1:30" s="94" customFormat="1">
      <c r="A14" s="158"/>
      <c r="B14" s="147"/>
      <c r="C14" s="142">
        <v>125</v>
      </c>
      <c r="D14" s="166" t="s">
        <v>76</v>
      </c>
      <c r="E14" s="154" t="s">
        <v>52</v>
      </c>
      <c r="F14" s="147" t="s">
        <v>41</v>
      </c>
      <c r="G14" s="96" t="s">
        <v>77</v>
      </c>
      <c r="H14" s="159" t="s">
        <v>78</v>
      </c>
      <c r="I14" s="159" t="s">
        <v>44</v>
      </c>
      <c r="J14" s="154"/>
      <c r="K14" s="164">
        <v>75</v>
      </c>
      <c r="L14" s="164">
        <v>35</v>
      </c>
      <c r="M14" s="164">
        <v>20</v>
      </c>
      <c r="N14" s="164">
        <v>45</v>
      </c>
      <c r="O14" s="154"/>
      <c r="P14" s="164">
        <v>175</v>
      </c>
      <c r="Q14" s="165">
        <v>31</v>
      </c>
      <c r="R14" s="165">
        <v>29</v>
      </c>
      <c r="S14" s="165">
        <v>26</v>
      </c>
      <c r="T14" s="165">
        <v>3</v>
      </c>
      <c r="U14" s="165">
        <v>3</v>
      </c>
      <c r="V14" s="165">
        <v>0</v>
      </c>
      <c r="W14" s="165">
        <v>6</v>
      </c>
      <c r="X14" s="165">
        <v>52</v>
      </c>
      <c r="Y14" s="158">
        <v>46129</v>
      </c>
      <c r="Z14" s="168">
        <v>46141</v>
      </c>
      <c r="AA14" s="147" t="s">
        <v>71</v>
      </c>
      <c r="AB14" s="167" t="s">
        <v>72</v>
      </c>
      <c r="AC14" s="158">
        <v>46261</v>
      </c>
      <c r="AD14" s="142"/>
    </row>
    <row r="15" spans="1:30" s="94" customFormat="1">
      <c r="A15" s="158"/>
      <c r="B15" s="147"/>
      <c r="C15" s="142">
        <v>125.1</v>
      </c>
      <c r="D15" s="166"/>
      <c r="E15" s="154"/>
      <c r="F15" s="147" t="s">
        <v>41</v>
      </c>
      <c r="G15" s="96" t="s">
        <v>79</v>
      </c>
      <c r="H15" s="159"/>
      <c r="I15" s="159"/>
      <c r="J15" s="154"/>
      <c r="K15" s="164"/>
      <c r="L15" s="164"/>
      <c r="M15" s="164"/>
      <c r="N15" s="164"/>
      <c r="O15" s="154"/>
      <c r="P15" s="164"/>
      <c r="Q15" s="165"/>
      <c r="R15" s="165"/>
      <c r="S15" s="165"/>
      <c r="T15" s="165"/>
      <c r="U15" s="165"/>
      <c r="V15" s="165"/>
      <c r="W15" s="165"/>
      <c r="X15" s="165"/>
      <c r="Y15" s="158"/>
      <c r="Z15" s="168"/>
      <c r="AA15" s="147" t="s">
        <v>71</v>
      </c>
      <c r="AB15" s="167"/>
      <c r="AC15" s="158"/>
      <c r="AD15" s="142"/>
    </row>
    <row r="16" spans="1:30" s="94" customFormat="1">
      <c r="A16" s="141"/>
      <c r="B16" s="147"/>
      <c r="C16" s="142">
        <v>149</v>
      </c>
      <c r="D16" s="140" t="s">
        <v>80</v>
      </c>
      <c r="E16" s="147" t="s">
        <v>48</v>
      </c>
      <c r="F16" s="147" t="s">
        <v>41</v>
      </c>
      <c r="G16" s="96" t="s">
        <v>81</v>
      </c>
      <c r="H16" s="96" t="s">
        <v>54</v>
      </c>
      <c r="I16" s="142" t="s">
        <v>44</v>
      </c>
      <c r="J16" s="142"/>
      <c r="K16" s="142">
        <v>20</v>
      </c>
      <c r="L16" s="142">
        <v>30</v>
      </c>
      <c r="M16" s="142">
        <v>6</v>
      </c>
      <c r="N16" s="142">
        <v>28</v>
      </c>
      <c r="O16" s="142"/>
      <c r="P16" s="142">
        <v>84</v>
      </c>
      <c r="Q16" s="142">
        <v>24</v>
      </c>
      <c r="R16" s="142">
        <v>21</v>
      </c>
      <c r="S16" s="142">
        <v>9</v>
      </c>
      <c r="T16" s="142">
        <v>2</v>
      </c>
      <c r="U16" s="142">
        <v>5</v>
      </c>
      <c r="V16" s="142">
        <v>0</v>
      </c>
      <c r="W16" s="142">
        <v>1</v>
      </c>
      <c r="X16" s="142">
        <v>31</v>
      </c>
      <c r="Y16" s="141">
        <v>46220</v>
      </c>
      <c r="Z16" s="144">
        <v>46225</v>
      </c>
      <c r="AA16" s="147" t="s">
        <v>71</v>
      </c>
      <c r="AB16" s="143" t="s">
        <v>72</v>
      </c>
      <c r="AC16" s="141">
        <v>46261</v>
      </c>
      <c r="AD16" s="142"/>
    </row>
    <row r="17" spans="1:30" s="94" customFormat="1" ht="30">
      <c r="A17" s="141"/>
      <c r="B17" s="147"/>
      <c r="C17" s="142">
        <v>51</v>
      </c>
      <c r="D17" s="140" t="s">
        <v>82</v>
      </c>
      <c r="E17" s="147" t="s">
        <v>40</v>
      </c>
      <c r="F17" s="147" t="s">
        <v>35</v>
      </c>
      <c r="G17" s="96" t="s">
        <v>83</v>
      </c>
      <c r="H17" s="96" t="s">
        <v>34</v>
      </c>
      <c r="I17" s="142" t="s">
        <v>44</v>
      </c>
      <c r="J17" s="142" t="s">
        <v>45</v>
      </c>
      <c r="K17" s="142">
        <v>9</v>
      </c>
      <c r="L17" s="142">
        <v>9</v>
      </c>
      <c r="M17" s="142">
        <v>2</v>
      </c>
      <c r="N17" s="142">
        <v>25</v>
      </c>
      <c r="O17" s="142"/>
      <c r="P17" s="142">
        <f>SUM(K17:N17)</f>
        <v>45</v>
      </c>
      <c r="Q17" s="142">
        <v>14</v>
      </c>
      <c r="R17" s="142">
        <v>7</v>
      </c>
      <c r="S17" s="142">
        <v>21</v>
      </c>
      <c r="T17" s="142">
        <v>4</v>
      </c>
      <c r="U17" s="142">
        <v>7</v>
      </c>
      <c r="V17" s="142">
        <v>0</v>
      </c>
      <c r="W17" s="142">
        <v>2</v>
      </c>
      <c r="X17" s="142">
        <v>30</v>
      </c>
      <c r="Y17" s="105" t="s">
        <v>84</v>
      </c>
      <c r="Z17" s="106">
        <v>46162</v>
      </c>
      <c r="AA17" s="147" t="s">
        <v>71</v>
      </c>
      <c r="AB17" s="143" t="s">
        <v>72</v>
      </c>
      <c r="AC17" s="141">
        <v>46261</v>
      </c>
      <c r="AD17" s="142"/>
    </row>
    <row r="18" spans="1:30" s="94" customFormat="1">
      <c r="A18" s="141">
        <v>46035</v>
      </c>
      <c r="B18" s="98"/>
      <c r="C18" s="142">
        <v>148</v>
      </c>
      <c r="D18" s="140" t="s">
        <v>85</v>
      </c>
      <c r="E18" s="147" t="s">
        <v>48</v>
      </c>
      <c r="F18" s="147" t="s">
        <v>41</v>
      </c>
      <c r="G18" s="107" t="s">
        <v>86</v>
      </c>
      <c r="H18" s="96" t="s">
        <v>34</v>
      </c>
      <c r="I18" s="142" t="s">
        <v>44</v>
      </c>
      <c r="J18" s="142"/>
      <c r="K18" s="142">
        <v>30</v>
      </c>
      <c r="L18" s="142">
        <v>3</v>
      </c>
      <c r="M18" s="142">
        <v>4</v>
      </c>
      <c r="N18" s="142">
        <v>6</v>
      </c>
      <c r="O18" s="142"/>
      <c r="P18" s="142">
        <v>43</v>
      </c>
      <c r="Q18" s="142">
        <v>17</v>
      </c>
      <c r="R18" s="142">
        <v>13</v>
      </c>
      <c r="S18" s="142">
        <v>2</v>
      </c>
      <c r="T18" s="142">
        <v>0</v>
      </c>
      <c r="U18" s="142">
        <v>3</v>
      </c>
      <c r="V18" s="142">
        <v>0</v>
      </c>
      <c r="W18" s="142">
        <v>1</v>
      </c>
      <c r="X18" s="142">
        <v>14</v>
      </c>
      <c r="Y18" s="141">
        <v>46216</v>
      </c>
      <c r="Z18" s="144">
        <v>46225</v>
      </c>
      <c r="AA18" s="147" t="s">
        <v>71</v>
      </c>
      <c r="AB18" s="143" t="s">
        <v>72</v>
      </c>
      <c r="AC18" s="141">
        <v>46261</v>
      </c>
      <c r="AD18" s="142"/>
    </row>
    <row r="19" spans="1:30" s="94" customFormat="1">
      <c r="A19" s="141">
        <v>46106</v>
      </c>
      <c r="B19" s="98"/>
      <c r="C19" s="142">
        <v>60</v>
      </c>
      <c r="D19" s="140" t="s">
        <v>87</v>
      </c>
      <c r="E19" s="147" t="s">
        <v>88</v>
      </c>
      <c r="F19" s="147" t="s">
        <v>41</v>
      </c>
      <c r="G19" s="96" t="s">
        <v>89</v>
      </c>
      <c r="H19" s="96"/>
      <c r="I19" s="142" t="s">
        <v>44</v>
      </c>
      <c r="J19" s="142"/>
      <c r="K19" s="142">
        <v>24</v>
      </c>
      <c r="L19" s="142">
        <v>12</v>
      </c>
      <c r="M19" s="142">
        <v>4</v>
      </c>
      <c r="N19" s="142">
        <v>21</v>
      </c>
      <c r="O19" s="142"/>
      <c r="P19" s="142">
        <v>61</v>
      </c>
      <c r="Q19" s="142">
        <v>17</v>
      </c>
      <c r="R19" s="142">
        <v>11</v>
      </c>
      <c r="S19" s="142">
        <v>12</v>
      </c>
      <c r="T19" s="142">
        <v>4</v>
      </c>
      <c r="U19" s="142">
        <v>6</v>
      </c>
      <c r="V19" s="142">
        <v>0</v>
      </c>
      <c r="W19" s="142">
        <v>2</v>
      </c>
      <c r="X19" s="142">
        <v>25</v>
      </c>
      <c r="Y19" s="141">
        <v>46178</v>
      </c>
      <c r="Z19" s="144">
        <v>46178</v>
      </c>
      <c r="AA19" s="147" t="s">
        <v>71</v>
      </c>
      <c r="AB19" s="143" t="s">
        <v>72</v>
      </c>
      <c r="AC19" s="141">
        <v>46261</v>
      </c>
      <c r="AD19" s="142"/>
    </row>
    <row r="20" spans="1:30" s="94" customFormat="1">
      <c r="A20" s="141"/>
      <c r="B20" s="147"/>
      <c r="C20" s="142">
        <v>122</v>
      </c>
      <c r="D20" s="140" t="s">
        <v>90</v>
      </c>
      <c r="E20" s="147" t="s">
        <v>88</v>
      </c>
      <c r="F20" s="147" t="s">
        <v>35</v>
      </c>
      <c r="G20" s="96" t="s">
        <v>91</v>
      </c>
      <c r="H20" s="96" t="s">
        <v>43</v>
      </c>
      <c r="I20" s="142" t="s">
        <v>44</v>
      </c>
      <c r="J20" s="142"/>
      <c r="K20" s="142">
        <v>5</v>
      </c>
      <c r="L20" s="142">
        <v>8</v>
      </c>
      <c r="M20" s="142">
        <v>2</v>
      </c>
      <c r="N20" s="142">
        <v>1</v>
      </c>
      <c r="O20" s="142"/>
      <c r="P20" s="142">
        <v>16</v>
      </c>
      <c r="Q20" s="142">
        <v>4</v>
      </c>
      <c r="R20" s="142">
        <v>3</v>
      </c>
      <c r="S20" s="142">
        <v>3</v>
      </c>
      <c r="T20" s="142">
        <v>0</v>
      </c>
      <c r="U20" s="142">
        <v>2</v>
      </c>
      <c r="V20" s="142">
        <v>0</v>
      </c>
      <c r="W20" s="142">
        <v>0</v>
      </c>
      <c r="X20" s="142">
        <v>6</v>
      </c>
      <c r="Y20" s="141">
        <v>46170</v>
      </c>
      <c r="Z20" s="144">
        <v>46176</v>
      </c>
      <c r="AA20" s="147" t="s">
        <v>71</v>
      </c>
      <c r="AB20" s="143" t="s">
        <v>72</v>
      </c>
      <c r="AC20" s="141">
        <v>46261</v>
      </c>
      <c r="AD20" s="142"/>
    </row>
    <row r="21" spans="1:30" s="94" customFormat="1">
      <c r="A21" s="153">
        <v>46228</v>
      </c>
      <c r="B21" s="108" t="s">
        <v>92</v>
      </c>
      <c r="C21" s="109">
        <v>55</v>
      </c>
      <c r="D21" s="157" t="s">
        <v>93</v>
      </c>
      <c r="E21" s="156" t="s">
        <v>52</v>
      </c>
      <c r="F21" s="156" t="s">
        <v>94</v>
      </c>
      <c r="G21" s="110" t="s">
        <v>95</v>
      </c>
      <c r="H21" s="155" t="s">
        <v>96</v>
      </c>
      <c r="I21" s="155" t="s">
        <v>97</v>
      </c>
      <c r="J21" s="109"/>
      <c r="K21" s="109">
        <v>12</v>
      </c>
      <c r="L21" s="109">
        <v>20</v>
      </c>
      <c r="M21" s="109">
        <v>20</v>
      </c>
      <c r="N21" s="109">
        <v>2</v>
      </c>
      <c r="O21" s="109"/>
      <c r="P21" s="109"/>
      <c r="Q21" s="109">
        <v>19</v>
      </c>
      <c r="R21" s="109">
        <v>3</v>
      </c>
      <c r="S21" s="109">
        <v>28</v>
      </c>
      <c r="T21" s="109">
        <v>0</v>
      </c>
      <c r="U21" s="109">
        <v>3</v>
      </c>
      <c r="V21" s="109">
        <v>25</v>
      </c>
      <c r="W21" s="109">
        <v>4</v>
      </c>
      <c r="X21" s="109">
        <v>26</v>
      </c>
      <c r="Y21" s="150">
        <v>46269</v>
      </c>
      <c r="Z21" s="111"/>
      <c r="AA21" s="112"/>
      <c r="AB21" s="113"/>
      <c r="AC21" s="150"/>
      <c r="AD21" s="109"/>
    </row>
    <row r="22" spans="1:30" s="94" customFormat="1">
      <c r="A22" s="153"/>
      <c r="B22" s="108" t="s">
        <v>92</v>
      </c>
      <c r="C22" s="109">
        <v>55.1</v>
      </c>
      <c r="D22" s="157"/>
      <c r="E22" s="156"/>
      <c r="F22" s="156"/>
      <c r="G22" s="114" t="s">
        <v>98</v>
      </c>
      <c r="H22" s="155"/>
      <c r="I22" s="155"/>
      <c r="J22" s="109"/>
      <c r="K22" s="109">
        <v>4</v>
      </c>
      <c r="L22" s="109">
        <v>6</v>
      </c>
      <c r="M22" s="109">
        <v>2</v>
      </c>
      <c r="N22" s="109"/>
      <c r="O22" s="109"/>
      <c r="P22" s="109"/>
      <c r="Q22" s="109">
        <v>2</v>
      </c>
      <c r="R22" s="109"/>
      <c r="S22" s="109"/>
      <c r="T22" s="109"/>
      <c r="U22" s="109">
        <v>3</v>
      </c>
      <c r="V22" s="109"/>
      <c r="W22" s="109"/>
      <c r="X22" s="109"/>
      <c r="Y22" s="150">
        <v>46269</v>
      </c>
      <c r="Z22" s="111"/>
      <c r="AA22" s="112"/>
      <c r="AB22" s="113"/>
      <c r="AC22" s="150"/>
      <c r="AD22" s="109"/>
    </row>
    <row r="23" spans="1:30" s="94" customFormat="1">
      <c r="A23" s="150">
        <v>46218</v>
      </c>
      <c r="B23" s="108" t="s">
        <v>92</v>
      </c>
      <c r="C23" s="109">
        <v>56</v>
      </c>
      <c r="D23" s="162" t="s">
        <v>99</v>
      </c>
      <c r="E23" s="156" t="s">
        <v>40</v>
      </c>
      <c r="F23" s="156" t="s">
        <v>94</v>
      </c>
      <c r="G23" s="110" t="s">
        <v>100</v>
      </c>
      <c r="H23" s="109" t="s">
        <v>101</v>
      </c>
      <c r="I23" s="151" t="s">
        <v>102</v>
      </c>
      <c r="J23" s="109"/>
      <c r="K23" s="109">
        <v>23</v>
      </c>
      <c r="L23" s="109">
        <v>15</v>
      </c>
      <c r="M23" s="109">
        <v>10</v>
      </c>
      <c r="N23" s="109">
        <v>10</v>
      </c>
      <c r="O23" s="109"/>
      <c r="P23" s="109"/>
      <c r="Q23" s="109">
        <v>12</v>
      </c>
      <c r="R23" s="109">
        <v>2</v>
      </c>
      <c r="S23" s="109">
        <v>9</v>
      </c>
      <c r="T23" s="109">
        <v>2</v>
      </c>
      <c r="U23" s="109">
        <v>2</v>
      </c>
      <c r="V23" s="109"/>
      <c r="W23" s="109"/>
      <c r="X23" s="109">
        <v>11</v>
      </c>
      <c r="Y23" s="150">
        <v>46283</v>
      </c>
      <c r="Z23" s="111"/>
      <c r="AA23" s="149" t="s">
        <v>71</v>
      </c>
      <c r="AB23" s="113"/>
      <c r="AC23" s="150"/>
      <c r="AD23" s="109"/>
    </row>
    <row r="24" spans="1:30" s="94" customFormat="1">
      <c r="A24" s="150"/>
      <c r="B24" s="108" t="s">
        <v>92</v>
      </c>
      <c r="C24" s="109">
        <v>56.1</v>
      </c>
      <c r="D24" s="162"/>
      <c r="E24" s="156"/>
      <c r="F24" s="156"/>
      <c r="G24" s="114" t="s">
        <v>103</v>
      </c>
      <c r="H24" s="109" t="s">
        <v>101</v>
      </c>
      <c r="I24" s="151" t="s">
        <v>102</v>
      </c>
      <c r="J24" s="109"/>
      <c r="K24" s="109"/>
      <c r="L24" s="109"/>
      <c r="M24" s="109"/>
      <c r="N24" s="109"/>
      <c r="O24" s="109"/>
      <c r="P24" s="109"/>
      <c r="Q24" s="109">
        <v>0</v>
      </c>
      <c r="R24" s="109">
        <v>0</v>
      </c>
      <c r="S24" s="109">
        <v>0</v>
      </c>
      <c r="T24" s="109"/>
      <c r="U24" s="109">
        <v>2</v>
      </c>
      <c r="V24" s="109"/>
      <c r="W24" s="109"/>
      <c r="X24" s="109"/>
      <c r="Y24" s="150">
        <v>46282</v>
      </c>
      <c r="Z24" s="111"/>
      <c r="AA24" s="149" t="s">
        <v>71</v>
      </c>
      <c r="AB24" s="113"/>
      <c r="AC24" s="150"/>
      <c r="AD24" s="109"/>
    </row>
    <row r="25" spans="1:30" s="94" customFormat="1">
      <c r="A25" s="111">
        <v>46213</v>
      </c>
      <c r="B25" s="117" t="s">
        <v>92</v>
      </c>
      <c r="C25" s="116">
        <v>57</v>
      </c>
      <c r="D25" s="148" t="s">
        <v>104</v>
      </c>
      <c r="E25" s="149" t="s">
        <v>88</v>
      </c>
      <c r="F25" s="149" t="s">
        <v>94</v>
      </c>
      <c r="G25" s="118" t="s">
        <v>105</v>
      </c>
      <c r="H25" s="116" t="s">
        <v>101</v>
      </c>
      <c r="I25" s="151" t="s">
        <v>102</v>
      </c>
      <c r="J25" s="116"/>
      <c r="K25" s="116">
        <v>8</v>
      </c>
      <c r="L25" s="116">
        <v>21</v>
      </c>
      <c r="M25" s="116">
        <v>15</v>
      </c>
      <c r="N25" s="116">
        <v>8</v>
      </c>
      <c r="O25" s="116"/>
      <c r="P25" s="116"/>
      <c r="Q25" s="116">
        <v>5</v>
      </c>
      <c r="R25" s="116">
        <v>0</v>
      </c>
      <c r="S25" s="116">
        <v>11</v>
      </c>
      <c r="T25" s="116"/>
      <c r="U25" s="116">
        <v>2</v>
      </c>
      <c r="V25" s="116"/>
      <c r="W25" s="116"/>
      <c r="X25" s="116"/>
      <c r="Y25" s="111">
        <v>46279</v>
      </c>
      <c r="Z25" s="111"/>
      <c r="AA25" s="149" t="s">
        <v>71</v>
      </c>
      <c r="AB25" s="119"/>
      <c r="AC25" s="111"/>
      <c r="AD25" s="116" t="s">
        <v>106</v>
      </c>
    </row>
    <row r="26" spans="1:30" s="94" customFormat="1">
      <c r="A26" s="111">
        <v>46223</v>
      </c>
      <c r="B26" s="117" t="s">
        <v>92</v>
      </c>
      <c r="C26" s="116">
        <v>57.1</v>
      </c>
      <c r="D26" s="160" t="s">
        <v>107</v>
      </c>
      <c r="E26" s="161" t="s">
        <v>88</v>
      </c>
      <c r="F26" s="161" t="s">
        <v>94</v>
      </c>
      <c r="G26" s="120" t="s">
        <v>108</v>
      </c>
      <c r="H26" s="116" t="s">
        <v>43</v>
      </c>
      <c r="I26" s="151" t="s">
        <v>102</v>
      </c>
      <c r="J26" s="116"/>
      <c r="K26" s="116">
        <v>4</v>
      </c>
      <c r="L26" s="116">
        <v>8</v>
      </c>
      <c r="M26" s="116">
        <v>6</v>
      </c>
      <c r="N26" s="116"/>
      <c r="O26" s="116"/>
      <c r="P26" s="116"/>
      <c r="Q26" s="116">
        <v>0.5</v>
      </c>
      <c r="R26" s="116">
        <v>0</v>
      </c>
      <c r="S26" s="116">
        <v>0</v>
      </c>
      <c r="T26" s="116"/>
      <c r="U26" s="116">
        <v>2</v>
      </c>
      <c r="V26" s="116"/>
      <c r="W26" s="116"/>
      <c r="X26" s="116"/>
      <c r="Y26" s="111">
        <v>46279</v>
      </c>
      <c r="Z26" s="111"/>
      <c r="AA26" s="149" t="s">
        <v>71</v>
      </c>
      <c r="AB26" s="119"/>
      <c r="AC26" s="111"/>
      <c r="AD26" s="116" t="s">
        <v>106</v>
      </c>
    </row>
    <row r="27" spans="1:30" s="94" customFormat="1">
      <c r="A27" s="111"/>
      <c r="B27" s="117" t="s">
        <v>92</v>
      </c>
      <c r="C27" s="116">
        <v>57.2</v>
      </c>
      <c r="D27" s="160"/>
      <c r="E27" s="161"/>
      <c r="F27" s="161"/>
      <c r="G27" s="120" t="s">
        <v>109</v>
      </c>
      <c r="H27" s="116"/>
      <c r="I27" s="109" t="s">
        <v>97</v>
      </c>
      <c r="J27" s="116"/>
      <c r="K27" s="116">
        <v>7</v>
      </c>
      <c r="L27" s="116">
        <v>6</v>
      </c>
      <c r="M27" s="116">
        <v>6</v>
      </c>
      <c r="N27" s="116"/>
      <c r="O27" s="116"/>
      <c r="P27" s="116"/>
      <c r="Q27" s="116">
        <v>2</v>
      </c>
      <c r="R27" s="116">
        <v>0</v>
      </c>
      <c r="S27" s="116">
        <v>0</v>
      </c>
      <c r="T27" s="116"/>
      <c r="U27" s="116">
        <v>2</v>
      </c>
      <c r="V27" s="116"/>
      <c r="W27" s="116"/>
      <c r="X27" s="116">
        <v>1</v>
      </c>
      <c r="Y27" s="111">
        <v>46279</v>
      </c>
      <c r="Z27" s="111"/>
      <c r="AA27" s="149"/>
      <c r="AB27" s="119"/>
      <c r="AC27" s="111"/>
      <c r="AD27" s="116" t="s">
        <v>106</v>
      </c>
    </row>
    <row r="28" spans="1:30" s="94" customFormat="1">
      <c r="A28" s="111"/>
      <c r="B28" s="117" t="s">
        <v>92</v>
      </c>
      <c r="C28" s="116">
        <v>57.3</v>
      </c>
      <c r="D28" s="160"/>
      <c r="E28" s="161"/>
      <c r="F28" s="161"/>
      <c r="G28" s="120" t="s">
        <v>110</v>
      </c>
      <c r="H28" s="116"/>
      <c r="I28" s="151" t="s">
        <v>102</v>
      </c>
      <c r="J28" s="116"/>
      <c r="K28" s="116">
        <v>7</v>
      </c>
      <c r="L28" s="116">
        <v>7</v>
      </c>
      <c r="M28" s="116">
        <v>4</v>
      </c>
      <c r="N28" s="116">
        <v>4</v>
      </c>
      <c r="O28" s="116"/>
      <c r="P28" s="116"/>
      <c r="Q28" s="116">
        <v>1</v>
      </c>
      <c r="R28" s="116">
        <v>1</v>
      </c>
      <c r="S28" s="116">
        <v>6</v>
      </c>
      <c r="T28" s="116"/>
      <c r="U28" s="116">
        <v>2</v>
      </c>
      <c r="V28" s="116"/>
      <c r="W28" s="116"/>
      <c r="X28" s="116"/>
      <c r="Y28" s="111">
        <v>46279</v>
      </c>
      <c r="Z28" s="111"/>
      <c r="AA28" s="149" t="s">
        <v>71</v>
      </c>
      <c r="AB28" s="119"/>
      <c r="AC28" s="111"/>
      <c r="AD28" s="116" t="s">
        <v>106</v>
      </c>
    </row>
    <row r="29" spans="1:30" s="94" customFormat="1">
      <c r="A29" s="150"/>
      <c r="B29" s="146" t="s">
        <v>111</v>
      </c>
      <c r="C29" s="109">
        <v>90</v>
      </c>
      <c r="D29" s="145" t="s">
        <v>112</v>
      </c>
      <c r="E29" s="146" t="s">
        <v>88</v>
      </c>
      <c r="F29" s="146" t="s">
        <v>94</v>
      </c>
      <c r="G29" s="171" t="s">
        <v>113</v>
      </c>
      <c r="H29" s="109"/>
      <c r="I29" s="109" t="s">
        <v>97</v>
      </c>
      <c r="J29" s="109"/>
      <c r="K29" s="109">
        <v>8</v>
      </c>
      <c r="L29" s="109">
        <v>39</v>
      </c>
      <c r="M29" s="109">
        <v>21</v>
      </c>
      <c r="N29" s="109">
        <v>4</v>
      </c>
      <c r="O29" s="109"/>
      <c r="P29" s="109"/>
      <c r="Q29" s="109">
        <v>10</v>
      </c>
      <c r="R29" s="109">
        <v>1</v>
      </c>
      <c r="S29" s="109">
        <v>10</v>
      </c>
      <c r="T29" s="109"/>
      <c r="U29" s="109">
        <v>2</v>
      </c>
      <c r="V29" s="109"/>
      <c r="W29" s="109">
        <v>4</v>
      </c>
      <c r="X29" s="109">
        <v>7</v>
      </c>
      <c r="Y29" s="150">
        <v>46269</v>
      </c>
      <c r="Z29" s="150"/>
      <c r="AA29" s="112"/>
      <c r="AB29" s="113"/>
      <c r="AC29" s="150"/>
      <c r="AD29" s="109"/>
    </row>
    <row r="30" spans="1:30" s="94" customFormat="1">
      <c r="A30" s="150">
        <v>46174</v>
      </c>
      <c r="B30" s="146" t="s">
        <v>111</v>
      </c>
      <c r="C30" s="109">
        <v>25</v>
      </c>
      <c r="D30" s="145" t="s">
        <v>114</v>
      </c>
      <c r="E30" s="146" t="s">
        <v>52</v>
      </c>
      <c r="F30" s="146" t="s">
        <v>41</v>
      </c>
      <c r="G30" s="171" t="s">
        <v>115</v>
      </c>
      <c r="H30" s="109" t="s">
        <v>101</v>
      </c>
      <c r="I30" s="109" t="s">
        <v>97</v>
      </c>
      <c r="J30" s="109"/>
      <c r="K30" s="109">
        <v>16</v>
      </c>
      <c r="L30" s="109">
        <v>46</v>
      </c>
      <c r="M30" s="109">
        <v>15</v>
      </c>
      <c r="N30" s="109">
        <v>20</v>
      </c>
      <c r="O30" s="109"/>
      <c r="P30" s="109"/>
      <c r="Q30" s="109">
        <v>30</v>
      </c>
      <c r="R30" s="109">
        <v>34</v>
      </c>
      <c r="S30" s="109">
        <v>20</v>
      </c>
      <c r="T30" s="109">
        <v>3</v>
      </c>
      <c r="U30" s="109">
        <v>3</v>
      </c>
      <c r="V30" s="109">
        <v>0</v>
      </c>
      <c r="W30" s="109">
        <v>2</v>
      </c>
      <c r="X30" s="109">
        <v>55</v>
      </c>
      <c r="Y30" s="150">
        <v>46273</v>
      </c>
      <c r="Z30" s="111"/>
      <c r="AA30" s="112"/>
      <c r="AB30" s="113"/>
      <c r="AC30" s="150"/>
      <c r="AD30" s="109"/>
    </row>
    <row r="31" spans="1:30" s="94" customFormat="1">
      <c r="A31" s="150"/>
      <c r="B31" s="146"/>
      <c r="C31" s="109">
        <v>53</v>
      </c>
      <c r="D31" s="145" t="s">
        <v>116</v>
      </c>
      <c r="E31" s="146" t="s">
        <v>40</v>
      </c>
      <c r="F31" s="146" t="s">
        <v>35</v>
      </c>
      <c r="G31" s="127" t="s">
        <v>117</v>
      </c>
      <c r="H31" s="109" t="s">
        <v>78</v>
      </c>
      <c r="I31" s="109" t="s">
        <v>118</v>
      </c>
      <c r="J31" s="109"/>
      <c r="K31" s="109">
        <v>6</v>
      </c>
      <c r="L31" s="109">
        <v>120</v>
      </c>
      <c r="M31" s="109"/>
      <c r="N31" s="109">
        <v>117</v>
      </c>
      <c r="O31" s="109"/>
      <c r="P31" s="109"/>
      <c r="Q31" s="109">
        <v>70</v>
      </c>
      <c r="R31" s="109">
        <v>31</v>
      </c>
      <c r="S31" s="109">
        <v>88</v>
      </c>
      <c r="T31" s="109">
        <v>9</v>
      </c>
      <c r="U31" s="109">
        <v>4</v>
      </c>
      <c r="V31" s="109">
        <v>2</v>
      </c>
      <c r="W31" s="109">
        <v>31</v>
      </c>
      <c r="X31" s="109">
        <v>95</v>
      </c>
      <c r="Y31" s="150"/>
      <c r="Z31" s="111"/>
      <c r="AA31" s="109"/>
      <c r="AB31" s="122"/>
      <c r="AC31" s="150"/>
      <c r="AD31" s="109"/>
    </row>
    <row r="32" spans="1:30" s="94" customFormat="1">
      <c r="A32" s="150"/>
      <c r="B32" s="146"/>
      <c r="C32" s="109">
        <v>33</v>
      </c>
      <c r="D32" s="145" t="s">
        <v>119</v>
      </c>
      <c r="E32" s="146" t="s">
        <v>88</v>
      </c>
      <c r="F32" s="146" t="s">
        <v>120</v>
      </c>
      <c r="G32" s="123" t="s">
        <v>121</v>
      </c>
      <c r="H32" s="109" t="s">
        <v>101</v>
      </c>
      <c r="I32" s="109" t="s">
        <v>122</v>
      </c>
      <c r="J32" s="124" t="s">
        <v>123</v>
      </c>
      <c r="K32" s="109">
        <v>12</v>
      </c>
      <c r="L32" s="109">
        <v>40</v>
      </c>
      <c r="M32" s="109">
        <v>16</v>
      </c>
      <c r="N32" s="109"/>
      <c r="O32" s="109"/>
      <c r="P32" s="109"/>
      <c r="Q32" s="125"/>
      <c r="R32" s="125"/>
      <c r="S32" s="125"/>
      <c r="T32" s="125"/>
      <c r="U32" s="125"/>
      <c r="V32" s="125"/>
      <c r="W32" s="125"/>
      <c r="X32" s="125"/>
      <c r="Y32" s="150"/>
      <c r="Z32" s="111"/>
      <c r="AA32" s="146"/>
      <c r="AB32" s="113"/>
      <c r="AC32" s="150"/>
      <c r="AD32" s="109"/>
    </row>
    <row r="33" spans="1:30" s="94" customFormat="1">
      <c r="A33" s="150"/>
      <c r="B33" s="146"/>
      <c r="C33" s="109">
        <v>34</v>
      </c>
      <c r="D33" s="146"/>
      <c r="E33" s="146"/>
      <c r="F33" s="146" t="s">
        <v>120</v>
      </c>
      <c r="G33" s="126" t="s">
        <v>124</v>
      </c>
      <c r="H33" s="109" t="s">
        <v>70</v>
      </c>
      <c r="I33" s="109" t="s">
        <v>122</v>
      </c>
      <c r="J33" s="124" t="s">
        <v>123</v>
      </c>
      <c r="K33" s="109"/>
      <c r="L33" s="109"/>
      <c r="M33" s="109"/>
      <c r="N33" s="109"/>
      <c r="O33" s="109"/>
      <c r="P33" s="109"/>
      <c r="Q33" s="125"/>
      <c r="R33" s="125"/>
      <c r="S33" s="125"/>
      <c r="T33" s="125"/>
      <c r="U33" s="125"/>
      <c r="V33" s="125"/>
      <c r="W33" s="125"/>
      <c r="X33" s="125"/>
      <c r="Y33" s="150"/>
      <c r="Z33" s="111"/>
      <c r="AA33" s="112"/>
      <c r="AB33" s="113"/>
      <c r="AC33" s="150"/>
      <c r="AD33" s="109"/>
    </row>
    <row r="34" spans="1:30" s="94" customFormat="1">
      <c r="A34" s="150"/>
      <c r="B34" s="146" t="s">
        <v>111</v>
      </c>
      <c r="C34" s="109">
        <v>124</v>
      </c>
      <c r="D34" s="145" t="s">
        <v>125</v>
      </c>
      <c r="E34" s="146" t="s">
        <v>32</v>
      </c>
      <c r="F34" s="146" t="s">
        <v>35</v>
      </c>
      <c r="G34" s="127" t="s">
        <v>126</v>
      </c>
      <c r="H34" s="109" t="s">
        <v>34</v>
      </c>
      <c r="I34" s="109" t="s">
        <v>127</v>
      </c>
      <c r="J34" s="109"/>
      <c r="K34" s="109">
        <v>1</v>
      </c>
      <c r="L34" s="109">
        <v>4</v>
      </c>
      <c r="M34" s="109">
        <v>4</v>
      </c>
      <c r="N34" s="109">
        <v>7</v>
      </c>
      <c r="O34" s="109"/>
      <c r="P34" s="109"/>
      <c r="Q34" s="109">
        <v>4.5</v>
      </c>
      <c r="R34" s="109">
        <v>3</v>
      </c>
      <c r="S34" s="109">
        <v>5</v>
      </c>
      <c r="T34" s="109">
        <v>1</v>
      </c>
      <c r="U34" s="109">
        <v>2</v>
      </c>
      <c r="V34" s="109">
        <v>3</v>
      </c>
      <c r="W34" s="109">
        <v>0</v>
      </c>
      <c r="X34" s="109">
        <v>6</v>
      </c>
      <c r="Y34" s="150"/>
      <c r="Z34" s="150"/>
      <c r="AA34" s="112"/>
      <c r="AB34" s="113"/>
      <c r="AC34" s="150"/>
      <c r="AD34" s="109"/>
    </row>
    <row r="35" spans="1:30" s="94" customFormat="1">
      <c r="A35" s="150"/>
      <c r="B35" s="146" t="s">
        <v>111</v>
      </c>
      <c r="C35" s="109">
        <v>131</v>
      </c>
      <c r="D35" s="145" t="s">
        <v>128</v>
      </c>
      <c r="E35" s="146" t="s">
        <v>32</v>
      </c>
      <c r="F35" s="146" t="s">
        <v>35</v>
      </c>
      <c r="G35" s="121" t="s">
        <v>129</v>
      </c>
      <c r="H35" s="109" t="s">
        <v>34</v>
      </c>
      <c r="I35" s="109" t="s">
        <v>130</v>
      </c>
      <c r="J35" s="109"/>
      <c r="K35" s="109">
        <v>2</v>
      </c>
      <c r="L35" s="109">
        <v>24</v>
      </c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50"/>
      <c r="Z35" s="150"/>
      <c r="AA35" s="112"/>
      <c r="AB35" s="113"/>
      <c r="AC35" s="150"/>
      <c r="AD35" s="109"/>
    </row>
    <row r="36" spans="1:30" s="94" customFormat="1">
      <c r="A36" s="150"/>
      <c r="B36" s="146" t="s">
        <v>111</v>
      </c>
      <c r="C36" s="109">
        <v>1</v>
      </c>
      <c r="D36" s="145" t="s">
        <v>131</v>
      </c>
      <c r="E36" s="146" t="s">
        <v>132</v>
      </c>
      <c r="F36" s="146" t="s">
        <v>35</v>
      </c>
      <c r="G36" s="127" t="s">
        <v>133</v>
      </c>
      <c r="H36" s="109" t="s">
        <v>34</v>
      </c>
      <c r="I36" s="109" t="s">
        <v>134</v>
      </c>
      <c r="J36" s="109"/>
      <c r="K36" s="109">
        <v>2</v>
      </c>
      <c r="L36" s="109">
        <v>1</v>
      </c>
      <c r="M36" s="109"/>
      <c r="N36" s="109">
        <v>5</v>
      </c>
      <c r="O36" s="109"/>
      <c r="P36" s="109"/>
      <c r="Q36" s="109">
        <v>4</v>
      </c>
      <c r="R36" s="109">
        <v>3</v>
      </c>
      <c r="S36" s="109">
        <v>11</v>
      </c>
      <c r="T36" s="109">
        <v>0</v>
      </c>
      <c r="U36" s="109">
        <v>1</v>
      </c>
      <c r="V36" s="109">
        <v>14</v>
      </c>
      <c r="W36" s="109">
        <v>0</v>
      </c>
      <c r="X36" s="109">
        <v>0</v>
      </c>
      <c r="Y36" s="150"/>
      <c r="Z36" s="150"/>
      <c r="AA36" s="112"/>
      <c r="AB36" s="113"/>
      <c r="AC36" s="150"/>
      <c r="AD36" s="109"/>
    </row>
    <row r="37" spans="1:30" s="94" customFormat="1">
      <c r="A37" s="150">
        <v>46262</v>
      </c>
      <c r="B37" s="146" t="s">
        <v>111</v>
      </c>
      <c r="C37" s="109">
        <v>2</v>
      </c>
      <c r="D37" s="145" t="s">
        <v>135</v>
      </c>
      <c r="E37" s="146" t="s">
        <v>32</v>
      </c>
      <c r="F37" s="146" t="s">
        <v>94</v>
      </c>
      <c r="G37" s="135" t="s">
        <v>136</v>
      </c>
      <c r="H37" s="109" t="s">
        <v>54</v>
      </c>
      <c r="I37" s="151" t="s">
        <v>102</v>
      </c>
      <c r="J37" s="109"/>
      <c r="K37" s="109">
        <v>4</v>
      </c>
      <c r="L37" s="109">
        <v>15</v>
      </c>
      <c r="M37" s="109"/>
      <c r="N37" s="109"/>
      <c r="O37" s="109"/>
      <c r="P37" s="109"/>
      <c r="Q37" s="109">
        <v>5</v>
      </c>
      <c r="R37" s="109"/>
      <c r="S37" s="109">
        <v>2</v>
      </c>
      <c r="T37" s="109"/>
      <c r="U37" s="109">
        <v>2</v>
      </c>
      <c r="V37" s="109"/>
      <c r="W37" s="109">
        <v>1</v>
      </c>
      <c r="X37" s="109">
        <v>1</v>
      </c>
      <c r="Y37" s="150">
        <v>46281</v>
      </c>
      <c r="Z37" s="150"/>
      <c r="AA37" s="149" t="s">
        <v>71</v>
      </c>
      <c r="AB37" s="113"/>
      <c r="AC37" s="150"/>
      <c r="AD37" s="109"/>
    </row>
    <row r="38" spans="1:30" s="94" customFormat="1">
      <c r="A38" s="150">
        <v>46262</v>
      </c>
      <c r="B38" s="108"/>
      <c r="C38" s="109">
        <v>123</v>
      </c>
      <c r="D38" s="145" t="s">
        <v>137</v>
      </c>
      <c r="E38" s="146" t="s">
        <v>88</v>
      </c>
      <c r="F38" s="146" t="s">
        <v>35</v>
      </c>
      <c r="G38" s="123" t="s">
        <v>138</v>
      </c>
      <c r="H38" s="109" t="s">
        <v>54</v>
      </c>
      <c r="I38" s="109" t="s">
        <v>122</v>
      </c>
      <c r="J38" s="123" t="s">
        <v>139</v>
      </c>
      <c r="K38" s="109">
        <v>4</v>
      </c>
      <c r="L38" s="109">
        <v>4</v>
      </c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50"/>
      <c r="Z38" s="150"/>
      <c r="AA38" s="109"/>
      <c r="AB38" s="109"/>
      <c r="AC38" s="150"/>
      <c r="AD38" s="109"/>
    </row>
    <row r="39" spans="1:30" s="94" customFormat="1">
      <c r="A39" s="150">
        <v>46268</v>
      </c>
      <c r="B39" s="108"/>
      <c r="C39" s="109">
        <v>147</v>
      </c>
      <c r="D39" s="145" t="s">
        <v>140</v>
      </c>
      <c r="E39" s="146" t="s">
        <v>40</v>
      </c>
      <c r="F39" s="146"/>
      <c r="G39" s="128" t="s">
        <v>141</v>
      </c>
      <c r="H39" s="109" t="s">
        <v>54</v>
      </c>
      <c r="I39" s="109" t="s">
        <v>142</v>
      </c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50"/>
      <c r="Z39" s="150"/>
      <c r="AA39" s="112"/>
      <c r="AB39" s="113"/>
      <c r="AC39" s="150"/>
      <c r="AD39" s="109"/>
    </row>
    <row r="40" spans="1:30" s="94" customFormat="1">
      <c r="A40" s="150"/>
      <c r="B40" s="146"/>
      <c r="C40" s="109">
        <v>130.1</v>
      </c>
      <c r="D40" s="145" t="s">
        <v>143</v>
      </c>
      <c r="E40" s="146" t="s">
        <v>132</v>
      </c>
      <c r="F40" s="146"/>
      <c r="G40" s="129" t="s">
        <v>144</v>
      </c>
      <c r="H40" s="109" t="s">
        <v>54</v>
      </c>
      <c r="I40" s="109" t="s">
        <v>145</v>
      </c>
      <c r="J40" s="109" t="s">
        <v>146</v>
      </c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50"/>
      <c r="Z40" s="150"/>
      <c r="AA40" s="112"/>
      <c r="AB40" s="113"/>
      <c r="AC40" s="150"/>
      <c r="AD40" s="109"/>
    </row>
    <row r="41" spans="1:30" s="94" customFormat="1">
      <c r="A41" s="150"/>
      <c r="B41" s="130" t="s">
        <v>147</v>
      </c>
      <c r="C41" s="109">
        <v>9</v>
      </c>
      <c r="D41" s="131" t="s">
        <v>148</v>
      </c>
      <c r="E41" s="156" t="s">
        <v>88</v>
      </c>
      <c r="F41" s="156"/>
      <c r="G41" s="128" t="s">
        <v>149</v>
      </c>
      <c r="H41" s="109"/>
      <c r="I41" s="109"/>
      <c r="J41" s="109"/>
      <c r="K41" s="109"/>
      <c r="L41" s="109">
        <v>30</v>
      </c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50"/>
      <c r="Z41" s="150"/>
      <c r="AA41" s="112"/>
      <c r="AB41" s="113"/>
      <c r="AC41" s="150"/>
      <c r="AD41" s="109"/>
    </row>
    <row r="42" spans="1:30" s="94" customFormat="1">
      <c r="A42" s="150"/>
      <c r="B42" s="130" t="s">
        <v>147</v>
      </c>
      <c r="C42" s="109">
        <v>9.1</v>
      </c>
      <c r="D42" s="131" t="s">
        <v>150</v>
      </c>
      <c r="E42" s="156"/>
      <c r="F42" s="156"/>
      <c r="G42" s="132" t="s">
        <v>151</v>
      </c>
      <c r="H42" s="75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50"/>
      <c r="Z42" s="150"/>
      <c r="AA42" s="112"/>
      <c r="AB42" s="113"/>
      <c r="AC42" s="150"/>
      <c r="AD42" s="109"/>
    </row>
    <row r="43" spans="1:30" s="94" customFormat="1">
      <c r="A43" s="150"/>
      <c r="B43" s="130" t="s">
        <v>147</v>
      </c>
      <c r="C43" s="109">
        <v>9.1999999999999993</v>
      </c>
      <c r="D43" s="131" t="s">
        <v>152</v>
      </c>
      <c r="E43" s="156"/>
      <c r="F43" s="156"/>
      <c r="G43" s="133" t="s">
        <v>153</v>
      </c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50"/>
      <c r="Z43" s="150"/>
      <c r="AA43" s="112"/>
      <c r="AB43" s="113"/>
      <c r="AC43" s="150"/>
      <c r="AD43" s="109"/>
    </row>
    <row r="44" spans="1:30" s="94" customFormat="1">
      <c r="A44" s="150"/>
      <c r="B44" s="130" t="s">
        <v>147</v>
      </c>
      <c r="C44" s="109">
        <v>10</v>
      </c>
      <c r="D44" s="145"/>
      <c r="E44" s="146" t="s">
        <v>32</v>
      </c>
      <c r="F44" s="146" t="s">
        <v>94</v>
      </c>
      <c r="G44" s="128" t="s">
        <v>154</v>
      </c>
      <c r="H44" s="109"/>
      <c r="I44" s="109" t="s">
        <v>145</v>
      </c>
      <c r="J44" s="109"/>
      <c r="K44" s="109">
        <v>6</v>
      </c>
      <c r="L44" s="109">
        <v>12</v>
      </c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50"/>
      <c r="Z44" s="150"/>
      <c r="AA44" s="112"/>
      <c r="AB44" s="113"/>
      <c r="AC44" s="150"/>
      <c r="AD44" s="109"/>
    </row>
    <row r="45" spans="1:30" s="94" customFormat="1">
      <c r="A45" s="150"/>
      <c r="B45" s="130" t="s">
        <v>147</v>
      </c>
      <c r="C45" s="109">
        <v>8</v>
      </c>
      <c r="D45" s="131" t="s">
        <v>155</v>
      </c>
      <c r="E45" s="156"/>
      <c r="F45" s="156"/>
      <c r="G45" s="128" t="s">
        <v>156</v>
      </c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50"/>
      <c r="Z45" s="150"/>
      <c r="AA45" s="112"/>
      <c r="AB45" s="113"/>
      <c r="AC45" s="150"/>
      <c r="AD45" s="109"/>
    </row>
    <row r="46" spans="1:30" s="94" customFormat="1" ht="15" customHeight="1">
      <c r="A46" s="150"/>
      <c r="B46" s="130" t="s">
        <v>147</v>
      </c>
      <c r="C46" s="109">
        <v>8.1</v>
      </c>
      <c r="D46" s="131" t="s">
        <v>157</v>
      </c>
      <c r="E46" s="156"/>
      <c r="F46" s="156"/>
      <c r="G46" s="133" t="s">
        <v>158</v>
      </c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50"/>
      <c r="Z46" s="150"/>
      <c r="AA46" s="112"/>
      <c r="AB46" s="113"/>
      <c r="AC46" s="150"/>
      <c r="AD46" s="109"/>
    </row>
    <row r="47" spans="1:30" s="94" customFormat="1" ht="15.75" customHeight="1">
      <c r="A47" s="150"/>
      <c r="B47" s="146"/>
      <c r="C47" s="109"/>
      <c r="D47" s="134" t="s">
        <v>159</v>
      </c>
      <c r="E47" s="146"/>
      <c r="F47" s="146"/>
      <c r="G47" s="128" t="s">
        <v>160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50"/>
      <c r="Z47" s="150"/>
      <c r="AA47" s="112"/>
      <c r="AB47" s="113"/>
      <c r="AC47" s="150"/>
      <c r="AD47" s="109"/>
    </row>
    <row r="48" spans="1:30" s="94" customFormat="1">
      <c r="A48" s="150"/>
      <c r="B48" s="146"/>
      <c r="C48" s="109"/>
      <c r="D48" s="146"/>
      <c r="E48" s="146"/>
      <c r="F48" s="146"/>
      <c r="G48" s="128" t="s">
        <v>161</v>
      </c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50"/>
      <c r="Z48" s="150"/>
      <c r="AA48" s="112"/>
      <c r="AB48" s="113"/>
      <c r="AC48" s="150"/>
      <c r="AD48" s="109"/>
    </row>
    <row r="49" spans="1:30" s="94" customFormat="1">
      <c r="A49" s="150"/>
      <c r="B49" s="146"/>
      <c r="C49" s="109"/>
      <c r="D49" s="146"/>
      <c r="E49" s="146"/>
      <c r="F49" s="146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50"/>
      <c r="Z49" s="150"/>
      <c r="AA49" s="112"/>
      <c r="AB49" s="113"/>
      <c r="AC49" s="150"/>
      <c r="AD49" s="109"/>
    </row>
    <row r="50" spans="1:30" s="94" customFormat="1">
      <c r="A50" s="150"/>
      <c r="B50" s="146"/>
      <c r="C50" s="109"/>
      <c r="D50" s="146"/>
      <c r="E50" s="146"/>
      <c r="F50" s="146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50"/>
      <c r="Z50" s="150"/>
      <c r="AA50" s="112"/>
      <c r="AB50" s="113"/>
      <c r="AC50" s="150"/>
      <c r="AD50" s="109"/>
    </row>
    <row r="51" spans="1:30" s="94" customFormat="1">
      <c r="A51" s="150"/>
      <c r="B51" s="146"/>
      <c r="C51" s="109"/>
      <c r="D51" s="146"/>
      <c r="E51" s="146"/>
      <c r="F51" s="146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50"/>
      <c r="Z51" s="150"/>
      <c r="AA51" s="112"/>
      <c r="AB51" s="113"/>
      <c r="AC51" s="150"/>
      <c r="AD51" s="109"/>
    </row>
    <row r="52" spans="1:30" s="94" customFormat="1">
      <c r="A52" s="150"/>
      <c r="B52" s="146"/>
      <c r="C52" s="109"/>
      <c r="D52" s="146"/>
      <c r="E52" s="146"/>
      <c r="F52" s="146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50"/>
      <c r="Z52" s="150"/>
      <c r="AA52" s="112"/>
      <c r="AB52" s="113"/>
      <c r="AC52" s="150"/>
      <c r="AD52" s="109"/>
    </row>
    <row r="53" spans="1:30" s="94" customFormat="1">
      <c r="A53" s="150"/>
      <c r="B53" s="146"/>
      <c r="C53" s="109"/>
      <c r="D53" s="146"/>
      <c r="E53" s="146"/>
      <c r="F53" s="146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51" t="s">
        <v>10</v>
      </c>
      <c r="T53" s="109" t="s">
        <v>162</v>
      </c>
      <c r="U53" s="163"/>
      <c r="V53" s="109" t="s">
        <v>163</v>
      </c>
      <c r="W53" s="109"/>
      <c r="X53" s="109"/>
      <c r="Y53" s="150"/>
      <c r="Z53" s="150"/>
      <c r="AA53" s="112"/>
      <c r="AB53" s="113"/>
      <c r="AC53" s="150"/>
      <c r="AD53" s="109"/>
    </row>
    <row r="54" spans="1:30" s="94" customFormat="1">
      <c r="A54" s="150"/>
      <c r="B54" s="146"/>
      <c r="C54" s="109"/>
      <c r="D54" s="146"/>
      <c r="E54" s="146"/>
      <c r="F54" s="146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51" t="s">
        <v>11</v>
      </c>
      <c r="T54" s="109" t="s">
        <v>164</v>
      </c>
      <c r="U54" s="163"/>
      <c r="V54" s="109" t="s">
        <v>165</v>
      </c>
      <c r="W54" s="109"/>
      <c r="X54" s="109"/>
      <c r="Y54" s="150"/>
      <c r="Z54" s="150"/>
      <c r="AA54" s="112"/>
      <c r="AB54" s="113"/>
      <c r="AC54" s="150"/>
      <c r="AD54" s="109"/>
    </row>
    <row r="55" spans="1:30" s="94" customFormat="1">
      <c r="A55" s="150"/>
      <c r="B55" s="146"/>
      <c r="C55" s="109"/>
      <c r="D55" s="146"/>
      <c r="E55" s="146"/>
      <c r="F55" s="146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51" t="s">
        <v>12</v>
      </c>
      <c r="T55" s="109" t="s">
        <v>166</v>
      </c>
      <c r="U55" s="163"/>
      <c r="V55" s="109" t="s">
        <v>167</v>
      </c>
      <c r="W55" s="109"/>
      <c r="X55" s="109"/>
      <c r="Y55" s="150"/>
      <c r="Z55" s="150"/>
      <c r="AA55" s="112"/>
      <c r="AB55" s="113"/>
      <c r="AC55" s="150"/>
      <c r="AD55" s="109"/>
    </row>
    <row r="56" spans="1:30" s="94" customFormat="1">
      <c r="A56" s="150"/>
      <c r="B56" s="146"/>
      <c r="C56" s="109"/>
      <c r="D56" s="146"/>
      <c r="E56" s="146"/>
      <c r="F56" s="146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51" t="s">
        <v>13</v>
      </c>
      <c r="T56" s="109" t="s">
        <v>168</v>
      </c>
      <c r="U56" s="115"/>
      <c r="V56" s="109"/>
      <c r="W56" s="109"/>
      <c r="X56" s="109"/>
      <c r="Y56" s="150"/>
      <c r="Z56" s="150"/>
      <c r="AA56" s="112"/>
      <c r="AB56" s="113"/>
      <c r="AC56" s="150"/>
      <c r="AD56" s="109"/>
    </row>
    <row r="57" spans="1:30" s="94" customFormat="1">
      <c r="A57" s="150"/>
      <c r="B57" s="146"/>
      <c r="C57" s="109"/>
      <c r="D57" s="146"/>
      <c r="E57" s="146"/>
      <c r="F57" s="146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51" t="s">
        <v>14</v>
      </c>
      <c r="T57" s="109" t="s">
        <v>169</v>
      </c>
      <c r="U57" s="115" t="s">
        <v>170</v>
      </c>
      <c r="V57" s="109"/>
      <c r="W57" s="109"/>
      <c r="X57" s="109"/>
      <c r="Y57" s="150"/>
      <c r="Z57" s="150"/>
      <c r="AA57" s="112"/>
      <c r="AB57" s="113"/>
      <c r="AC57" s="150"/>
      <c r="AD57" s="109"/>
    </row>
    <row r="58" spans="1:30" s="94" customFormat="1">
      <c r="A58" s="150"/>
      <c r="B58" s="146"/>
      <c r="C58" s="109"/>
      <c r="D58" s="146"/>
      <c r="E58" s="146"/>
      <c r="F58" s="146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51" t="s">
        <v>171</v>
      </c>
      <c r="T58" s="109"/>
      <c r="U58" s="121"/>
      <c r="V58" s="109"/>
      <c r="W58" s="109"/>
      <c r="X58" s="109"/>
      <c r="Y58" s="150"/>
      <c r="Z58" s="150"/>
      <c r="AA58" s="112"/>
      <c r="AB58" s="113"/>
      <c r="AC58" s="150"/>
      <c r="AD58" s="109"/>
    </row>
    <row r="59" spans="1:30" s="94" customFormat="1">
      <c r="A59" s="150"/>
      <c r="B59" s="146"/>
      <c r="C59" s="109"/>
      <c r="D59" s="146"/>
      <c r="E59" s="146"/>
      <c r="F59" s="146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51" t="s">
        <v>102</v>
      </c>
      <c r="T59" s="146"/>
      <c r="U59" s="110"/>
      <c r="V59" s="109" t="s">
        <v>45</v>
      </c>
      <c r="W59" s="109" t="s">
        <v>172</v>
      </c>
      <c r="X59" s="109"/>
      <c r="Y59" s="150"/>
      <c r="Z59" s="150"/>
      <c r="AA59" s="112"/>
      <c r="AB59" s="113"/>
      <c r="AC59" s="150"/>
      <c r="AD59" s="109"/>
    </row>
    <row r="60" spans="1:30" s="94" customFormat="1">
      <c r="A60" s="150"/>
      <c r="B60" s="146"/>
      <c r="C60" s="109"/>
      <c r="D60" s="146"/>
      <c r="E60" s="146"/>
      <c r="F60" s="146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51" t="s">
        <v>27</v>
      </c>
      <c r="T60" s="109"/>
      <c r="U60" s="142"/>
      <c r="V60" s="109"/>
      <c r="W60" s="109"/>
      <c r="X60" s="109"/>
      <c r="Y60" s="150"/>
      <c r="Z60" s="150"/>
      <c r="AA60" s="112"/>
      <c r="AB60" s="113"/>
      <c r="AC60" s="150"/>
      <c r="AD60" s="109"/>
    </row>
    <row r="61" spans="1:30" s="94" customFormat="1">
      <c r="A61" s="150"/>
      <c r="B61" s="146"/>
      <c r="C61" s="109"/>
      <c r="D61" s="146"/>
      <c r="E61" s="146"/>
      <c r="F61" s="146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50"/>
      <c r="Z61" s="150"/>
      <c r="AA61" s="112"/>
      <c r="AB61" s="113"/>
      <c r="AC61" s="150"/>
      <c r="AD61" s="109"/>
    </row>
    <row r="62" spans="1:30" s="94" customFormat="1">
      <c r="A62" s="150"/>
      <c r="B62" s="146"/>
      <c r="C62" s="109"/>
      <c r="D62" s="146"/>
      <c r="E62" s="146"/>
      <c r="F62" s="146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50"/>
      <c r="Z62" s="150"/>
      <c r="AA62" s="112"/>
      <c r="AB62" s="113"/>
      <c r="AC62" s="150"/>
      <c r="AD62" s="109"/>
    </row>
    <row r="63" spans="1:30" s="94" customFormat="1">
      <c r="A63" s="150"/>
      <c r="B63" s="146"/>
      <c r="C63" s="109"/>
      <c r="D63" s="146"/>
      <c r="E63" s="146"/>
      <c r="F63" s="146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50"/>
      <c r="Z63" s="150"/>
      <c r="AA63" s="112"/>
      <c r="AB63" s="113"/>
      <c r="AC63" s="150"/>
      <c r="AD63" s="109"/>
    </row>
    <row r="64" spans="1:30" s="94" customFormat="1">
      <c r="A64" s="150"/>
      <c r="B64" s="146"/>
      <c r="C64" s="109"/>
      <c r="D64" s="146"/>
      <c r="E64" s="146"/>
      <c r="F64" s="146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50"/>
      <c r="Z64" s="150"/>
      <c r="AA64" s="112"/>
      <c r="AB64" s="113"/>
      <c r="AC64" s="150"/>
      <c r="AD64" s="109"/>
    </row>
    <row r="65" spans="1:30" s="94" customFormat="1">
      <c r="A65" s="150"/>
      <c r="B65" s="146"/>
      <c r="C65" s="109"/>
      <c r="D65" s="146"/>
      <c r="E65" s="146"/>
      <c r="F65" s="146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50"/>
      <c r="Z65" s="150"/>
      <c r="AA65" s="112"/>
      <c r="AB65" s="113"/>
      <c r="AC65" s="150"/>
      <c r="AD65" s="109"/>
    </row>
    <row r="66" spans="1:30" s="94" customFormat="1">
      <c r="A66" s="150"/>
      <c r="B66" s="146"/>
      <c r="C66" s="109"/>
      <c r="D66" s="146"/>
      <c r="E66" s="146"/>
      <c r="F66" s="146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50"/>
      <c r="Z66" s="150"/>
      <c r="AA66" s="112"/>
      <c r="AB66" s="113"/>
      <c r="AC66" s="150"/>
      <c r="AD66" s="109"/>
    </row>
    <row r="67" spans="1:30" s="94" customFormat="1">
      <c r="A67" s="150"/>
      <c r="B67" s="146"/>
      <c r="C67" s="109"/>
      <c r="D67" s="146"/>
      <c r="E67" s="146"/>
      <c r="F67" s="146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50"/>
      <c r="Z67" s="150"/>
      <c r="AA67" s="112"/>
      <c r="AB67" s="113"/>
      <c r="AC67" s="150"/>
      <c r="AD67" s="109"/>
    </row>
    <row r="68" spans="1:30" s="94" customFormat="1">
      <c r="A68" s="150"/>
      <c r="B68" s="146"/>
      <c r="C68" s="109"/>
      <c r="D68" s="146"/>
      <c r="E68" s="146"/>
      <c r="F68" s="146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50"/>
      <c r="Z68" s="150"/>
      <c r="AA68" s="112"/>
      <c r="AB68" s="113"/>
      <c r="AC68" s="150"/>
      <c r="AD68" s="109"/>
    </row>
    <row r="69" spans="1:30" s="94" customFormat="1">
      <c r="A69" s="150"/>
      <c r="B69" s="146"/>
      <c r="C69" s="109"/>
      <c r="D69" s="146"/>
      <c r="E69" s="146"/>
      <c r="F69" s="146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50"/>
      <c r="Z69" s="150"/>
      <c r="AA69" s="112"/>
      <c r="AB69" s="113"/>
      <c r="AC69" s="150"/>
      <c r="AD69" s="109"/>
    </row>
    <row r="70" spans="1:30" s="94" customFormat="1">
      <c r="A70" s="150"/>
      <c r="B70" s="146"/>
      <c r="C70" s="109"/>
      <c r="D70" s="146"/>
      <c r="E70" s="146"/>
      <c r="F70" s="146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50"/>
      <c r="Z70" s="150"/>
      <c r="AA70" s="112"/>
      <c r="AB70" s="113"/>
      <c r="AC70" s="150"/>
      <c r="AD70" s="109"/>
    </row>
    <row r="71" spans="1:30" s="94" customFormat="1">
      <c r="A71" s="150"/>
      <c r="B71" s="146"/>
      <c r="C71" s="109"/>
      <c r="D71" s="146"/>
      <c r="E71" s="146"/>
      <c r="F71" s="146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50"/>
      <c r="Z71" s="150"/>
      <c r="AA71" s="112"/>
      <c r="AB71" s="113"/>
      <c r="AC71" s="150"/>
      <c r="AD71" s="109"/>
    </row>
    <row r="72" spans="1:30" s="94" customFormat="1">
      <c r="A72" s="150"/>
      <c r="B72" s="146"/>
      <c r="C72" s="109"/>
      <c r="D72" s="146"/>
      <c r="E72" s="146"/>
      <c r="F72" s="146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50"/>
      <c r="Z72" s="150"/>
      <c r="AA72" s="112"/>
      <c r="AB72" s="113"/>
      <c r="AC72" s="150"/>
      <c r="AD72" s="109"/>
    </row>
    <row r="73" spans="1:30" s="94" customFormat="1">
      <c r="A73" s="150"/>
      <c r="B73" s="146"/>
      <c r="C73" s="109"/>
      <c r="D73" s="146"/>
      <c r="E73" s="146"/>
      <c r="F73" s="146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50"/>
      <c r="Z73" s="150"/>
      <c r="AA73" s="112"/>
      <c r="AB73" s="113"/>
      <c r="AC73" s="150"/>
      <c r="AD73" s="109"/>
    </row>
    <row r="74" spans="1:30" s="94" customFormat="1">
      <c r="A74" s="150"/>
      <c r="B74" s="146"/>
      <c r="C74" s="109"/>
      <c r="D74" s="146"/>
      <c r="E74" s="146"/>
      <c r="F74" s="146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50"/>
      <c r="Z74" s="150"/>
      <c r="AA74" s="112"/>
      <c r="AB74" s="113"/>
      <c r="AC74" s="150"/>
      <c r="AD74" s="109"/>
    </row>
    <row r="75" spans="1:30" s="94" customFormat="1">
      <c r="A75" s="150"/>
      <c r="B75" s="146"/>
      <c r="C75" s="109"/>
      <c r="D75" s="146"/>
      <c r="E75" s="146"/>
      <c r="F75" s="146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50"/>
      <c r="Z75" s="150"/>
      <c r="AA75" s="112"/>
      <c r="AB75" s="113"/>
      <c r="AC75" s="150"/>
      <c r="AD75" s="109"/>
    </row>
    <row r="76" spans="1:30" s="94" customFormat="1">
      <c r="A76" s="150"/>
      <c r="B76" s="146"/>
      <c r="C76" s="109"/>
      <c r="D76" s="146"/>
      <c r="E76" s="146"/>
      <c r="F76" s="146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50"/>
      <c r="Z76" s="150"/>
      <c r="AA76" s="112"/>
      <c r="AB76" s="113"/>
      <c r="AC76" s="150"/>
      <c r="AD76" s="109"/>
    </row>
    <row r="77" spans="1:30" s="94" customFormat="1">
      <c r="A77" s="150"/>
      <c r="B77" s="146"/>
      <c r="C77" s="109"/>
      <c r="D77" s="146"/>
      <c r="E77" s="146"/>
      <c r="F77" s="146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50"/>
      <c r="Z77" s="150"/>
      <c r="AA77" s="112"/>
      <c r="AB77" s="113"/>
      <c r="AC77" s="150"/>
      <c r="AD77" s="109"/>
    </row>
    <row r="78" spans="1:30" s="94" customFormat="1">
      <c r="A78" s="150"/>
      <c r="B78" s="146"/>
      <c r="C78" s="109"/>
      <c r="D78" s="146"/>
      <c r="E78" s="146"/>
      <c r="F78" s="146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50"/>
      <c r="Z78" s="150"/>
      <c r="AA78" s="112"/>
      <c r="AB78" s="113"/>
      <c r="AC78" s="150"/>
      <c r="AD78" s="109"/>
    </row>
    <row r="79" spans="1:30" s="94" customFormat="1">
      <c r="A79" s="150"/>
      <c r="B79" s="146"/>
      <c r="C79" s="109"/>
      <c r="D79" s="146"/>
      <c r="E79" s="146"/>
      <c r="F79" s="146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50"/>
      <c r="Z79" s="150"/>
      <c r="AA79" s="112"/>
      <c r="AB79" s="113"/>
      <c r="AC79" s="150"/>
      <c r="AD79" s="109"/>
    </row>
    <row r="80" spans="1:30" s="94" customFormat="1">
      <c r="A80" s="150"/>
      <c r="B80" s="146"/>
      <c r="C80" s="109"/>
      <c r="D80" s="146"/>
      <c r="E80" s="146"/>
      <c r="F80" s="146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50"/>
      <c r="Z80" s="150"/>
      <c r="AA80" s="112"/>
      <c r="AB80" s="113"/>
      <c r="AC80" s="150"/>
      <c r="AD80" s="109"/>
    </row>
    <row r="81" spans="1:30" s="94" customFormat="1">
      <c r="A81" s="150"/>
      <c r="B81" s="146"/>
      <c r="C81" s="109"/>
      <c r="D81" s="146"/>
      <c r="E81" s="146"/>
      <c r="F81" s="146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50"/>
      <c r="Z81" s="150"/>
      <c r="AA81" s="112"/>
      <c r="AB81" s="113"/>
      <c r="AC81" s="150"/>
      <c r="AD81" s="109"/>
    </row>
    <row r="82" spans="1:30" s="94" customFormat="1">
      <c r="A82" s="150"/>
      <c r="B82" s="146"/>
      <c r="C82" s="109"/>
      <c r="D82" s="146"/>
      <c r="E82" s="146"/>
      <c r="F82" s="146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50"/>
      <c r="Z82" s="150"/>
      <c r="AA82" s="112"/>
      <c r="AB82" s="113"/>
      <c r="AC82" s="150"/>
      <c r="AD82" s="109"/>
    </row>
    <row r="83" spans="1:30" s="94" customFormat="1">
      <c r="A83" s="150"/>
      <c r="B83" s="146"/>
      <c r="C83" s="109"/>
      <c r="D83" s="146"/>
      <c r="E83" s="146"/>
      <c r="F83" s="146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50"/>
      <c r="Z83" s="150"/>
      <c r="AA83" s="112"/>
      <c r="AB83" s="113"/>
      <c r="AC83" s="150"/>
      <c r="AD83" s="109"/>
    </row>
    <row r="84" spans="1:30" s="94" customFormat="1">
      <c r="A84" s="150"/>
      <c r="B84" s="146"/>
      <c r="C84" s="109"/>
      <c r="D84" s="146"/>
      <c r="E84" s="146"/>
      <c r="F84" s="146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50"/>
      <c r="Z84" s="150"/>
      <c r="AA84" s="112"/>
      <c r="AB84" s="113"/>
      <c r="AC84" s="150"/>
      <c r="AD84" s="109"/>
    </row>
    <row r="85" spans="1:30" s="94" customFormat="1">
      <c r="A85" s="150"/>
      <c r="B85" s="146"/>
      <c r="C85" s="109"/>
      <c r="D85" s="146"/>
      <c r="E85" s="146"/>
      <c r="F85" s="146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50"/>
      <c r="Z85" s="150"/>
      <c r="AA85" s="112"/>
      <c r="AB85" s="113"/>
      <c r="AC85" s="150"/>
      <c r="AD85" s="109"/>
    </row>
    <row r="86" spans="1:30" s="94" customFormat="1">
      <c r="A86" s="150"/>
      <c r="B86" s="146"/>
      <c r="C86" s="109"/>
      <c r="D86" s="146"/>
      <c r="E86" s="146"/>
      <c r="F86" s="146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50"/>
      <c r="Z86" s="150"/>
      <c r="AA86" s="112"/>
      <c r="AB86" s="113"/>
      <c r="AC86" s="150"/>
      <c r="AD86" s="109"/>
    </row>
    <row r="87" spans="1:30" s="94" customFormat="1">
      <c r="A87" s="150"/>
      <c r="B87" s="146"/>
      <c r="C87" s="109"/>
      <c r="D87" s="146"/>
      <c r="E87" s="146"/>
      <c r="F87" s="146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50"/>
      <c r="Z87" s="150"/>
      <c r="AA87" s="112"/>
      <c r="AB87" s="113"/>
      <c r="AC87" s="150"/>
      <c r="AD87" s="109"/>
    </row>
    <row r="88" spans="1:30" s="94" customFormat="1">
      <c r="A88" s="150"/>
      <c r="B88" s="146"/>
      <c r="C88" s="109"/>
      <c r="D88" s="146"/>
      <c r="E88" s="146"/>
      <c r="F88" s="146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50"/>
      <c r="Z88" s="150"/>
      <c r="AA88" s="112"/>
      <c r="AB88" s="113"/>
      <c r="AC88" s="150"/>
      <c r="AD88" s="109"/>
    </row>
    <row r="89" spans="1:30" s="94" customFormat="1">
      <c r="A89" s="150"/>
      <c r="B89" s="146"/>
      <c r="C89" s="109"/>
      <c r="D89" s="146"/>
      <c r="E89" s="146"/>
      <c r="F89" s="146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50"/>
      <c r="Z89" s="150"/>
      <c r="AA89" s="112"/>
      <c r="AB89" s="113"/>
      <c r="AC89" s="150"/>
      <c r="AD89" s="109"/>
    </row>
    <row r="90" spans="1:30" s="94" customFormat="1">
      <c r="A90" s="150"/>
      <c r="B90" s="146"/>
      <c r="C90" s="109"/>
      <c r="D90" s="146"/>
      <c r="E90" s="146"/>
      <c r="F90" s="146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50"/>
      <c r="Z90" s="150"/>
      <c r="AA90" s="112"/>
      <c r="AB90" s="113"/>
      <c r="AC90" s="150"/>
      <c r="AD90" s="109"/>
    </row>
    <row r="91" spans="1:30" s="94" customFormat="1">
      <c r="A91" s="150"/>
      <c r="B91" s="146"/>
      <c r="C91" s="109"/>
      <c r="D91" s="146"/>
      <c r="E91" s="146"/>
      <c r="F91" s="146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50"/>
      <c r="Z91" s="150"/>
      <c r="AA91" s="112"/>
      <c r="AB91" s="113"/>
      <c r="AC91" s="150"/>
      <c r="AD91" s="109"/>
    </row>
    <row r="92" spans="1:30" s="94" customFormat="1">
      <c r="A92" s="150"/>
      <c r="B92" s="146"/>
      <c r="C92" s="109"/>
      <c r="D92" s="146"/>
      <c r="E92" s="146"/>
      <c r="F92" s="146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50"/>
      <c r="Z92" s="150"/>
      <c r="AA92" s="112"/>
      <c r="AB92" s="113"/>
      <c r="AC92" s="150"/>
      <c r="AD92" s="109"/>
    </row>
    <row r="93" spans="1:30" s="94" customFormat="1">
      <c r="A93" s="150"/>
      <c r="B93" s="146"/>
      <c r="C93" s="109"/>
      <c r="D93" s="146"/>
      <c r="E93" s="146"/>
      <c r="F93" s="146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50"/>
      <c r="Z93" s="150"/>
      <c r="AA93" s="112"/>
      <c r="AB93" s="113"/>
      <c r="AC93" s="150"/>
      <c r="AD93" s="109"/>
    </row>
    <row r="94" spans="1:30" s="94" customFormat="1">
      <c r="A94" s="150"/>
      <c r="B94" s="146"/>
      <c r="C94" s="109"/>
      <c r="D94" s="146"/>
      <c r="E94" s="146"/>
      <c r="F94" s="146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50"/>
      <c r="Z94" s="150"/>
      <c r="AA94" s="112"/>
      <c r="AB94" s="113"/>
      <c r="AC94" s="150"/>
      <c r="AD94" s="109"/>
    </row>
    <row r="95" spans="1:30" s="94" customFormat="1">
      <c r="A95" s="150"/>
      <c r="B95" s="146"/>
      <c r="C95" s="109"/>
      <c r="D95" s="146"/>
      <c r="E95" s="146"/>
      <c r="F95" s="146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50"/>
      <c r="Z95" s="150"/>
      <c r="AA95" s="112"/>
      <c r="AB95" s="113"/>
      <c r="AC95" s="150"/>
      <c r="AD95" s="109"/>
    </row>
    <row r="96" spans="1:30" s="94" customFormat="1">
      <c r="A96" s="150"/>
      <c r="B96" s="146"/>
      <c r="C96" s="109"/>
      <c r="D96" s="146"/>
      <c r="E96" s="146"/>
      <c r="F96" s="146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50"/>
      <c r="Z96" s="150"/>
      <c r="AA96" s="112"/>
      <c r="AB96" s="113"/>
      <c r="AC96" s="150"/>
      <c r="AD96" s="109"/>
    </row>
    <row r="97" spans="1:30" s="94" customFormat="1">
      <c r="A97" s="150"/>
      <c r="B97" s="146"/>
      <c r="C97" s="109"/>
      <c r="D97" s="146"/>
      <c r="E97" s="146"/>
      <c r="F97" s="146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50"/>
      <c r="Z97" s="150"/>
      <c r="AA97" s="112"/>
      <c r="AB97" s="113"/>
      <c r="AC97" s="150"/>
      <c r="AD97" s="109"/>
    </row>
    <row r="98" spans="1:30" s="94" customFormat="1">
      <c r="A98" s="150"/>
      <c r="B98" s="146"/>
      <c r="C98" s="109"/>
      <c r="D98" s="146"/>
      <c r="E98" s="146"/>
      <c r="F98" s="146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50"/>
      <c r="Z98" s="150"/>
      <c r="AA98" s="112"/>
      <c r="AB98" s="113"/>
      <c r="AC98" s="150"/>
      <c r="AD98" s="109"/>
    </row>
    <row r="99" spans="1:30" s="94" customFormat="1">
      <c r="A99" s="150"/>
      <c r="B99" s="146"/>
      <c r="C99" s="109"/>
      <c r="D99" s="146"/>
      <c r="E99" s="146"/>
      <c r="F99" s="146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50"/>
      <c r="Z99" s="150"/>
      <c r="AA99" s="112"/>
      <c r="AB99" s="113"/>
      <c r="AC99" s="150"/>
      <c r="AD99" s="109"/>
    </row>
    <row r="100" spans="1:30" s="94" customFormat="1">
      <c r="A100" s="150"/>
      <c r="B100" s="146"/>
      <c r="C100" s="109"/>
      <c r="D100" s="146"/>
      <c r="E100" s="146"/>
      <c r="F100" s="146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50"/>
      <c r="Z100" s="150"/>
      <c r="AA100" s="112"/>
      <c r="AB100" s="113"/>
      <c r="AC100" s="150"/>
      <c r="AD100" s="109"/>
    </row>
    <row r="101" spans="1:30" s="94" customFormat="1">
      <c r="A101" s="150"/>
      <c r="B101" s="146"/>
      <c r="C101" s="109"/>
      <c r="D101" s="146"/>
      <c r="E101" s="146"/>
      <c r="F101" s="146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50"/>
      <c r="Z101" s="150"/>
      <c r="AA101" s="112"/>
      <c r="AB101" s="113"/>
      <c r="AC101" s="150"/>
      <c r="AD101" s="109"/>
    </row>
    <row r="102" spans="1:30" s="94" customFormat="1">
      <c r="A102" s="150"/>
      <c r="B102" s="146"/>
      <c r="C102" s="109"/>
      <c r="D102" s="146"/>
      <c r="E102" s="146"/>
      <c r="F102" s="146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50"/>
      <c r="Z102" s="150"/>
      <c r="AA102" s="112"/>
      <c r="AB102" s="113"/>
      <c r="AC102" s="150"/>
      <c r="AD102" s="109"/>
    </row>
    <row r="103" spans="1:30" s="94" customFormat="1">
      <c r="A103" s="150"/>
      <c r="B103" s="146"/>
      <c r="C103" s="109"/>
      <c r="D103" s="146"/>
      <c r="E103" s="146"/>
      <c r="F103" s="146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50"/>
      <c r="Z103" s="150"/>
      <c r="AA103" s="112"/>
      <c r="AB103" s="113"/>
      <c r="AC103" s="150"/>
      <c r="AD103" s="109"/>
    </row>
    <row r="104" spans="1:30" s="94" customFormat="1">
      <c r="A104" s="150"/>
      <c r="B104" s="146"/>
      <c r="C104" s="109"/>
      <c r="D104" s="146"/>
      <c r="E104" s="146"/>
      <c r="F104" s="146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50"/>
      <c r="Z104" s="150"/>
      <c r="AA104" s="112"/>
      <c r="AB104" s="113"/>
      <c r="AC104" s="150"/>
      <c r="AD104" s="109"/>
    </row>
    <row r="105" spans="1:30" s="94" customFormat="1">
      <c r="A105" s="150"/>
      <c r="B105" s="146"/>
      <c r="C105" s="109"/>
      <c r="D105" s="146"/>
      <c r="E105" s="146"/>
      <c r="F105" s="146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50"/>
      <c r="Z105" s="150"/>
      <c r="AA105" s="112"/>
      <c r="AB105" s="113"/>
      <c r="AC105" s="150"/>
      <c r="AD105" s="109"/>
    </row>
    <row r="106" spans="1:30" s="94" customFormat="1">
      <c r="A106" s="150"/>
      <c r="B106" s="146"/>
      <c r="C106" s="109"/>
      <c r="D106" s="146"/>
      <c r="E106" s="146"/>
      <c r="F106" s="146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50"/>
      <c r="Z106" s="150"/>
      <c r="AA106" s="112"/>
      <c r="AB106" s="113"/>
      <c r="AC106" s="150"/>
      <c r="AD106" s="109"/>
    </row>
    <row r="107" spans="1:30" s="94" customFormat="1">
      <c r="A107" s="150"/>
      <c r="B107" s="146"/>
      <c r="C107" s="109"/>
      <c r="D107" s="146"/>
      <c r="E107" s="146"/>
      <c r="F107" s="146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50"/>
      <c r="Z107" s="150"/>
      <c r="AA107" s="112"/>
      <c r="AB107" s="113"/>
      <c r="AC107" s="150"/>
      <c r="AD107" s="109"/>
    </row>
    <row r="108" spans="1:30" s="94" customFormat="1">
      <c r="A108" s="150"/>
      <c r="B108" s="146"/>
      <c r="C108" s="109"/>
      <c r="D108" s="146"/>
      <c r="E108" s="146"/>
      <c r="F108" s="146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50"/>
      <c r="Z108" s="150"/>
      <c r="AA108" s="112"/>
      <c r="AB108" s="113"/>
      <c r="AC108" s="150"/>
      <c r="AD108" s="109"/>
    </row>
    <row r="109" spans="1:30" s="94" customFormat="1">
      <c r="A109" s="150"/>
      <c r="B109" s="146"/>
      <c r="C109" s="109"/>
      <c r="D109" s="146"/>
      <c r="E109" s="146"/>
      <c r="F109" s="146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50"/>
      <c r="Z109" s="150"/>
      <c r="AA109" s="112"/>
      <c r="AB109" s="113"/>
      <c r="AC109" s="150"/>
      <c r="AD109" s="109"/>
    </row>
    <row r="110" spans="1:30" s="94" customFormat="1">
      <c r="A110" s="150"/>
      <c r="B110" s="146"/>
      <c r="C110" s="109"/>
      <c r="D110" s="146"/>
      <c r="E110" s="146"/>
      <c r="F110" s="146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50"/>
      <c r="Z110" s="150"/>
      <c r="AA110" s="112"/>
      <c r="AB110" s="113"/>
      <c r="AC110" s="150"/>
      <c r="AD110" s="109"/>
    </row>
    <row r="111" spans="1:30" s="94" customFormat="1">
      <c r="A111" s="150"/>
      <c r="B111" s="146"/>
      <c r="C111" s="109"/>
      <c r="D111" s="146"/>
      <c r="E111" s="146"/>
      <c r="F111" s="146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50"/>
      <c r="Z111" s="150"/>
      <c r="AA111" s="112"/>
      <c r="AB111" s="113"/>
      <c r="AC111" s="150"/>
      <c r="AD111" s="109"/>
    </row>
    <row r="112" spans="1:30" s="94" customFormat="1">
      <c r="A112" s="150"/>
      <c r="B112" s="146"/>
      <c r="C112" s="109"/>
      <c r="D112" s="146"/>
      <c r="E112" s="146"/>
      <c r="F112" s="146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50"/>
      <c r="Z112" s="150"/>
      <c r="AA112" s="112"/>
      <c r="AB112" s="113"/>
      <c r="AC112" s="150"/>
      <c r="AD112" s="109"/>
    </row>
    <row r="113" spans="1:30" s="94" customFormat="1">
      <c r="A113" s="150"/>
      <c r="B113" s="146"/>
      <c r="C113" s="109"/>
      <c r="D113" s="146"/>
      <c r="E113" s="146"/>
      <c r="F113" s="146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50"/>
      <c r="Z113" s="150"/>
      <c r="AA113" s="112"/>
      <c r="AB113" s="113"/>
      <c r="AC113" s="150"/>
      <c r="AD113" s="109"/>
    </row>
    <row r="114" spans="1:30" s="94" customFormat="1">
      <c r="A114" s="150"/>
      <c r="B114" s="146"/>
      <c r="C114" s="109"/>
      <c r="D114" s="146"/>
      <c r="E114" s="146"/>
      <c r="F114" s="146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50"/>
      <c r="Z114" s="150"/>
      <c r="AA114" s="112"/>
      <c r="AB114" s="113"/>
      <c r="AC114" s="150"/>
      <c r="AD114" s="109"/>
    </row>
    <row r="115" spans="1:30" s="94" customFormat="1">
      <c r="A115" s="150"/>
      <c r="B115" s="146"/>
      <c r="C115" s="109"/>
      <c r="D115" s="146"/>
      <c r="E115" s="146"/>
      <c r="F115" s="146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50"/>
      <c r="Z115" s="150"/>
      <c r="AA115" s="112"/>
      <c r="AB115" s="113"/>
      <c r="AC115" s="150"/>
      <c r="AD115" s="109"/>
    </row>
    <row r="116" spans="1:30" s="94" customFormat="1">
      <c r="A116" s="150"/>
      <c r="B116" s="146"/>
      <c r="C116" s="109"/>
      <c r="D116" s="146"/>
      <c r="E116" s="146"/>
      <c r="F116" s="146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50"/>
      <c r="Z116" s="150"/>
      <c r="AA116" s="112"/>
      <c r="AB116" s="113"/>
      <c r="AC116" s="150"/>
      <c r="AD116" s="109"/>
    </row>
    <row r="117" spans="1:30" s="94" customFormat="1">
      <c r="A117" s="150"/>
      <c r="B117" s="146"/>
      <c r="C117" s="109"/>
      <c r="D117" s="146"/>
      <c r="E117" s="146"/>
      <c r="F117" s="146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50"/>
      <c r="Z117" s="150"/>
      <c r="AA117" s="112"/>
      <c r="AB117" s="113"/>
      <c r="AC117" s="150"/>
      <c r="AD117" s="109"/>
    </row>
    <row r="118" spans="1:30" s="94" customFormat="1">
      <c r="A118" s="150"/>
      <c r="B118" s="146"/>
      <c r="C118" s="109"/>
      <c r="D118" s="146"/>
      <c r="E118" s="146"/>
      <c r="F118" s="146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50"/>
      <c r="Z118" s="150"/>
      <c r="AA118" s="112"/>
      <c r="AB118" s="113"/>
      <c r="AC118" s="150"/>
      <c r="AD118" s="109"/>
    </row>
    <row r="119" spans="1:30" s="94" customFormat="1">
      <c r="A119" s="150"/>
      <c r="B119" s="146"/>
      <c r="C119" s="109"/>
      <c r="D119" s="146"/>
      <c r="E119" s="146"/>
      <c r="F119" s="146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50"/>
      <c r="Z119" s="150"/>
      <c r="AA119" s="112"/>
      <c r="AB119" s="113"/>
      <c r="AC119" s="150"/>
      <c r="AD119" s="109"/>
    </row>
    <row r="120" spans="1:30" s="94" customFormat="1">
      <c r="A120" s="150"/>
      <c r="B120" s="146"/>
      <c r="C120" s="109"/>
      <c r="D120" s="146"/>
      <c r="E120" s="146"/>
      <c r="F120" s="146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50"/>
      <c r="Z120" s="150"/>
      <c r="AA120" s="112"/>
      <c r="AB120" s="113"/>
      <c r="AC120" s="150"/>
      <c r="AD120" s="109"/>
    </row>
    <row r="121" spans="1:30" s="94" customFormat="1">
      <c r="A121" s="150"/>
      <c r="B121" s="146"/>
      <c r="C121" s="109"/>
      <c r="D121" s="146"/>
      <c r="E121" s="146"/>
      <c r="F121" s="146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50"/>
      <c r="Z121" s="150"/>
      <c r="AA121" s="112"/>
      <c r="AB121" s="113"/>
      <c r="AC121" s="150"/>
      <c r="AD121" s="109"/>
    </row>
    <row r="122" spans="1:30" s="94" customFormat="1">
      <c r="A122" s="150"/>
      <c r="B122" s="146"/>
      <c r="C122" s="109"/>
      <c r="D122" s="146"/>
      <c r="E122" s="146"/>
      <c r="F122" s="146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50"/>
      <c r="Z122" s="150"/>
      <c r="AA122" s="112"/>
      <c r="AB122" s="113"/>
      <c r="AC122" s="150"/>
      <c r="AD122" s="109"/>
    </row>
    <row r="123" spans="1:30" s="94" customFormat="1">
      <c r="A123" s="150"/>
      <c r="B123" s="146"/>
      <c r="C123" s="109"/>
      <c r="D123" s="146"/>
      <c r="E123" s="146"/>
      <c r="F123" s="146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50"/>
      <c r="Z123" s="150"/>
      <c r="AA123" s="112"/>
      <c r="AB123" s="113"/>
      <c r="AC123" s="150"/>
      <c r="AD123" s="109"/>
    </row>
    <row r="124" spans="1:30" s="94" customFormat="1">
      <c r="A124" s="150"/>
      <c r="B124" s="146"/>
      <c r="C124" s="109"/>
      <c r="D124" s="146"/>
      <c r="E124" s="146"/>
      <c r="F124" s="146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50"/>
      <c r="Z124" s="150"/>
      <c r="AA124" s="112"/>
      <c r="AB124" s="113"/>
      <c r="AC124" s="150"/>
      <c r="AD124" s="109"/>
    </row>
    <row r="125" spans="1:30" s="94" customFormat="1">
      <c r="A125" s="150"/>
      <c r="B125" s="146"/>
      <c r="C125" s="109"/>
      <c r="D125" s="146"/>
      <c r="E125" s="146"/>
      <c r="F125" s="146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50"/>
      <c r="Z125" s="150"/>
      <c r="AA125" s="112"/>
      <c r="AB125" s="113"/>
      <c r="AC125" s="150"/>
      <c r="AD125" s="109"/>
    </row>
    <row r="126" spans="1:30" s="94" customFormat="1">
      <c r="A126" s="150"/>
      <c r="B126" s="146"/>
      <c r="C126" s="109"/>
      <c r="D126" s="146"/>
      <c r="E126" s="146"/>
      <c r="F126" s="146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50"/>
      <c r="Z126" s="150"/>
      <c r="AA126" s="112"/>
      <c r="AB126" s="113"/>
      <c r="AC126" s="150"/>
      <c r="AD126" s="109"/>
    </row>
    <row r="127" spans="1:30" s="94" customFormat="1">
      <c r="A127" s="150"/>
      <c r="B127" s="146"/>
      <c r="C127" s="109"/>
      <c r="D127" s="146"/>
      <c r="E127" s="146"/>
      <c r="F127" s="146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50"/>
      <c r="Z127" s="150"/>
      <c r="AA127" s="112"/>
      <c r="AB127" s="113"/>
      <c r="AC127" s="150"/>
      <c r="AD127" s="109"/>
    </row>
    <row r="128" spans="1:30" s="94" customFormat="1">
      <c r="A128" s="150"/>
      <c r="B128" s="146"/>
      <c r="C128" s="109"/>
      <c r="D128" s="146"/>
      <c r="E128" s="146"/>
      <c r="F128" s="146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50"/>
      <c r="Z128" s="150"/>
      <c r="AA128" s="112"/>
      <c r="AB128" s="113"/>
      <c r="AC128" s="150"/>
      <c r="AD128" s="109"/>
    </row>
    <row r="129" spans="1:30" s="94" customFormat="1">
      <c r="A129" s="150"/>
      <c r="B129" s="146"/>
      <c r="C129" s="109"/>
      <c r="D129" s="146"/>
      <c r="E129" s="146"/>
      <c r="F129" s="146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50"/>
      <c r="Z129" s="150"/>
      <c r="AA129" s="112"/>
      <c r="AB129" s="113"/>
      <c r="AC129" s="150"/>
      <c r="AD129" s="109"/>
    </row>
    <row r="130" spans="1:30" s="94" customFormat="1">
      <c r="A130" s="150"/>
      <c r="B130" s="146"/>
      <c r="C130" s="109"/>
      <c r="D130" s="146"/>
      <c r="E130" s="146"/>
      <c r="F130" s="146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50"/>
      <c r="Z130" s="150"/>
      <c r="AA130" s="112"/>
      <c r="AB130" s="113"/>
      <c r="AC130" s="150"/>
      <c r="AD130" s="109"/>
    </row>
    <row r="131" spans="1:30" s="94" customFormat="1">
      <c r="A131" s="150"/>
      <c r="B131" s="146"/>
      <c r="C131" s="109"/>
      <c r="D131" s="146"/>
      <c r="E131" s="146"/>
      <c r="F131" s="146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50"/>
      <c r="Z131" s="150"/>
      <c r="AA131" s="112"/>
      <c r="AB131" s="113"/>
      <c r="AC131" s="150"/>
      <c r="AD131" s="109"/>
    </row>
    <row r="132" spans="1:30" s="94" customFormat="1">
      <c r="A132" s="150"/>
      <c r="B132" s="146"/>
      <c r="C132" s="109"/>
      <c r="D132" s="146"/>
      <c r="E132" s="146"/>
      <c r="F132" s="146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50"/>
      <c r="Z132" s="150"/>
      <c r="AA132" s="112"/>
      <c r="AB132" s="113"/>
      <c r="AC132" s="150"/>
      <c r="AD132" s="109"/>
    </row>
    <row r="133" spans="1:30" s="94" customFormat="1">
      <c r="A133" s="150"/>
      <c r="B133" s="146"/>
      <c r="C133" s="109"/>
      <c r="D133" s="146"/>
      <c r="E133" s="146"/>
      <c r="F133" s="146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50"/>
      <c r="Z133" s="150"/>
      <c r="AA133" s="112"/>
      <c r="AB133" s="113"/>
      <c r="AC133" s="150"/>
      <c r="AD133" s="109"/>
    </row>
    <row r="134" spans="1:30" s="94" customFormat="1">
      <c r="A134" s="150"/>
      <c r="B134" s="146"/>
      <c r="C134" s="109"/>
      <c r="D134" s="146"/>
      <c r="E134" s="146"/>
      <c r="F134" s="146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50"/>
      <c r="Z134" s="150"/>
      <c r="AA134" s="112"/>
      <c r="AB134" s="113"/>
      <c r="AC134" s="150"/>
      <c r="AD134" s="109"/>
    </row>
    <row r="135" spans="1:30" s="94" customFormat="1">
      <c r="A135" s="150"/>
      <c r="B135" s="146"/>
      <c r="C135" s="109"/>
      <c r="D135" s="146"/>
      <c r="E135" s="146"/>
      <c r="F135" s="146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50"/>
      <c r="Z135" s="150"/>
      <c r="AA135" s="112"/>
      <c r="AB135" s="113"/>
      <c r="AC135" s="150"/>
      <c r="AD135" s="109"/>
    </row>
    <row r="136" spans="1:30" s="94" customFormat="1">
      <c r="A136" s="150"/>
      <c r="B136" s="146"/>
      <c r="C136" s="109"/>
      <c r="D136" s="146"/>
      <c r="E136" s="146"/>
      <c r="F136" s="146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50"/>
      <c r="Z136" s="150"/>
      <c r="AA136" s="112"/>
      <c r="AB136" s="113"/>
      <c r="AC136" s="150"/>
      <c r="AD136" s="109"/>
    </row>
    <row r="137" spans="1:30" s="94" customFormat="1">
      <c r="A137" s="150"/>
      <c r="B137" s="146"/>
      <c r="C137" s="109"/>
      <c r="D137" s="146"/>
      <c r="E137" s="146"/>
      <c r="F137" s="146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50"/>
      <c r="Z137" s="150"/>
      <c r="AA137" s="112"/>
      <c r="AB137" s="113"/>
      <c r="AC137" s="150"/>
      <c r="AD137" s="109"/>
    </row>
    <row r="138" spans="1:30" s="94" customFormat="1">
      <c r="A138" s="150"/>
      <c r="B138" s="146"/>
      <c r="C138" s="109"/>
      <c r="D138" s="146"/>
      <c r="E138" s="146"/>
      <c r="F138" s="146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50"/>
      <c r="Z138" s="150"/>
      <c r="AA138" s="112"/>
      <c r="AB138" s="113"/>
      <c r="AC138" s="150"/>
      <c r="AD138" s="109"/>
    </row>
    <row r="139" spans="1:30" s="94" customFormat="1">
      <c r="A139" s="150"/>
      <c r="B139" s="146"/>
      <c r="C139" s="109"/>
      <c r="D139" s="146"/>
      <c r="E139" s="146"/>
      <c r="F139" s="146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50"/>
      <c r="Z139" s="150"/>
      <c r="AA139" s="112"/>
      <c r="AB139" s="113"/>
      <c r="AC139" s="150"/>
      <c r="AD139" s="109"/>
    </row>
    <row r="140" spans="1:30" s="94" customFormat="1">
      <c r="A140" s="150"/>
      <c r="B140" s="146"/>
      <c r="C140" s="109"/>
      <c r="D140" s="146"/>
      <c r="E140" s="146"/>
      <c r="F140" s="146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50"/>
      <c r="Z140" s="150"/>
      <c r="AA140" s="112"/>
      <c r="AB140" s="113"/>
      <c r="AC140" s="150"/>
      <c r="AD140" s="109"/>
    </row>
    <row r="141" spans="1:30" s="94" customFormat="1">
      <c r="A141" s="150"/>
      <c r="B141" s="146"/>
      <c r="C141" s="109"/>
      <c r="D141" s="146"/>
      <c r="E141" s="146"/>
      <c r="F141" s="146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50"/>
      <c r="Z141" s="150"/>
      <c r="AA141" s="112"/>
      <c r="AB141" s="113"/>
      <c r="AC141" s="150"/>
      <c r="AD141" s="109"/>
    </row>
    <row r="142" spans="1:30" s="94" customFormat="1">
      <c r="A142" s="150"/>
      <c r="B142" s="146"/>
      <c r="C142" s="109"/>
      <c r="D142" s="146"/>
      <c r="E142" s="146"/>
      <c r="F142" s="146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50"/>
      <c r="Z142" s="150"/>
      <c r="AA142" s="112"/>
      <c r="AB142" s="113"/>
      <c r="AC142" s="150"/>
      <c r="AD142" s="109"/>
    </row>
    <row r="143" spans="1:30" s="94" customFormat="1">
      <c r="A143" s="150"/>
      <c r="B143" s="146"/>
      <c r="C143" s="109"/>
      <c r="D143" s="146"/>
      <c r="E143" s="146"/>
      <c r="F143" s="146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50"/>
      <c r="Z143" s="150"/>
      <c r="AA143" s="112"/>
      <c r="AB143" s="113"/>
      <c r="AC143" s="150"/>
      <c r="AD143" s="109"/>
    </row>
    <row r="144" spans="1:30" s="94" customFormat="1">
      <c r="A144" s="150"/>
      <c r="B144" s="146"/>
      <c r="C144" s="109"/>
      <c r="D144" s="146"/>
      <c r="E144" s="146"/>
      <c r="F144" s="146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50"/>
      <c r="Z144" s="150"/>
      <c r="AA144" s="112"/>
      <c r="AB144" s="113"/>
      <c r="AC144" s="150"/>
      <c r="AD144" s="109"/>
    </row>
    <row r="145" spans="1:30" s="94" customFormat="1">
      <c r="A145" s="150"/>
      <c r="B145" s="146"/>
      <c r="C145" s="109"/>
      <c r="D145" s="146"/>
      <c r="E145" s="146"/>
      <c r="F145" s="146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50"/>
      <c r="Z145" s="150"/>
      <c r="AA145" s="112"/>
      <c r="AB145" s="113"/>
      <c r="AC145" s="150"/>
      <c r="AD145" s="109"/>
    </row>
    <row r="146" spans="1:30" s="94" customFormat="1">
      <c r="A146" s="150"/>
      <c r="B146" s="146"/>
      <c r="C146" s="109"/>
      <c r="D146" s="146"/>
      <c r="E146" s="146"/>
      <c r="F146" s="146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50"/>
      <c r="Z146" s="150"/>
      <c r="AA146" s="112"/>
      <c r="AB146" s="113"/>
      <c r="AC146" s="150"/>
      <c r="AD146" s="109"/>
    </row>
    <row r="147" spans="1:30" s="94" customFormat="1">
      <c r="A147" s="150"/>
      <c r="B147" s="146"/>
      <c r="C147" s="109"/>
      <c r="D147" s="146"/>
      <c r="E147" s="146"/>
      <c r="F147" s="146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50"/>
      <c r="Z147" s="150"/>
      <c r="AA147" s="112"/>
      <c r="AB147" s="113"/>
      <c r="AC147" s="150"/>
      <c r="AD147" s="109"/>
    </row>
    <row r="148" spans="1:30" s="94" customFormat="1">
      <c r="A148" s="150"/>
      <c r="B148" s="146"/>
      <c r="C148" s="109"/>
      <c r="D148" s="146"/>
      <c r="E148" s="146"/>
      <c r="F148" s="146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50"/>
      <c r="Z148" s="150"/>
      <c r="AA148" s="112"/>
      <c r="AB148" s="113"/>
      <c r="AC148" s="150"/>
      <c r="AD148" s="109"/>
    </row>
    <row r="149" spans="1:30" s="94" customFormat="1">
      <c r="A149" s="150"/>
      <c r="B149" s="146"/>
      <c r="C149" s="109"/>
      <c r="D149" s="146"/>
      <c r="E149" s="146"/>
      <c r="F149" s="146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50"/>
      <c r="Z149" s="150"/>
      <c r="AA149" s="112"/>
      <c r="AB149" s="113"/>
      <c r="AC149" s="150"/>
      <c r="AD149" s="109"/>
    </row>
    <row r="150" spans="1:30" s="94" customFormat="1">
      <c r="A150" s="150"/>
      <c r="B150" s="146"/>
      <c r="C150" s="109"/>
      <c r="D150" s="146"/>
      <c r="E150" s="146"/>
      <c r="F150" s="146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50"/>
      <c r="Z150" s="150"/>
      <c r="AA150" s="112"/>
      <c r="AB150" s="113"/>
      <c r="AC150" s="150"/>
      <c r="AD150" s="109"/>
    </row>
    <row r="151" spans="1:30" s="94" customFormat="1">
      <c r="A151" s="150"/>
      <c r="B151" s="146"/>
      <c r="C151" s="109"/>
      <c r="D151" s="146"/>
      <c r="E151" s="146"/>
      <c r="F151" s="146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50"/>
      <c r="Z151" s="150"/>
      <c r="AA151" s="112"/>
      <c r="AB151" s="113"/>
      <c r="AC151" s="150"/>
      <c r="AD151" s="109"/>
    </row>
    <row r="152" spans="1:30" s="94" customFormat="1">
      <c r="A152" s="150"/>
      <c r="B152" s="146"/>
      <c r="C152" s="109"/>
      <c r="D152" s="146"/>
      <c r="E152" s="146"/>
      <c r="F152" s="146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50"/>
      <c r="Z152" s="150"/>
      <c r="AA152" s="112"/>
      <c r="AB152" s="113"/>
      <c r="AC152" s="150"/>
      <c r="AD152" s="109"/>
    </row>
    <row r="153" spans="1:30" s="94" customFormat="1">
      <c r="A153" s="150"/>
      <c r="B153" s="146"/>
      <c r="C153" s="109"/>
      <c r="D153" s="146"/>
      <c r="E153" s="146"/>
      <c r="F153" s="146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50"/>
      <c r="Z153" s="150"/>
      <c r="AA153" s="112"/>
      <c r="AB153" s="113"/>
      <c r="AC153" s="150"/>
      <c r="AD153" s="109"/>
    </row>
    <row r="154" spans="1:30" s="94" customFormat="1">
      <c r="A154" s="150"/>
      <c r="B154" s="146"/>
      <c r="C154" s="109"/>
      <c r="D154" s="146"/>
      <c r="E154" s="146"/>
      <c r="F154" s="146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50"/>
      <c r="Z154" s="150"/>
      <c r="AA154" s="112"/>
      <c r="AB154" s="113"/>
      <c r="AC154" s="150"/>
      <c r="AD154" s="109"/>
    </row>
    <row r="155" spans="1:30" s="94" customFormat="1">
      <c r="A155" s="150"/>
      <c r="B155" s="146"/>
      <c r="C155" s="109"/>
      <c r="D155" s="146"/>
      <c r="E155" s="146"/>
      <c r="F155" s="146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50"/>
      <c r="Z155" s="150"/>
      <c r="AA155" s="112"/>
      <c r="AB155" s="113"/>
      <c r="AC155" s="150"/>
      <c r="AD155" s="109"/>
    </row>
    <row r="156" spans="1:30" s="94" customFormat="1">
      <c r="A156" s="150"/>
      <c r="B156" s="146"/>
      <c r="C156" s="109"/>
      <c r="D156" s="146"/>
      <c r="E156" s="146"/>
      <c r="F156" s="146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50"/>
      <c r="Z156" s="150"/>
      <c r="AA156" s="112"/>
      <c r="AB156" s="113"/>
      <c r="AC156" s="150"/>
      <c r="AD156" s="109"/>
    </row>
    <row r="157" spans="1:30" s="94" customFormat="1">
      <c r="A157" s="150"/>
      <c r="B157" s="146"/>
      <c r="C157" s="109"/>
      <c r="D157" s="146"/>
      <c r="E157" s="146"/>
      <c r="F157" s="146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50"/>
      <c r="Z157" s="150"/>
      <c r="AA157" s="112"/>
      <c r="AB157" s="113"/>
      <c r="AC157" s="150"/>
      <c r="AD157" s="109"/>
    </row>
    <row r="158" spans="1:30" s="94" customFormat="1">
      <c r="A158" s="150"/>
      <c r="B158" s="146"/>
      <c r="C158" s="109"/>
      <c r="D158" s="146"/>
      <c r="E158" s="146"/>
      <c r="F158" s="146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50"/>
      <c r="Z158" s="150"/>
      <c r="AA158" s="112"/>
      <c r="AB158" s="113"/>
      <c r="AC158" s="150"/>
      <c r="AD158" s="109"/>
    </row>
    <row r="159" spans="1:30" s="94" customFormat="1">
      <c r="A159" s="150"/>
      <c r="B159" s="146"/>
      <c r="C159" s="109"/>
      <c r="D159" s="146"/>
      <c r="E159" s="146"/>
      <c r="F159" s="146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50"/>
      <c r="Z159" s="150"/>
      <c r="AA159" s="112"/>
      <c r="AB159" s="113"/>
      <c r="AC159" s="150"/>
      <c r="AD159" s="109"/>
    </row>
    <row r="160" spans="1:30" s="94" customFormat="1">
      <c r="A160" s="150"/>
      <c r="B160" s="146"/>
      <c r="C160" s="109"/>
      <c r="D160" s="146"/>
      <c r="E160" s="146"/>
      <c r="F160" s="146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50"/>
      <c r="Z160" s="150"/>
      <c r="AA160" s="112"/>
      <c r="AB160" s="113"/>
      <c r="AC160" s="150"/>
      <c r="AD160" s="109"/>
    </row>
    <row r="161" spans="1:30" s="94" customFormat="1">
      <c r="A161" s="150"/>
      <c r="B161" s="146"/>
      <c r="C161" s="109"/>
      <c r="D161" s="146"/>
      <c r="E161" s="146"/>
      <c r="F161" s="146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50"/>
      <c r="Z161" s="150"/>
      <c r="AA161" s="112"/>
      <c r="AB161" s="113"/>
      <c r="AC161" s="150"/>
      <c r="AD161" s="109"/>
    </row>
    <row r="162" spans="1:30" s="94" customFormat="1">
      <c r="A162" s="150"/>
      <c r="B162" s="146"/>
      <c r="C162" s="109"/>
      <c r="D162" s="146"/>
      <c r="E162" s="146"/>
      <c r="F162" s="146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50"/>
      <c r="Z162" s="150"/>
      <c r="AA162" s="112"/>
      <c r="AB162" s="113"/>
      <c r="AC162" s="150"/>
      <c r="AD162" s="109"/>
    </row>
    <row r="163" spans="1:30" s="94" customFormat="1">
      <c r="A163" s="150"/>
      <c r="B163" s="146"/>
      <c r="C163" s="109"/>
      <c r="D163" s="146"/>
      <c r="E163" s="146"/>
      <c r="F163" s="146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50"/>
      <c r="Z163" s="150"/>
      <c r="AA163" s="112"/>
      <c r="AB163" s="113"/>
      <c r="AC163" s="150"/>
      <c r="AD163" s="109"/>
    </row>
    <row r="164" spans="1:30" s="94" customFormat="1">
      <c r="A164" s="150"/>
      <c r="B164" s="146"/>
      <c r="C164" s="109"/>
      <c r="D164" s="146"/>
      <c r="E164" s="146"/>
      <c r="F164" s="146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50"/>
      <c r="Z164" s="150"/>
      <c r="AA164" s="112"/>
      <c r="AB164" s="113"/>
      <c r="AC164" s="150"/>
      <c r="AD164" s="109"/>
    </row>
    <row r="165" spans="1:30" s="94" customFormat="1">
      <c r="A165" s="150"/>
      <c r="B165" s="146"/>
      <c r="C165" s="109"/>
      <c r="D165" s="146"/>
      <c r="E165" s="146"/>
      <c r="F165" s="146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50"/>
      <c r="Z165" s="150"/>
      <c r="AA165" s="112"/>
      <c r="AB165" s="113"/>
      <c r="AC165" s="150"/>
      <c r="AD165" s="109"/>
    </row>
    <row r="166" spans="1:30" s="94" customFormat="1">
      <c r="A166" s="150"/>
      <c r="B166" s="146"/>
      <c r="C166" s="109"/>
      <c r="D166" s="146"/>
      <c r="E166" s="146"/>
      <c r="F166" s="146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50"/>
      <c r="Z166" s="150"/>
      <c r="AA166" s="112"/>
      <c r="AB166" s="113"/>
      <c r="AC166" s="150"/>
      <c r="AD166" s="109"/>
    </row>
    <row r="167" spans="1:30" s="94" customFormat="1">
      <c r="A167" s="150"/>
      <c r="B167" s="146"/>
      <c r="C167" s="109"/>
      <c r="D167" s="146"/>
      <c r="E167" s="146"/>
      <c r="F167" s="146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50"/>
      <c r="Z167" s="150"/>
      <c r="AA167" s="112"/>
      <c r="AB167" s="113"/>
      <c r="AC167" s="150"/>
      <c r="AD167" s="109"/>
    </row>
    <row r="168" spans="1:30" s="94" customFormat="1">
      <c r="A168" s="150"/>
      <c r="B168" s="146"/>
      <c r="C168" s="109"/>
      <c r="D168" s="146"/>
      <c r="E168" s="146"/>
      <c r="F168" s="146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50"/>
      <c r="Z168" s="150"/>
      <c r="AA168" s="112"/>
      <c r="AB168" s="113"/>
      <c r="AC168" s="150"/>
      <c r="AD168" s="109"/>
    </row>
    <row r="169" spans="1:30" s="94" customFormat="1">
      <c r="A169" s="150"/>
      <c r="B169" s="146"/>
      <c r="C169" s="109"/>
      <c r="D169" s="146"/>
      <c r="E169" s="146"/>
      <c r="F169" s="146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50"/>
      <c r="Z169" s="150"/>
      <c r="AA169" s="112"/>
      <c r="AB169" s="113"/>
      <c r="AC169" s="150"/>
      <c r="AD169" s="109"/>
    </row>
    <row r="170" spans="1:30" s="94" customFormat="1">
      <c r="A170" s="150"/>
      <c r="B170" s="146"/>
      <c r="C170" s="109"/>
      <c r="D170" s="146"/>
      <c r="E170" s="146"/>
      <c r="F170" s="146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50"/>
      <c r="Z170" s="150"/>
      <c r="AA170" s="112"/>
      <c r="AB170" s="113"/>
      <c r="AC170" s="150"/>
      <c r="AD170" s="109"/>
    </row>
    <row r="171" spans="1:30" s="94" customFormat="1">
      <c r="A171" s="150"/>
      <c r="B171" s="146"/>
      <c r="C171" s="109"/>
      <c r="D171" s="146"/>
      <c r="E171" s="146"/>
      <c r="F171" s="146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50"/>
      <c r="Z171" s="150"/>
      <c r="AA171" s="112"/>
      <c r="AB171" s="113"/>
      <c r="AC171" s="150"/>
      <c r="AD171" s="109"/>
    </row>
    <row r="172" spans="1:30" s="94" customFormat="1">
      <c r="A172" s="150"/>
      <c r="B172" s="146"/>
      <c r="C172" s="109"/>
      <c r="D172" s="146"/>
      <c r="E172" s="146"/>
      <c r="F172" s="146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50"/>
      <c r="Z172" s="150"/>
      <c r="AA172" s="112"/>
      <c r="AB172" s="113"/>
      <c r="AC172" s="150"/>
      <c r="AD172" s="109"/>
    </row>
    <row r="173" spans="1:30" s="94" customFormat="1">
      <c r="A173" s="150"/>
      <c r="B173" s="146"/>
      <c r="C173" s="109"/>
      <c r="D173" s="146"/>
      <c r="E173" s="146"/>
      <c r="F173" s="146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50"/>
      <c r="Z173" s="150"/>
      <c r="AA173" s="112"/>
      <c r="AB173" s="113"/>
      <c r="AC173" s="150"/>
      <c r="AD173" s="109"/>
    </row>
    <row r="174" spans="1:30" s="94" customFormat="1">
      <c r="A174" s="150"/>
      <c r="B174" s="146"/>
      <c r="C174" s="109"/>
      <c r="D174" s="146"/>
      <c r="E174" s="146"/>
      <c r="F174" s="146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50"/>
      <c r="Z174" s="150"/>
      <c r="AA174" s="112"/>
      <c r="AB174" s="113"/>
      <c r="AC174" s="150"/>
      <c r="AD174" s="109"/>
    </row>
    <row r="175" spans="1:30" s="94" customFormat="1">
      <c r="A175" s="150"/>
      <c r="B175" s="146"/>
      <c r="C175" s="109"/>
      <c r="D175" s="146"/>
      <c r="E175" s="146"/>
      <c r="F175" s="146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50"/>
      <c r="Z175" s="150"/>
      <c r="AA175" s="112"/>
      <c r="AB175" s="113"/>
      <c r="AC175" s="150"/>
      <c r="AD175" s="109"/>
    </row>
    <row r="176" spans="1:30" s="94" customFormat="1">
      <c r="A176" s="150"/>
      <c r="B176" s="146"/>
      <c r="C176" s="109"/>
      <c r="D176" s="146"/>
      <c r="E176" s="146"/>
      <c r="F176" s="146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50"/>
      <c r="Z176" s="150"/>
      <c r="AA176" s="112"/>
      <c r="AB176" s="113"/>
      <c r="AC176" s="150"/>
      <c r="AD176" s="109"/>
    </row>
    <row r="177" spans="1:30" s="94" customFormat="1">
      <c r="A177" s="150"/>
      <c r="B177" s="146"/>
      <c r="C177" s="109"/>
      <c r="D177" s="146"/>
      <c r="E177" s="146"/>
      <c r="F177" s="146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50"/>
      <c r="Z177" s="150"/>
      <c r="AA177" s="112"/>
      <c r="AB177" s="113"/>
      <c r="AC177" s="150"/>
      <c r="AD177" s="109"/>
    </row>
    <row r="178" spans="1:30" s="94" customFormat="1">
      <c r="A178" s="150"/>
      <c r="B178" s="146"/>
      <c r="C178" s="109"/>
      <c r="D178" s="146"/>
      <c r="E178" s="146"/>
      <c r="F178" s="146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50"/>
      <c r="Z178" s="150"/>
      <c r="AA178" s="112"/>
      <c r="AB178" s="113"/>
      <c r="AC178" s="150"/>
      <c r="AD178" s="109"/>
    </row>
    <row r="179" spans="1:30" s="94" customFormat="1">
      <c r="A179" s="150"/>
      <c r="B179" s="146"/>
      <c r="C179" s="109"/>
      <c r="D179" s="146"/>
      <c r="E179" s="146"/>
      <c r="F179" s="146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50"/>
      <c r="Z179" s="150"/>
      <c r="AA179" s="112"/>
      <c r="AB179" s="113"/>
      <c r="AC179" s="150"/>
      <c r="AD179" s="109"/>
    </row>
    <row r="180" spans="1:30" s="94" customFormat="1">
      <c r="A180" s="150"/>
      <c r="B180" s="146"/>
      <c r="C180" s="109"/>
      <c r="D180" s="146"/>
      <c r="E180" s="146"/>
      <c r="F180" s="146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50"/>
      <c r="Z180" s="150"/>
      <c r="AA180" s="112"/>
      <c r="AB180" s="113"/>
      <c r="AC180" s="150"/>
      <c r="AD180" s="109"/>
    </row>
    <row r="181" spans="1:30" s="94" customFormat="1">
      <c r="A181" s="150"/>
      <c r="B181" s="146"/>
      <c r="C181" s="109"/>
      <c r="D181" s="146"/>
      <c r="E181" s="146"/>
      <c r="F181" s="146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50"/>
      <c r="Z181" s="150"/>
      <c r="AA181" s="112"/>
      <c r="AB181" s="113"/>
      <c r="AC181" s="150"/>
      <c r="AD181" s="109"/>
    </row>
    <row r="182" spans="1:30" s="94" customFormat="1">
      <c r="A182" s="150"/>
      <c r="B182" s="146"/>
      <c r="C182" s="109"/>
      <c r="D182" s="146"/>
      <c r="E182" s="146"/>
      <c r="F182" s="146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50"/>
      <c r="Z182" s="150"/>
      <c r="AA182" s="112"/>
      <c r="AB182" s="113"/>
      <c r="AC182" s="150"/>
      <c r="AD182" s="109"/>
    </row>
    <row r="183" spans="1:30" s="94" customFormat="1">
      <c r="A183" s="150"/>
      <c r="B183" s="146"/>
      <c r="C183" s="109"/>
      <c r="D183" s="146"/>
      <c r="E183" s="146"/>
      <c r="F183" s="146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50"/>
      <c r="Z183" s="150"/>
      <c r="AA183" s="112"/>
      <c r="AB183" s="113"/>
      <c r="AC183" s="150"/>
      <c r="AD183" s="109"/>
    </row>
    <row r="184" spans="1:30" s="94" customFormat="1">
      <c r="A184" s="150"/>
      <c r="B184" s="146"/>
      <c r="C184" s="109"/>
      <c r="D184" s="146"/>
      <c r="E184" s="146"/>
      <c r="F184" s="146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50"/>
      <c r="Z184" s="150"/>
      <c r="AA184" s="112"/>
      <c r="AB184" s="113"/>
      <c r="AC184" s="150"/>
      <c r="AD184" s="109"/>
    </row>
    <row r="185" spans="1:30" s="94" customFormat="1">
      <c r="A185" s="150"/>
      <c r="B185" s="146"/>
      <c r="C185" s="109"/>
      <c r="D185" s="146"/>
      <c r="E185" s="146"/>
      <c r="F185" s="146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50"/>
      <c r="Z185" s="150"/>
      <c r="AA185" s="112"/>
      <c r="AB185" s="113"/>
      <c r="AC185" s="150"/>
      <c r="AD185" s="109"/>
    </row>
    <row r="186" spans="1:30" s="94" customFormat="1">
      <c r="A186" s="150"/>
      <c r="B186" s="146"/>
      <c r="C186" s="109"/>
      <c r="D186" s="146"/>
      <c r="E186" s="146"/>
      <c r="F186" s="146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50"/>
      <c r="Z186" s="150"/>
      <c r="AA186" s="112"/>
      <c r="AB186" s="113"/>
      <c r="AC186" s="150"/>
      <c r="AD186" s="109"/>
    </row>
    <row r="187" spans="1:30" s="94" customFormat="1">
      <c r="A187" s="150"/>
      <c r="B187" s="146"/>
      <c r="C187" s="109"/>
      <c r="D187" s="146"/>
      <c r="E187" s="146"/>
      <c r="F187" s="146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50"/>
      <c r="Z187" s="150"/>
      <c r="AA187" s="112"/>
      <c r="AB187" s="113"/>
      <c r="AC187" s="150"/>
      <c r="AD187" s="109"/>
    </row>
    <row r="188" spans="1:30" s="94" customFormat="1">
      <c r="A188" s="150"/>
      <c r="B188" s="146"/>
      <c r="C188" s="109"/>
      <c r="D188" s="146"/>
      <c r="E188" s="146"/>
      <c r="F188" s="146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50"/>
      <c r="Z188" s="150"/>
      <c r="AA188" s="112"/>
      <c r="AB188" s="113"/>
      <c r="AC188" s="150"/>
      <c r="AD188" s="109"/>
    </row>
    <row r="189" spans="1:30" s="94" customFormat="1">
      <c r="A189" s="150"/>
      <c r="B189" s="146"/>
      <c r="C189" s="109"/>
      <c r="D189" s="146"/>
      <c r="E189" s="146"/>
      <c r="F189" s="146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50"/>
      <c r="Z189" s="150"/>
      <c r="AA189" s="112"/>
      <c r="AB189" s="113"/>
      <c r="AC189" s="150"/>
      <c r="AD189" s="109"/>
    </row>
    <row r="190" spans="1:30" s="94" customFormat="1">
      <c r="A190" s="150"/>
      <c r="B190" s="146"/>
      <c r="C190" s="109"/>
      <c r="D190" s="146"/>
      <c r="E190" s="146"/>
      <c r="F190" s="146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50"/>
      <c r="Z190" s="150"/>
      <c r="AA190" s="112"/>
      <c r="AB190" s="113"/>
      <c r="AC190" s="150"/>
      <c r="AD190" s="109"/>
    </row>
    <row r="191" spans="1:30" s="94" customFormat="1">
      <c r="A191" s="150"/>
      <c r="B191" s="146"/>
      <c r="C191" s="109"/>
      <c r="D191" s="146"/>
      <c r="E191" s="146"/>
      <c r="F191" s="146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50"/>
      <c r="Z191" s="150"/>
      <c r="AA191" s="112"/>
      <c r="AB191" s="113"/>
      <c r="AC191" s="150"/>
      <c r="AD191" s="109"/>
    </row>
    <row r="192" spans="1:30" s="94" customFormat="1">
      <c r="A192" s="150"/>
      <c r="B192" s="146"/>
      <c r="C192" s="109"/>
      <c r="D192" s="146"/>
      <c r="E192" s="146"/>
      <c r="F192" s="146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50"/>
      <c r="Z192" s="150"/>
      <c r="AA192" s="112"/>
      <c r="AB192" s="113"/>
      <c r="AC192" s="150"/>
      <c r="AD192" s="109"/>
    </row>
    <row r="193" spans="1:30" s="94" customFormat="1">
      <c r="A193" s="150"/>
      <c r="B193" s="146"/>
      <c r="C193" s="109"/>
      <c r="D193" s="146"/>
      <c r="E193" s="146"/>
      <c r="F193" s="146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50"/>
      <c r="Z193" s="150"/>
      <c r="AA193" s="112"/>
      <c r="AB193" s="113"/>
      <c r="AC193" s="150"/>
      <c r="AD193" s="109"/>
    </row>
    <row r="194" spans="1:30" s="94" customFormat="1">
      <c r="A194" s="150"/>
      <c r="B194" s="146"/>
      <c r="C194" s="109"/>
      <c r="D194" s="146"/>
      <c r="E194" s="146"/>
      <c r="F194" s="146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50"/>
      <c r="Z194" s="150"/>
      <c r="AA194" s="112"/>
      <c r="AB194" s="113"/>
      <c r="AC194" s="150"/>
      <c r="AD194" s="109"/>
    </row>
    <row r="195" spans="1:30">
      <c r="A195" s="82"/>
      <c r="B195" s="74"/>
      <c r="C195" s="1"/>
      <c r="D195" s="74"/>
      <c r="E195" s="74"/>
      <c r="F195" s="7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82"/>
      <c r="Z195" s="82"/>
      <c r="AA195" s="31"/>
      <c r="AB195" s="37"/>
      <c r="AC195" s="82"/>
      <c r="AD195" s="1"/>
    </row>
    <row r="196" spans="1:30">
      <c r="A196" s="82"/>
      <c r="B196" s="74"/>
      <c r="C196" s="1"/>
      <c r="D196" s="74"/>
      <c r="E196" s="74"/>
      <c r="F196" s="7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82"/>
      <c r="Z196" s="82"/>
      <c r="AA196" s="31"/>
      <c r="AB196" s="37"/>
      <c r="AC196" s="82"/>
      <c r="AD196" s="1"/>
    </row>
    <row r="197" spans="1:30">
      <c r="A197" s="82"/>
      <c r="B197" s="74"/>
      <c r="C197" s="1"/>
      <c r="D197" s="74"/>
      <c r="E197" s="74"/>
      <c r="F197" s="7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82"/>
      <c r="Z197" s="82"/>
      <c r="AA197" s="31"/>
      <c r="AB197" s="37"/>
      <c r="AC197" s="82"/>
      <c r="AD197" s="1"/>
    </row>
    <row r="198" spans="1:30">
      <c r="A198" s="82"/>
      <c r="B198" s="74"/>
      <c r="C198" s="1"/>
      <c r="D198" s="74"/>
      <c r="E198" s="74"/>
      <c r="F198" s="7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82"/>
      <c r="Z198" s="82"/>
      <c r="AA198" s="31"/>
      <c r="AB198" s="37"/>
      <c r="AC198" s="82"/>
      <c r="AD198" s="1"/>
    </row>
    <row r="199" spans="1:30">
      <c r="A199" s="82"/>
      <c r="B199" s="74"/>
      <c r="C199" s="1"/>
      <c r="D199" s="74"/>
      <c r="E199" s="74"/>
      <c r="F199" s="7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82"/>
      <c r="Z199" s="82"/>
      <c r="AA199" s="31"/>
      <c r="AB199" s="37"/>
      <c r="AC199" s="82"/>
      <c r="AD199" s="1"/>
    </row>
    <row r="200" spans="1:30">
      <c r="A200" s="82"/>
      <c r="B200" s="74"/>
      <c r="C200" s="1"/>
      <c r="D200" s="74"/>
      <c r="E200" s="74"/>
      <c r="F200" s="7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82"/>
      <c r="Z200" s="82"/>
      <c r="AA200" s="31"/>
      <c r="AB200" s="37"/>
      <c r="AC200" s="82"/>
      <c r="AD200" s="1"/>
    </row>
    <row r="201" spans="1:30">
      <c r="A201" s="82"/>
      <c r="B201" s="74"/>
      <c r="C201" s="1"/>
      <c r="D201" s="74"/>
      <c r="E201" s="74"/>
      <c r="F201" s="7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82"/>
      <c r="Z201" s="82"/>
      <c r="AA201" s="31"/>
      <c r="AB201" s="37"/>
      <c r="AC201" s="82"/>
      <c r="AD201" s="1"/>
    </row>
    <row r="202" spans="1:30">
      <c r="A202" s="82"/>
      <c r="B202" s="74"/>
      <c r="C202" s="1"/>
      <c r="D202" s="74"/>
      <c r="E202" s="74"/>
      <c r="F202" s="7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82"/>
      <c r="Z202" s="82"/>
      <c r="AA202" s="31"/>
      <c r="AB202" s="37"/>
      <c r="AC202" s="82"/>
      <c r="AD202" s="1"/>
    </row>
    <row r="203" spans="1:30">
      <c r="A203" s="82"/>
      <c r="B203" s="74"/>
      <c r="C203" s="1"/>
      <c r="D203" s="74"/>
      <c r="E203" s="74"/>
      <c r="F203" s="7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82"/>
      <c r="Z203" s="82"/>
      <c r="AA203" s="31"/>
      <c r="AB203" s="37"/>
      <c r="AC203" s="82"/>
      <c r="AD203" s="1"/>
    </row>
    <row r="204" spans="1:30">
      <c r="A204" s="82"/>
      <c r="B204" s="74"/>
      <c r="C204" s="1"/>
      <c r="D204" s="74"/>
      <c r="E204" s="74"/>
      <c r="F204" s="7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82"/>
      <c r="Z204" s="82"/>
      <c r="AA204" s="31"/>
      <c r="AB204" s="37"/>
      <c r="AC204" s="82"/>
      <c r="AD204" s="1"/>
    </row>
    <row r="205" spans="1:30">
      <c r="A205" s="82"/>
      <c r="B205" s="74"/>
      <c r="C205" s="1"/>
      <c r="D205" s="74"/>
      <c r="E205" s="74"/>
      <c r="F205" s="7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82"/>
      <c r="Z205" s="82"/>
      <c r="AA205" s="31"/>
      <c r="AB205" s="37"/>
      <c r="AC205" s="82"/>
      <c r="AD205" s="1"/>
    </row>
    <row r="206" spans="1:30">
      <c r="A206" s="82"/>
      <c r="B206" s="74"/>
      <c r="C206" s="1"/>
      <c r="D206" s="74"/>
      <c r="E206" s="74"/>
      <c r="F206" s="7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82"/>
      <c r="Z206" s="82"/>
      <c r="AA206" s="31"/>
      <c r="AB206" s="37"/>
      <c r="AC206" s="82"/>
      <c r="AD206" s="1"/>
    </row>
    <row r="207" spans="1:30">
      <c r="A207" s="82"/>
      <c r="B207" s="74"/>
      <c r="C207" s="1"/>
      <c r="D207" s="74"/>
      <c r="E207" s="74"/>
      <c r="F207" s="7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82"/>
      <c r="Z207" s="82"/>
      <c r="AA207" s="31"/>
      <c r="AB207" s="37"/>
      <c r="AC207" s="82"/>
      <c r="AD207" s="1"/>
    </row>
    <row r="208" spans="1:30">
      <c r="A208" s="82"/>
      <c r="B208" s="74"/>
      <c r="C208" s="1"/>
      <c r="D208" s="74"/>
      <c r="E208" s="74"/>
      <c r="F208" s="7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82"/>
      <c r="Z208" s="82"/>
      <c r="AA208" s="31"/>
      <c r="AB208" s="37"/>
      <c r="AC208" s="82"/>
      <c r="AD208" s="1"/>
    </row>
    <row r="209" spans="1:30">
      <c r="A209" s="82"/>
      <c r="B209" s="74"/>
      <c r="C209" s="1"/>
      <c r="D209" s="74"/>
      <c r="E209" s="74"/>
      <c r="F209" s="7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82"/>
      <c r="Z209" s="82"/>
      <c r="AA209" s="31"/>
      <c r="AB209" s="37"/>
      <c r="AC209" s="82"/>
      <c r="AD209" s="1"/>
    </row>
    <row r="210" spans="1:30">
      <c r="A210" s="83"/>
      <c r="B210" s="73"/>
      <c r="C210" s="30"/>
      <c r="D210" s="73"/>
      <c r="E210" s="73"/>
      <c r="F210" s="73"/>
      <c r="G210" s="30"/>
      <c r="H210" s="30"/>
      <c r="I210" s="30"/>
      <c r="J210" s="30"/>
      <c r="K210" s="30"/>
      <c r="L210" s="30"/>
      <c r="M210" s="30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AD210" s="138"/>
    </row>
  </sheetData>
  <mergeCells count="41">
    <mergeCell ref="M14:M15"/>
    <mergeCell ref="I14:I15"/>
    <mergeCell ref="D14:D15"/>
    <mergeCell ref="AC14:AC15"/>
    <mergeCell ref="X14:X15"/>
    <mergeCell ref="AB14:AB15"/>
    <mergeCell ref="Z14:Z15"/>
    <mergeCell ref="V14:V15"/>
    <mergeCell ref="Y14:Y15"/>
    <mergeCell ref="W14:W15"/>
    <mergeCell ref="D23:D24"/>
    <mergeCell ref="E23:E24"/>
    <mergeCell ref="U53:U55"/>
    <mergeCell ref="N14:N15"/>
    <mergeCell ref="S14:S15"/>
    <mergeCell ref="T14:T15"/>
    <mergeCell ref="U14:U15"/>
    <mergeCell ref="O14:O15"/>
    <mergeCell ref="P14:P15"/>
    <mergeCell ref="Q14:Q15"/>
    <mergeCell ref="R14:R15"/>
    <mergeCell ref="F23:F24"/>
    <mergeCell ref="E41:E43"/>
    <mergeCell ref="F41:F43"/>
    <mergeCell ref="K14:K15"/>
    <mergeCell ref="L14:L15"/>
    <mergeCell ref="E45:E46"/>
    <mergeCell ref="F45:F46"/>
    <mergeCell ref="D26:D28"/>
    <mergeCell ref="E26:E28"/>
    <mergeCell ref="F26:F28"/>
    <mergeCell ref="A21:A22"/>
    <mergeCell ref="J14:J15"/>
    <mergeCell ref="H21:H22"/>
    <mergeCell ref="E21:E22"/>
    <mergeCell ref="F21:F22"/>
    <mergeCell ref="D21:D22"/>
    <mergeCell ref="A14:A15"/>
    <mergeCell ref="I21:I22"/>
    <mergeCell ref="E14:E15"/>
    <mergeCell ref="H14:H15"/>
  </mergeCells>
  <phoneticPr fontId="20" type="noConversion"/>
  <conditionalFormatting sqref="G42">
    <cfRule type="duplicateValues" dxfId="6" priority="3"/>
  </conditionalFormatting>
  <conditionalFormatting sqref="G43">
    <cfRule type="duplicateValues" dxfId="5" priority="2"/>
  </conditionalFormatting>
  <conditionalFormatting sqref="G46">
    <cfRule type="duplicateValues" dxfId="4" priority="1"/>
  </conditionalFormatting>
  <conditionalFormatting sqref="H42">
    <cfRule type="duplicateValues" dxfId="3" priority="4"/>
  </conditionalFormatting>
  <hyperlinks>
    <hyperlink ref="D6" r:id="rId1" xr:uid="{51229A02-2CC2-4BB6-B66D-A90099923998}"/>
    <hyperlink ref="D13" r:id="rId2" xr:uid="{8EF6E089-7BCD-4398-BB2E-FABD8763ED0D}"/>
    <hyperlink ref="D16" r:id="rId3" xr:uid="{6C2FE862-25E2-4972-B103-D2FC3A6FD0EF}"/>
    <hyperlink ref="D12" r:id="rId4" xr:uid="{BE47DAFB-B3C2-41D7-90DD-873C8E93E6D4}"/>
    <hyperlink ref="D14:D15" r:id="rId5" display="VISAR-6168" xr:uid="{705761D9-CD4E-457D-8806-9D95ECB4537D}"/>
    <hyperlink ref="D17" r:id="rId6" xr:uid="{903F8F9A-5EDC-40EA-9E75-CA2A68D15A3C}"/>
    <hyperlink ref="D19" r:id="rId7" xr:uid="{E815E9E3-2D0F-42AB-A955-B0BAF84A18F0}"/>
    <hyperlink ref="D32" r:id="rId8" xr:uid="{3D9E5B13-990D-4681-851F-179AEF2DEBFD}"/>
    <hyperlink ref="D20" r:id="rId9" xr:uid="{0450A984-3AF1-4F2C-BA5B-60F5D7CE7334}"/>
    <hyperlink ref="D18" r:id="rId10" xr:uid="{FCE6F642-347E-48D4-9A33-3CDC849EFD66}"/>
    <hyperlink ref="D30" r:id="rId11" xr:uid="{FE0C9378-7D29-449A-B6BE-37290A8E0DE0}"/>
    <hyperlink ref="D8" r:id="rId12" xr:uid="{5A150189-18BC-4694-997B-095D738F34D4}"/>
    <hyperlink ref="D10" r:id="rId13" xr:uid="{A554DFC0-7C38-4C29-A0C8-A57207D89B65}"/>
    <hyperlink ref="D9" r:id="rId14" xr:uid="{152A04AF-BCCC-4705-82DE-EEE8E99A1DC1}"/>
    <hyperlink ref="D11" r:id="rId15" xr:uid="{FD0D6EDA-F12D-434A-AB75-71DD82C7D491}"/>
    <hyperlink ref="D7" r:id="rId16" xr:uid="{681F4D07-F5D9-42B3-8A0A-49420810E6C6}"/>
    <hyperlink ref="D5" r:id="rId17" display="ISAR-6190" xr:uid="{CC01CE7A-9923-405D-8787-11D85756553F}"/>
    <hyperlink ref="D4" r:id="rId18" xr:uid="{B151AD31-1023-444E-A87C-422F036CEE06}"/>
    <hyperlink ref="D25" r:id="rId19" xr:uid="{35059CC8-6CA2-4276-9820-54049844686D}"/>
    <hyperlink ref="D21" r:id="rId20" xr:uid="{78DFF807-6A23-477A-88FB-611F362E111A}"/>
    <hyperlink ref="D23" r:id="rId21" xr:uid="{20C62C24-E513-49B9-B5EF-815BC6974946}"/>
    <hyperlink ref="D26" r:id="rId22" xr:uid="{FE1DD593-02C7-406B-B253-153E0DE230BD}"/>
    <hyperlink ref="D34" r:id="rId23" display="[VISAR-7296] Agency X-Ref Maintenance - w_ct_m_maint_agy_xref - Introduction" xr:uid="{928D04EC-0B23-4A71-98AF-84B3E530C628}"/>
    <hyperlink ref="D29" r:id="rId24" display="[VISAR-7215] JBSIS Maintenance - w_jbsis_maintenance - Introduction" xr:uid="{BDF1B494-C009-4356-AAF2-0B60EEB86090}"/>
    <hyperlink ref="D35" r:id="rId25" display="[VISAR-7311] Court Holidays - w_ct_m_court_holidays - Introduction" xr:uid="{85F1E9DA-531E-4E8A-8A1C-F5340F0D2CAC}"/>
    <hyperlink ref="D36" r:id="rId26" display="[VISAR-7312] Auto Process Schedule - w_ct_m_mnt_auto_process_sched - Introduction" xr:uid="{C003AC5A-66D7-473B-B501-E9A928A250A4}"/>
    <hyperlink ref="D37" r:id="rId27" xr:uid="{87684FB6-E0BD-4682-8B1B-04AB2353D6D7}"/>
    <hyperlink ref="D2" r:id="rId28" display="[VISAR-7333] Officer Consolidate - w_ct_m_officer_merge - Introduction" xr:uid="{EBA5ABC4-1884-46B2-9A62-2437D97BE2E0}"/>
    <hyperlink ref="D38" r:id="rId29" display="[VISAR-7368] Agency Codes - w_ct_m_agency_codes - Introduction" xr:uid="{65FBEFCD-44CC-48F3-A4B1-F560C5E241AB}"/>
    <hyperlink ref="D31" r:id="rId30" xr:uid="{CF933705-010B-4C97-BABB-04DD0C388467}"/>
    <hyperlink ref="D3" r:id="rId31" display="VISAR-6315" xr:uid="{19D6F737-CFD8-4554-B007-DB05C267D824}"/>
    <hyperlink ref="D40" r:id="rId32" display="https://ocsuperiorcourt.atlassian.net/browse/VISAR-7388" xr:uid="{80D7E225-4614-4508-B23D-4D0B202D12DA}"/>
    <hyperlink ref="D39" r:id="rId33" display="https://ocsuperiorcourt.atlassian.net/browse/VISAR-7382" xr:uid="{E3D8D49A-2E10-4DF1-8ED8-C7A8E286C058}"/>
    <hyperlink ref="D47" r:id="rId34" display="[VISAR-7417] Simple Case Search - w_ct_r_simple_search - Introduction" xr:uid="{00D5502B-F2E4-49A0-BEF6-FA1BF30D544F}"/>
    <hyperlink ref="B41" r:id="rId35" display="https://ocsuperiorcourt.atlassian.net/browse/VISAR-7418" xr:uid="{EED3595F-1DEC-4134-9A1B-44F009DBFC59}"/>
    <hyperlink ref="B42" r:id="rId36" display="https://ocsuperiorcourt.atlassian.net/browse/VISAR-7418" xr:uid="{0C001142-5ED5-4AF0-B8C8-28036D2D9541}"/>
    <hyperlink ref="B43" r:id="rId37" display="https://ocsuperiorcourt.atlassian.net/browse/VISAR-7418" xr:uid="{1EB34351-CC7C-4FAE-83BF-B9E2B9915B97}"/>
    <hyperlink ref="B44" r:id="rId38" display="https://ocsuperiorcourt.atlassian.net/browse/VISAR-7418" xr:uid="{8FC65A70-D46F-4970-BBDC-1D71EF945C47}"/>
    <hyperlink ref="D45" r:id="rId39" display="https://ocsuperiorcourt.atlassian.net/browse/VISAR-7419" xr:uid="{1B988334-AE3A-4070-A8F2-1981D07A6242}"/>
    <hyperlink ref="B45" r:id="rId40" display="https://ocsuperiorcourt.atlassian.net/browse/VISAR-7418" xr:uid="{C7BF52B0-EF66-4F4C-B9B9-4444CF3CDE6C}"/>
    <hyperlink ref="B46" r:id="rId41" display="https://ocsuperiorcourt.atlassian.net/browse/VISAR-7418" xr:uid="{03FA8F5E-E534-4B2B-9DAA-4A0666A861FE}"/>
    <hyperlink ref="D41" r:id="rId42" display="https://ocsuperiorcourt.atlassian.net/browse/VISAR-7421" xr:uid="{BD1D9915-07EA-4D39-9E63-1CEA9CEDE221}"/>
    <hyperlink ref="D42" r:id="rId43" display="https://ocsuperiorcourt.atlassian.net/browse/VISAR-7422" xr:uid="{12054081-0194-484E-949B-4C902FDAFB87}"/>
    <hyperlink ref="D43" r:id="rId44" display="https://ocsuperiorcourt.atlassian.net/browse/VISAR-7423" xr:uid="{EC9D8331-E39F-4774-AC81-A1C5F60A445C}"/>
    <hyperlink ref="D46" r:id="rId45" display="https://ocsuperiorcourt.atlassian.net/browse/VISAR-7420" xr:uid="{20188A56-673E-4DCF-9DC2-2A80CFA016E2}"/>
  </hyperlinks>
  <pageMargins left="0.7" right="0.7" top="0.75" bottom="0.75" header="0.3" footer="0.3"/>
  <pageSetup orientation="portrait" r:id="rId46"/>
  <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EB22-2A98-402E-AC1E-DD8C4B7C3613}">
  <dimension ref="B1:Z22"/>
  <sheetViews>
    <sheetView workbookViewId="0">
      <selection activeCell="E26" sqref="E26"/>
    </sheetView>
  </sheetViews>
  <sheetFormatPr defaultRowHeight="15"/>
  <cols>
    <col min="1" max="1" width="4.85546875" customWidth="1"/>
    <col min="2" max="2" width="32" customWidth="1"/>
    <col min="3" max="3" width="29.5703125" customWidth="1"/>
    <col min="4" max="4" width="18.42578125" customWidth="1"/>
    <col min="5" max="6" width="14.28515625" customWidth="1"/>
    <col min="7" max="7" width="15.42578125" customWidth="1"/>
    <col min="8" max="8" width="15.42578125" style="65" customWidth="1"/>
    <col min="9" max="12" width="15.42578125" customWidth="1"/>
    <col min="14" max="14" width="29.140625" customWidth="1"/>
    <col min="16" max="16" width="12.7109375" bestFit="1" customWidth="1"/>
    <col min="17" max="17" width="18.140625" bestFit="1" customWidth="1"/>
    <col min="18" max="18" width="11.7109375" bestFit="1" customWidth="1"/>
    <col min="19" max="19" width="18" bestFit="1" customWidth="1"/>
    <col min="20" max="21" width="18" customWidth="1"/>
    <col min="22" max="22" width="10.5703125" bestFit="1" customWidth="1"/>
    <col min="23" max="23" width="17.85546875" bestFit="1" customWidth="1"/>
    <col min="24" max="24" width="13.7109375" bestFit="1" customWidth="1"/>
    <col min="25" max="25" width="13.7109375" customWidth="1"/>
    <col min="26" max="26" width="14.140625" customWidth="1"/>
  </cols>
  <sheetData>
    <row r="1" spans="2:26">
      <c r="B1" s="138"/>
      <c r="C1" s="138"/>
      <c r="D1" s="138"/>
      <c r="E1" s="138"/>
      <c r="F1" s="138"/>
      <c r="G1" s="138"/>
      <c r="I1" s="138"/>
      <c r="J1" s="138"/>
      <c r="K1" s="138"/>
      <c r="L1" s="138"/>
      <c r="M1" s="138"/>
      <c r="N1" s="138"/>
      <c r="O1" s="138"/>
      <c r="P1" s="138" t="s">
        <v>173</v>
      </c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spans="2:26">
      <c r="B2" s="57" t="s">
        <v>174</v>
      </c>
      <c r="C2" s="57" t="s">
        <v>175</v>
      </c>
      <c r="D2" s="64" t="s">
        <v>176</v>
      </c>
      <c r="E2" s="64" t="s">
        <v>177</v>
      </c>
      <c r="F2" s="64" t="s">
        <v>178</v>
      </c>
      <c r="G2" s="66" t="s">
        <v>179</v>
      </c>
      <c r="H2" s="66" t="s">
        <v>180</v>
      </c>
      <c r="I2" s="66" t="s">
        <v>181</v>
      </c>
      <c r="J2" s="67" t="s">
        <v>182</v>
      </c>
      <c r="K2" s="67" t="s">
        <v>183</v>
      </c>
      <c r="L2" s="67" t="s">
        <v>184</v>
      </c>
      <c r="M2" s="138"/>
      <c r="N2" s="138"/>
      <c r="O2" s="138"/>
      <c r="P2" s="138" t="s">
        <v>185</v>
      </c>
      <c r="Q2" s="169" t="s">
        <v>186</v>
      </c>
      <c r="R2" s="169"/>
      <c r="S2" s="169"/>
      <c r="T2" s="138"/>
      <c r="U2" s="138"/>
      <c r="V2" s="169" t="s">
        <v>171</v>
      </c>
      <c r="W2" s="169"/>
      <c r="X2" s="138" t="s">
        <v>185</v>
      </c>
      <c r="Y2" s="138"/>
      <c r="Z2" s="138"/>
    </row>
    <row r="3" spans="2:26">
      <c r="B3" s="54" t="s">
        <v>42</v>
      </c>
      <c r="C3" s="53" t="s">
        <v>43</v>
      </c>
      <c r="D3" s="63">
        <v>32</v>
      </c>
      <c r="E3" s="63">
        <v>12</v>
      </c>
      <c r="F3" s="63">
        <f t="shared" ref="F3:F18" si="0">SUM(D3:E3)</f>
        <v>44</v>
      </c>
      <c r="G3" s="63">
        <v>40</v>
      </c>
      <c r="H3" s="70">
        <v>12</v>
      </c>
      <c r="I3" s="63">
        <f t="shared" ref="I3:I18" si="1">SUM(G3:H3)</f>
        <v>52</v>
      </c>
      <c r="J3" s="63">
        <f t="shared" ref="J3:J18" si="2">D3-G3</f>
        <v>-8</v>
      </c>
      <c r="K3" s="63">
        <f t="shared" ref="K3:K18" si="3">E3-H3</f>
        <v>0</v>
      </c>
      <c r="L3" s="63">
        <f t="shared" ref="L3:L18" si="4">F3-I3</f>
        <v>-8</v>
      </c>
      <c r="M3" s="138"/>
      <c r="N3" s="138"/>
      <c r="O3" s="138"/>
      <c r="P3" s="52" t="s">
        <v>187</v>
      </c>
      <c r="Q3" s="52" t="s">
        <v>188</v>
      </c>
      <c r="R3" s="52" t="s">
        <v>166</v>
      </c>
      <c r="S3" s="52" t="s">
        <v>189</v>
      </c>
      <c r="T3" s="52" t="s">
        <v>190</v>
      </c>
      <c r="U3" s="58" t="s">
        <v>191</v>
      </c>
      <c r="V3" s="52" t="s">
        <v>192</v>
      </c>
      <c r="W3" s="52" t="s">
        <v>193</v>
      </c>
      <c r="X3" s="52" t="s">
        <v>194</v>
      </c>
      <c r="Y3" s="58" t="s">
        <v>195</v>
      </c>
      <c r="Z3" s="60" t="s">
        <v>196</v>
      </c>
    </row>
    <row r="4" spans="2:26">
      <c r="B4" s="54" t="s">
        <v>49</v>
      </c>
      <c r="C4" s="136" t="s">
        <v>34</v>
      </c>
      <c r="D4" s="63">
        <v>64</v>
      </c>
      <c r="E4" s="63">
        <v>40</v>
      </c>
      <c r="F4" s="63">
        <f t="shared" si="0"/>
        <v>104</v>
      </c>
      <c r="G4" s="63">
        <v>151</v>
      </c>
      <c r="H4" s="70">
        <v>71</v>
      </c>
      <c r="I4" s="63">
        <f t="shared" si="1"/>
        <v>222</v>
      </c>
      <c r="J4" s="63">
        <f t="shared" si="2"/>
        <v>-87</v>
      </c>
      <c r="K4" s="63">
        <f t="shared" si="3"/>
        <v>-31</v>
      </c>
      <c r="L4" s="63">
        <f t="shared" si="4"/>
        <v>-118</v>
      </c>
      <c r="M4" s="138"/>
      <c r="N4" s="68" t="s">
        <v>197</v>
      </c>
      <c r="O4" s="138"/>
      <c r="P4" s="138" t="s">
        <v>43</v>
      </c>
      <c r="Q4" s="138">
        <v>2</v>
      </c>
      <c r="R4" s="138">
        <v>1</v>
      </c>
      <c r="S4" s="138">
        <v>1</v>
      </c>
      <c r="T4" s="138">
        <f t="shared" ref="T4:T9" si="5">SUM(Q4:S4)</f>
        <v>4</v>
      </c>
      <c r="U4" s="59">
        <f t="shared" ref="U4:U9" si="6">T4*8</f>
        <v>32</v>
      </c>
      <c r="V4" s="138">
        <v>1</v>
      </c>
      <c r="W4" s="138">
        <v>0.5</v>
      </c>
      <c r="X4" s="138">
        <f t="shared" ref="X4:X9" si="7">V4+W4</f>
        <v>1.5</v>
      </c>
      <c r="Y4" s="59">
        <f t="shared" ref="Y4:Y9" si="8">X4*8</f>
        <v>12</v>
      </c>
      <c r="Z4" s="61">
        <f t="shared" ref="Z4:Z9" si="9">U4+Y4</f>
        <v>44</v>
      </c>
    </row>
    <row r="5" spans="2:26">
      <c r="B5" s="55" t="s">
        <v>53</v>
      </c>
      <c r="C5" s="55" t="s">
        <v>54</v>
      </c>
      <c r="D5" s="63">
        <v>96</v>
      </c>
      <c r="E5" s="63">
        <v>52</v>
      </c>
      <c r="F5" s="63">
        <f t="shared" si="0"/>
        <v>148</v>
      </c>
      <c r="G5" s="63">
        <v>22</v>
      </c>
      <c r="H5" s="70">
        <v>4</v>
      </c>
      <c r="I5" s="63">
        <f t="shared" si="1"/>
        <v>26</v>
      </c>
      <c r="J5" s="63">
        <f t="shared" si="2"/>
        <v>74</v>
      </c>
      <c r="K5" s="63">
        <f t="shared" si="3"/>
        <v>48</v>
      </c>
      <c r="L5" s="63">
        <f t="shared" si="4"/>
        <v>122</v>
      </c>
      <c r="M5" s="138"/>
      <c r="N5" s="69" t="s">
        <v>198</v>
      </c>
      <c r="O5" s="138"/>
      <c r="P5" s="138" t="s">
        <v>34</v>
      </c>
      <c r="Q5" s="138">
        <v>4</v>
      </c>
      <c r="R5" s="138">
        <v>2</v>
      </c>
      <c r="S5" s="138">
        <v>2</v>
      </c>
      <c r="T5" s="138">
        <f t="shared" si="5"/>
        <v>8</v>
      </c>
      <c r="U5" s="59">
        <f t="shared" si="6"/>
        <v>64</v>
      </c>
      <c r="V5" s="138">
        <v>4</v>
      </c>
      <c r="W5" s="138">
        <v>1</v>
      </c>
      <c r="X5" s="138">
        <f t="shared" si="7"/>
        <v>5</v>
      </c>
      <c r="Y5" s="59">
        <f t="shared" si="8"/>
        <v>40</v>
      </c>
      <c r="Z5" s="61">
        <f t="shared" si="9"/>
        <v>104</v>
      </c>
    </row>
    <row r="6" spans="2:26">
      <c r="B6" s="54" t="s">
        <v>57</v>
      </c>
      <c r="C6" s="136" t="s">
        <v>34</v>
      </c>
      <c r="D6" s="63">
        <v>64</v>
      </c>
      <c r="E6" s="63">
        <v>40</v>
      </c>
      <c r="F6" s="63">
        <f t="shared" si="0"/>
        <v>104</v>
      </c>
      <c r="G6" s="63">
        <v>63</v>
      </c>
      <c r="H6" s="70">
        <v>19</v>
      </c>
      <c r="I6" s="63">
        <f t="shared" si="1"/>
        <v>82</v>
      </c>
      <c r="J6" s="63">
        <f t="shared" si="2"/>
        <v>1</v>
      </c>
      <c r="K6" s="63">
        <f t="shared" si="3"/>
        <v>21</v>
      </c>
      <c r="L6" s="63">
        <f t="shared" si="4"/>
        <v>22</v>
      </c>
      <c r="M6" s="138"/>
      <c r="N6" s="138"/>
      <c r="O6" s="138"/>
      <c r="P6" s="138" t="s">
        <v>54</v>
      </c>
      <c r="Q6" s="138">
        <v>7</v>
      </c>
      <c r="R6" s="138">
        <v>2</v>
      </c>
      <c r="S6" s="138">
        <v>3</v>
      </c>
      <c r="T6" s="138">
        <f t="shared" si="5"/>
        <v>12</v>
      </c>
      <c r="U6" s="59">
        <f t="shared" si="6"/>
        <v>96</v>
      </c>
      <c r="V6" s="138">
        <v>5</v>
      </c>
      <c r="W6" s="138">
        <v>1.5</v>
      </c>
      <c r="X6" s="138">
        <f t="shared" si="7"/>
        <v>6.5</v>
      </c>
      <c r="Y6" s="59">
        <f t="shared" si="8"/>
        <v>52</v>
      </c>
      <c r="Z6" s="61">
        <f t="shared" si="9"/>
        <v>148</v>
      </c>
    </row>
    <row r="7" spans="2:26">
      <c r="B7" s="54" t="s">
        <v>60</v>
      </c>
      <c r="C7" s="136" t="s">
        <v>43</v>
      </c>
      <c r="D7" s="63">
        <v>32</v>
      </c>
      <c r="E7" s="63">
        <v>12</v>
      </c>
      <c r="F7" s="63">
        <f t="shared" si="0"/>
        <v>44</v>
      </c>
      <c r="G7" s="63">
        <v>49</v>
      </c>
      <c r="H7" s="70">
        <v>23</v>
      </c>
      <c r="I7" s="63">
        <f t="shared" si="1"/>
        <v>72</v>
      </c>
      <c r="J7" s="63">
        <f t="shared" si="2"/>
        <v>-17</v>
      </c>
      <c r="K7" s="63">
        <f t="shared" si="3"/>
        <v>-11</v>
      </c>
      <c r="L7" s="63">
        <f t="shared" si="4"/>
        <v>-28</v>
      </c>
      <c r="M7" s="138"/>
      <c r="N7" s="138"/>
      <c r="O7" s="138"/>
      <c r="P7" s="138" t="s">
        <v>199</v>
      </c>
      <c r="Q7" s="138">
        <v>11</v>
      </c>
      <c r="R7" s="138">
        <v>3</v>
      </c>
      <c r="S7" s="138">
        <v>4</v>
      </c>
      <c r="T7" s="138">
        <f t="shared" si="5"/>
        <v>18</v>
      </c>
      <c r="U7" s="59">
        <f t="shared" si="6"/>
        <v>144</v>
      </c>
      <c r="V7" s="138">
        <v>6</v>
      </c>
      <c r="W7" s="138">
        <v>2</v>
      </c>
      <c r="X7" s="138">
        <f t="shared" si="7"/>
        <v>8</v>
      </c>
      <c r="Y7" s="59">
        <f t="shared" si="8"/>
        <v>64</v>
      </c>
      <c r="Z7" s="61">
        <f t="shared" si="9"/>
        <v>208</v>
      </c>
    </row>
    <row r="8" spans="2:26">
      <c r="B8" s="54" t="s">
        <v>62</v>
      </c>
      <c r="C8" s="136" t="s">
        <v>43</v>
      </c>
      <c r="D8" s="63">
        <v>32</v>
      </c>
      <c r="E8" s="63">
        <v>12</v>
      </c>
      <c r="F8" s="63">
        <f t="shared" si="0"/>
        <v>44</v>
      </c>
      <c r="G8" s="63">
        <v>68</v>
      </c>
      <c r="H8" s="70">
        <v>21</v>
      </c>
      <c r="I8" s="63">
        <f t="shared" si="1"/>
        <v>89</v>
      </c>
      <c r="J8" s="63">
        <f t="shared" si="2"/>
        <v>-36</v>
      </c>
      <c r="K8" s="63">
        <f t="shared" si="3"/>
        <v>-9</v>
      </c>
      <c r="L8" s="63">
        <f t="shared" si="4"/>
        <v>-45</v>
      </c>
      <c r="M8" s="138"/>
      <c r="N8" s="138"/>
      <c r="O8" s="138"/>
      <c r="P8" s="138" t="s">
        <v>101</v>
      </c>
      <c r="Q8" s="138">
        <v>13</v>
      </c>
      <c r="R8" s="138">
        <v>3</v>
      </c>
      <c r="S8" s="138">
        <v>5</v>
      </c>
      <c r="T8" s="138">
        <f t="shared" si="5"/>
        <v>21</v>
      </c>
      <c r="U8" s="59">
        <f t="shared" si="6"/>
        <v>168</v>
      </c>
      <c r="V8" s="138">
        <v>7</v>
      </c>
      <c r="W8" s="138">
        <v>3</v>
      </c>
      <c r="X8" s="138">
        <f t="shared" si="7"/>
        <v>10</v>
      </c>
      <c r="Y8" s="59">
        <f t="shared" si="8"/>
        <v>80</v>
      </c>
      <c r="Z8" s="61">
        <f t="shared" si="9"/>
        <v>248</v>
      </c>
    </row>
    <row r="9" spans="2:26">
      <c r="B9" s="54" t="s">
        <v>64</v>
      </c>
      <c r="C9" s="136" t="s">
        <v>43</v>
      </c>
      <c r="D9" s="63">
        <v>32</v>
      </c>
      <c r="E9" s="63">
        <v>12</v>
      </c>
      <c r="F9" s="63">
        <f t="shared" si="0"/>
        <v>44</v>
      </c>
      <c r="G9" s="63">
        <v>33</v>
      </c>
      <c r="H9" s="70">
        <v>31</v>
      </c>
      <c r="I9" s="63">
        <f t="shared" si="1"/>
        <v>64</v>
      </c>
      <c r="J9" s="63">
        <f t="shared" si="2"/>
        <v>-1</v>
      </c>
      <c r="K9" s="63">
        <f t="shared" si="3"/>
        <v>-19</v>
      </c>
      <c r="L9" s="63">
        <f t="shared" si="4"/>
        <v>-20</v>
      </c>
      <c r="M9" s="138"/>
      <c r="N9" s="138"/>
      <c r="O9" s="138"/>
      <c r="P9" s="138" t="s">
        <v>200</v>
      </c>
      <c r="Q9" s="138">
        <v>15</v>
      </c>
      <c r="R9" s="138">
        <v>4</v>
      </c>
      <c r="S9" s="138">
        <v>5</v>
      </c>
      <c r="T9" s="138">
        <f t="shared" si="5"/>
        <v>24</v>
      </c>
      <c r="U9" s="59">
        <f t="shared" si="6"/>
        <v>192</v>
      </c>
      <c r="V9" s="138">
        <v>7</v>
      </c>
      <c r="W9" s="138">
        <v>4</v>
      </c>
      <c r="X9" s="138">
        <f t="shared" si="7"/>
        <v>11</v>
      </c>
      <c r="Y9" s="59">
        <f t="shared" si="8"/>
        <v>88</v>
      </c>
      <c r="Z9" s="61">
        <f t="shared" si="9"/>
        <v>280</v>
      </c>
    </row>
    <row r="10" spans="2:26">
      <c r="B10" s="54" t="s">
        <v>66</v>
      </c>
      <c r="C10" s="136" t="s">
        <v>34</v>
      </c>
      <c r="D10" s="63">
        <v>64</v>
      </c>
      <c r="E10" s="63">
        <v>40</v>
      </c>
      <c r="F10" s="63">
        <f t="shared" si="0"/>
        <v>104</v>
      </c>
      <c r="G10" s="63">
        <v>102</v>
      </c>
      <c r="H10" s="70">
        <v>31.5</v>
      </c>
      <c r="I10" s="63">
        <f t="shared" si="1"/>
        <v>133.5</v>
      </c>
      <c r="J10" s="63">
        <f t="shared" si="2"/>
        <v>-38</v>
      </c>
      <c r="K10" s="63">
        <f t="shared" si="3"/>
        <v>8.5</v>
      </c>
      <c r="L10" s="63">
        <f t="shared" si="4"/>
        <v>-29.5</v>
      </c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spans="2:26">
      <c r="B11" s="55" t="s">
        <v>69</v>
      </c>
      <c r="C11" s="55" t="s">
        <v>70</v>
      </c>
      <c r="D11" s="63">
        <v>144</v>
      </c>
      <c r="E11" s="63">
        <v>64</v>
      </c>
      <c r="F11" s="63">
        <f t="shared" si="0"/>
        <v>208</v>
      </c>
      <c r="G11" s="63">
        <v>72</v>
      </c>
      <c r="H11" s="70">
        <v>34</v>
      </c>
      <c r="I11" s="63">
        <f t="shared" si="1"/>
        <v>106</v>
      </c>
      <c r="J11" s="63">
        <f t="shared" si="2"/>
        <v>72</v>
      </c>
      <c r="K11" s="63">
        <f t="shared" si="3"/>
        <v>30</v>
      </c>
      <c r="L11" s="63">
        <f t="shared" si="4"/>
        <v>102</v>
      </c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spans="2:26">
      <c r="B12" s="55" t="s">
        <v>74</v>
      </c>
      <c r="C12" s="137" t="s">
        <v>34</v>
      </c>
      <c r="D12" s="63">
        <v>64</v>
      </c>
      <c r="E12" s="63">
        <v>40</v>
      </c>
      <c r="F12" s="63">
        <f t="shared" si="0"/>
        <v>104</v>
      </c>
      <c r="G12" s="63">
        <v>70</v>
      </c>
      <c r="H12" s="70">
        <v>21.5</v>
      </c>
      <c r="I12" s="63">
        <f t="shared" si="1"/>
        <v>91.5</v>
      </c>
      <c r="J12" s="63">
        <f t="shared" si="2"/>
        <v>-6</v>
      </c>
      <c r="K12" s="63">
        <f t="shared" si="3"/>
        <v>18.5</v>
      </c>
      <c r="L12" s="63">
        <f t="shared" si="4"/>
        <v>12.5</v>
      </c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spans="2:26">
      <c r="B13" s="55" t="s">
        <v>77</v>
      </c>
      <c r="C13" s="62" t="s">
        <v>78</v>
      </c>
      <c r="D13" s="63">
        <v>144</v>
      </c>
      <c r="E13" s="63">
        <v>64</v>
      </c>
      <c r="F13" s="63">
        <f t="shared" si="0"/>
        <v>208</v>
      </c>
      <c r="G13" s="63">
        <v>175</v>
      </c>
      <c r="H13" s="71">
        <v>31</v>
      </c>
      <c r="I13" s="63">
        <f t="shared" si="1"/>
        <v>206</v>
      </c>
      <c r="J13" s="63">
        <f t="shared" si="2"/>
        <v>-31</v>
      </c>
      <c r="K13" s="63">
        <f t="shared" si="3"/>
        <v>33</v>
      </c>
      <c r="L13" s="63">
        <f t="shared" si="4"/>
        <v>2</v>
      </c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spans="2:26">
      <c r="B14" s="55" t="s">
        <v>81</v>
      </c>
      <c r="C14" s="55" t="s">
        <v>54</v>
      </c>
      <c r="D14" s="63">
        <v>96</v>
      </c>
      <c r="E14" s="63">
        <v>52</v>
      </c>
      <c r="F14" s="63">
        <f t="shared" si="0"/>
        <v>148</v>
      </c>
      <c r="G14" s="63">
        <v>84</v>
      </c>
      <c r="H14" s="70">
        <v>24</v>
      </c>
      <c r="I14" s="63">
        <f t="shared" si="1"/>
        <v>108</v>
      </c>
      <c r="J14" s="63">
        <f t="shared" si="2"/>
        <v>12</v>
      </c>
      <c r="K14" s="63">
        <f t="shared" si="3"/>
        <v>28</v>
      </c>
      <c r="L14" s="63">
        <f t="shared" si="4"/>
        <v>40</v>
      </c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spans="2:26">
      <c r="B15" s="55" t="s">
        <v>83</v>
      </c>
      <c r="C15" s="55" t="s">
        <v>34</v>
      </c>
      <c r="D15" s="63">
        <v>64</v>
      </c>
      <c r="E15" s="63">
        <v>40</v>
      </c>
      <c r="F15" s="63">
        <f t="shared" si="0"/>
        <v>104</v>
      </c>
      <c r="G15" s="63">
        <v>45</v>
      </c>
      <c r="H15" s="70">
        <v>14</v>
      </c>
      <c r="I15" s="63">
        <f t="shared" si="1"/>
        <v>59</v>
      </c>
      <c r="J15" s="63">
        <f t="shared" si="2"/>
        <v>19</v>
      </c>
      <c r="K15" s="63">
        <f t="shared" si="3"/>
        <v>26</v>
      </c>
      <c r="L15" s="63">
        <f t="shared" si="4"/>
        <v>45</v>
      </c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spans="2:26">
      <c r="B16" s="56" t="s">
        <v>86</v>
      </c>
      <c r="C16" s="55" t="s">
        <v>34</v>
      </c>
      <c r="D16" s="63">
        <v>64</v>
      </c>
      <c r="E16" s="63">
        <v>40</v>
      </c>
      <c r="F16" s="63">
        <f t="shared" si="0"/>
        <v>104</v>
      </c>
      <c r="G16" s="63">
        <v>43</v>
      </c>
      <c r="H16" s="70">
        <v>17</v>
      </c>
      <c r="I16" s="63">
        <f t="shared" si="1"/>
        <v>60</v>
      </c>
      <c r="J16" s="63">
        <f t="shared" si="2"/>
        <v>21</v>
      </c>
      <c r="K16" s="63">
        <f t="shared" si="3"/>
        <v>23</v>
      </c>
      <c r="L16" s="63">
        <f t="shared" si="4"/>
        <v>44</v>
      </c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72" t="s">
        <v>187</v>
      </c>
      <c r="Y16" s="72" t="s">
        <v>4</v>
      </c>
      <c r="Z16" s="72" t="s">
        <v>171</v>
      </c>
    </row>
    <row r="17" spans="2:26">
      <c r="B17" s="55" t="s">
        <v>89</v>
      </c>
      <c r="C17" s="55" t="s">
        <v>34</v>
      </c>
      <c r="D17" s="63">
        <v>64</v>
      </c>
      <c r="E17" s="63">
        <v>40</v>
      </c>
      <c r="F17" s="63">
        <f t="shared" si="0"/>
        <v>104</v>
      </c>
      <c r="G17" s="63">
        <v>61</v>
      </c>
      <c r="H17" s="70">
        <v>17</v>
      </c>
      <c r="I17" s="63">
        <f t="shared" si="1"/>
        <v>78</v>
      </c>
      <c r="J17" s="63">
        <f t="shared" si="2"/>
        <v>3</v>
      </c>
      <c r="K17" s="63">
        <f t="shared" si="3"/>
        <v>23</v>
      </c>
      <c r="L17" s="63">
        <f t="shared" si="4"/>
        <v>26</v>
      </c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53" t="s">
        <v>43</v>
      </c>
      <c r="Y17" s="53">
        <v>4</v>
      </c>
      <c r="Z17" s="53">
        <v>1.5</v>
      </c>
    </row>
    <row r="18" spans="2:26">
      <c r="B18" s="55" t="s">
        <v>91</v>
      </c>
      <c r="C18" s="55" t="s">
        <v>43</v>
      </c>
      <c r="D18" s="63">
        <v>32</v>
      </c>
      <c r="E18" s="63">
        <v>12</v>
      </c>
      <c r="F18" s="63">
        <f t="shared" si="0"/>
        <v>44</v>
      </c>
      <c r="G18" s="63">
        <v>16</v>
      </c>
      <c r="H18" s="70">
        <v>4</v>
      </c>
      <c r="I18" s="63">
        <f t="shared" si="1"/>
        <v>20</v>
      </c>
      <c r="J18" s="63">
        <f t="shared" si="2"/>
        <v>16</v>
      </c>
      <c r="K18" s="63">
        <f t="shared" si="3"/>
        <v>8</v>
      </c>
      <c r="L18" s="63">
        <f t="shared" si="4"/>
        <v>24</v>
      </c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53" t="s">
        <v>34</v>
      </c>
      <c r="Y18" s="53">
        <v>8</v>
      </c>
      <c r="Z18" s="53">
        <v>5</v>
      </c>
    </row>
    <row r="19" spans="2:26">
      <c r="B19" s="53"/>
      <c r="C19" s="53"/>
      <c r="D19" s="63"/>
      <c r="E19" s="63"/>
      <c r="F19" s="63"/>
      <c r="G19" s="63"/>
      <c r="H19" s="70"/>
      <c r="I19" s="63"/>
      <c r="J19" s="63"/>
      <c r="K19" s="63"/>
      <c r="L19" s="63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53" t="s">
        <v>54</v>
      </c>
      <c r="Y19" s="53">
        <v>12</v>
      </c>
      <c r="Z19" s="53">
        <v>6.5</v>
      </c>
    </row>
    <row r="20" spans="2:26">
      <c r="B20" s="138"/>
      <c r="C20" s="138"/>
      <c r="D20" s="138"/>
      <c r="E20" s="138"/>
      <c r="F20" s="138"/>
      <c r="G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53" t="s">
        <v>199</v>
      </c>
      <c r="Y20" s="53">
        <v>18</v>
      </c>
      <c r="Z20" s="53">
        <v>8</v>
      </c>
    </row>
    <row r="21" spans="2:26">
      <c r="B21" s="138"/>
      <c r="C21" s="138"/>
      <c r="D21" s="138"/>
      <c r="E21" s="138"/>
      <c r="F21" s="138"/>
      <c r="G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53" t="s">
        <v>101</v>
      </c>
      <c r="Y21" s="53">
        <v>21</v>
      </c>
      <c r="Z21" s="53">
        <v>10</v>
      </c>
    </row>
    <row r="22" spans="2:26">
      <c r="B22" s="138"/>
      <c r="C22" s="138"/>
      <c r="D22" s="138"/>
      <c r="E22" s="138"/>
      <c r="F22" s="138"/>
      <c r="G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53" t="s">
        <v>200</v>
      </c>
      <c r="Y22" s="53">
        <v>24</v>
      </c>
      <c r="Z22" s="53">
        <v>11</v>
      </c>
    </row>
  </sheetData>
  <mergeCells count="2">
    <mergeCell ref="Q2:S2"/>
    <mergeCell ref="V2:W2"/>
  </mergeCells>
  <conditionalFormatting sqref="J3:L19">
    <cfRule type="cellIs" dxfId="2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E112-1B1F-4B2E-B009-084E11061DEC}">
  <dimension ref="B1:C9"/>
  <sheetViews>
    <sheetView workbookViewId="0">
      <selection activeCell="C9" sqref="B1:C9"/>
    </sheetView>
  </sheetViews>
  <sheetFormatPr defaultRowHeight="15"/>
  <cols>
    <col min="2" max="2" width="34.7109375" bestFit="1" customWidth="1"/>
    <col min="3" max="3" width="15.28515625" bestFit="1" customWidth="1"/>
  </cols>
  <sheetData>
    <row r="1" spans="2:3">
      <c r="B1" s="36" t="s">
        <v>201</v>
      </c>
      <c r="C1" s="36" t="s">
        <v>202</v>
      </c>
    </row>
    <row r="2" spans="2:3">
      <c r="B2" s="35" t="s">
        <v>89</v>
      </c>
      <c r="C2" s="35">
        <v>203</v>
      </c>
    </row>
    <row r="3" spans="2:3">
      <c r="B3" s="35" t="s">
        <v>203</v>
      </c>
      <c r="C3" s="11">
        <v>45</v>
      </c>
    </row>
    <row r="4" spans="2:3">
      <c r="B4" s="35" t="s">
        <v>204</v>
      </c>
      <c r="C4" s="35">
        <v>288</v>
      </c>
    </row>
    <row r="5" spans="2:3">
      <c r="B5" s="35" t="s">
        <v>205</v>
      </c>
      <c r="C5" s="35">
        <v>2</v>
      </c>
    </row>
    <row r="6" spans="2:3">
      <c r="B6" s="35" t="s">
        <v>91</v>
      </c>
      <c r="C6" s="35">
        <v>21</v>
      </c>
    </row>
    <row r="7" spans="2:3">
      <c r="B7" s="35" t="s">
        <v>83</v>
      </c>
      <c r="C7" s="35">
        <v>42</v>
      </c>
    </row>
    <row r="8" spans="2:3">
      <c r="B8" s="35" t="s">
        <v>81</v>
      </c>
      <c r="C8" s="35">
        <v>3</v>
      </c>
    </row>
    <row r="9" spans="2:3">
      <c r="B9" s="35" t="s">
        <v>86</v>
      </c>
      <c r="C9" s="35">
        <v>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02DD-FBD4-4D3C-82D6-B49154E9BD4E}">
  <dimension ref="K3:N10"/>
  <sheetViews>
    <sheetView zoomScale="145" zoomScaleNormal="145" workbookViewId="0">
      <selection activeCell="S5" sqref="S5"/>
    </sheetView>
  </sheetViews>
  <sheetFormatPr defaultRowHeight="15"/>
  <sheetData>
    <row r="3" spans="11:14">
      <c r="K3" s="170" t="s">
        <v>206</v>
      </c>
      <c r="L3" s="170"/>
      <c r="M3" s="170"/>
      <c r="N3" s="170"/>
    </row>
    <row r="4" spans="11:14">
      <c r="K4" s="3" t="s">
        <v>4</v>
      </c>
      <c r="L4" s="3"/>
      <c r="M4" s="2"/>
      <c r="N4" s="2"/>
    </row>
    <row r="5" spans="11:14">
      <c r="K5" s="2"/>
      <c r="L5" s="2"/>
      <c r="M5" s="4" t="s">
        <v>171</v>
      </c>
      <c r="N5" s="2"/>
    </row>
    <row r="6" spans="11:14">
      <c r="K6" s="2"/>
      <c r="L6" s="2"/>
      <c r="M6" s="2"/>
      <c r="N6" s="4" t="s">
        <v>171</v>
      </c>
    </row>
    <row r="7" spans="11:14">
      <c r="K7" s="2"/>
      <c r="L7" s="2"/>
      <c r="M7" s="2"/>
      <c r="N7" s="3" t="s">
        <v>4</v>
      </c>
    </row>
    <row r="8" spans="11:14">
      <c r="K8" s="2"/>
      <c r="L8" s="2"/>
      <c r="M8" s="2"/>
      <c r="N8" s="2"/>
    </row>
    <row r="9" spans="11:14">
      <c r="K9" s="2"/>
      <c r="L9" s="2"/>
      <c r="M9" s="2"/>
      <c r="N9" s="2"/>
    </row>
    <row r="10" spans="11:14">
      <c r="K10" s="2"/>
      <c r="L10" s="2"/>
      <c r="M10" s="2"/>
      <c r="N10" s="2"/>
    </row>
  </sheetData>
  <mergeCells count="1">
    <mergeCell ref="K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BBDD-D8C1-4486-B24D-7D9DA2FB49B7}">
  <dimension ref="A1:I216"/>
  <sheetViews>
    <sheetView zoomScaleNormal="100" workbookViewId="0">
      <selection activeCell="F10" sqref="F10"/>
    </sheetView>
  </sheetViews>
  <sheetFormatPr defaultRowHeight="15"/>
  <cols>
    <col min="1" max="1" width="4.42578125" bestFit="1" customWidth="1"/>
    <col min="2" max="2" width="46.42578125" bestFit="1" customWidth="1"/>
    <col min="3" max="3" width="12.85546875" bestFit="1" customWidth="1"/>
    <col min="4" max="4" width="2" bestFit="1" customWidth="1"/>
    <col min="5" max="5" width="27.7109375" bestFit="1" customWidth="1"/>
    <col min="6" max="6" width="27.7109375" customWidth="1"/>
  </cols>
  <sheetData>
    <row r="1" spans="1:9">
      <c r="A1" s="138"/>
      <c r="B1" s="138"/>
      <c r="C1" s="138"/>
      <c r="D1" s="138"/>
      <c r="E1" s="138"/>
      <c r="F1" s="138"/>
      <c r="G1" s="138"/>
      <c r="H1" s="33" t="s">
        <v>207</v>
      </c>
      <c r="I1" s="34" t="s">
        <v>208</v>
      </c>
    </row>
    <row r="2" spans="1:9">
      <c r="A2" s="29"/>
      <c r="B2" s="29" t="s">
        <v>209</v>
      </c>
      <c r="C2" s="29" t="s">
        <v>210</v>
      </c>
      <c r="D2" s="29"/>
      <c r="E2" s="29" t="s">
        <v>211</v>
      </c>
      <c r="F2" s="39" t="s">
        <v>29</v>
      </c>
      <c r="G2" s="138"/>
      <c r="H2" s="138"/>
      <c r="I2" s="138"/>
    </row>
    <row r="3" spans="1:9">
      <c r="A3" s="5"/>
      <c r="B3" s="6" t="s">
        <v>212</v>
      </c>
      <c r="C3" s="6"/>
      <c r="D3" s="7"/>
      <c r="E3" s="46" t="s">
        <v>213</v>
      </c>
      <c r="F3" s="40"/>
      <c r="G3" s="138"/>
      <c r="H3" s="138"/>
      <c r="I3" s="138"/>
    </row>
    <row r="4" spans="1:9">
      <c r="A4" s="8"/>
      <c r="B4" s="9" t="s">
        <v>133</v>
      </c>
      <c r="C4" s="9" t="s">
        <v>34</v>
      </c>
      <c r="D4" s="10"/>
      <c r="E4" s="47" t="s">
        <v>213</v>
      </c>
      <c r="F4" s="41"/>
      <c r="G4" s="138"/>
      <c r="H4" s="138"/>
      <c r="I4" s="138"/>
    </row>
    <row r="5" spans="1:9">
      <c r="A5" s="8"/>
      <c r="B5" s="11" t="s">
        <v>214</v>
      </c>
      <c r="C5" s="11" t="s">
        <v>43</v>
      </c>
      <c r="D5" s="10"/>
      <c r="E5" s="47" t="s">
        <v>213</v>
      </c>
      <c r="F5" s="41"/>
      <c r="G5" s="138"/>
      <c r="H5" s="138"/>
      <c r="I5" s="138"/>
    </row>
    <row r="6" spans="1:9">
      <c r="A6" s="8"/>
      <c r="B6" s="11" t="s">
        <v>215</v>
      </c>
      <c r="C6" s="11" t="s">
        <v>78</v>
      </c>
      <c r="D6" s="10"/>
      <c r="E6" s="47" t="s">
        <v>213</v>
      </c>
      <c r="F6" s="41"/>
      <c r="G6" s="138"/>
      <c r="H6" s="138"/>
      <c r="I6" s="138"/>
    </row>
    <row r="7" spans="1:9">
      <c r="A7" s="5"/>
      <c r="B7" s="6" t="s">
        <v>216</v>
      </c>
      <c r="C7" s="6"/>
      <c r="D7" s="7"/>
      <c r="E7" s="46" t="s">
        <v>213</v>
      </c>
      <c r="F7" s="40"/>
      <c r="G7" s="138"/>
      <c r="H7" s="138"/>
      <c r="I7" s="138"/>
    </row>
    <row r="8" spans="1:9">
      <c r="A8" s="5"/>
      <c r="B8" s="6" t="s">
        <v>217</v>
      </c>
      <c r="C8" s="6"/>
      <c r="D8" s="7"/>
      <c r="E8" s="46" t="s">
        <v>213</v>
      </c>
      <c r="F8" s="40"/>
      <c r="G8" s="138"/>
      <c r="H8" s="138"/>
      <c r="I8" s="138"/>
    </row>
    <row r="9" spans="1:9">
      <c r="A9" s="5"/>
      <c r="B9" s="6" t="s">
        <v>218</v>
      </c>
      <c r="C9" s="6"/>
      <c r="D9" s="7"/>
      <c r="E9" s="46" t="s">
        <v>213</v>
      </c>
      <c r="F9" s="40"/>
      <c r="G9" s="138"/>
      <c r="H9" s="138"/>
      <c r="I9" s="138"/>
    </row>
    <row r="10" spans="1:9">
      <c r="A10" s="8"/>
      <c r="B10" s="9" t="s">
        <v>33</v>
      </c>
      <c r="C10" s="9" t="s">
        <v>34</v>
      </c>
      <c r="D10" s="10"/>
      <c r="E10" s="47" t="s">
        <v>213</v>
      </c>
      <c r="F10" s="41" t="s">
        <v>219</v>
      </c>
      <c r="G10" s="138"/>
      <c r="H10" s="138"/>
      <c r="I10" s="138"/>
    </row>
    <row r="11" spans="1:9">
      <c r="A11" s="8"/>
      <c r="B11" s="11" t="s">
        <v>220</v>
      </c>
      <c r="C11" s="12" t="s">
        <v>34</v>
      </c>
      <c r="D11" s="13"/>
      <c r="E11" s="47" t="s">
        <v>213</v>
      </c>
      <c r="F11" s="41"/>
      <c r="G11" s="138"/>
      <c r="H11" s="138"/>
      <c r="I11" s="138"/>
    </row>
    <row r="12" spans="1:9">
      <c r="A12" s="8"/>
      <c r="B12" s="9" t="s">
        <v>221</v>
      </c>
      <c r="C12" s="9" t="s">
        <v>43</v>
      </c>
      <c r="D12" s="10"/>
      <c r="E12" s="47" t="s">
        <v>213</v>
      </c>
      <c r="F12" s="41"/>
      <c r="G12" s="138"/>
      <c r="H12" s="138"/>
      <c r="I12" s="138"/>
    </row>
    <row r="13" spans="1:9">
      <c r="A13" s="5"/>
      <c r="B13" s="6" t="s">
        <v>222</v>
      </c>
      <c r="C13" s="6"/>
      <c r="D13" s="7"/>
      <c r="E13" s="46" t="s">
        <v>213</v>
      </c>
      <c r="F13" s="40"/>
      <c r="G13" s="138"/>
      <c r="H13" s="138"/>
      <c r="I13" s="138"/>
    </row>
    <row r="14" spans="1:9">
      <c r="A14" s="8"/>
      <c r="B14" s="11" t="s">
        <v>223</v>
      </c>
      <c r="C14" s="2" t="s">
        <v>34</v>
      </c>
      <c r="D14" s="152"/>
      <c r="E14" s="47" t="s">
        <v>213</v>
      </c>
      <c r="F14" s="41"/>
      <c r="G14" s="138"/>
      <c r="H14" s="138"/>
      <c r="I14" s="138"/>
    </row>
    <row r="15" spans="1:9">
      <c r="A15" s="5"/>
      <c r="B15" s="6" t="s">
        <v>224</v>
      </c>
      <c r="C15" s="6"/>
      <c r="D15" s="7"/>
      <c r="E15" s="46" t="s">
        <v>225</v>
      </c>
      <c r="F15" s="40"/>
      <c r="G15" s="138"/>
      <c r="H15" s="138"/>
      <c r="I15" s="138"/>
    </row>
    <row r="16" spans="1:9">
      <c r="A16" s="5"/>
      <c r="B16" s="6" t="s">
        <v>226</v>
      </c>
      <c r="C16" s="6"/>
      <c r="D16" s="7"/>
      <c r="E16" s="46" t="s">
        <v>225</v>
      </c>
      <c r="F16" s="40"/>
      <c r="G16" s="138"/>
      <c r="H16" s="138"/>
      <c r="I16" s="138"/>
    </row>
    <row r="17" spans="1:6">
      <c r="A17" s="5"/>
      <c r="B17" s="6" t="s">
        <v>227</v>
      </c>
      <c r="C17" s="6"/>
      <c r="D17" s="7"/>
      <c r="E17" s="46" t="s">
        <v>225</v>
      </c>
      <c r="F17" s="40"/>
    </row>
    <row r="18" spans="1:6">
      <c r="A18" s="8"/>
      <c r="B18" s="11" t="s">
        <v>156</v>
      </c>
      <c r="C18" s="12" t="s">
        <v>54</v>
      </c>
      <c r="D18" s="13"/>
      <c r="E18" s="47" t="s">
        <v>228</v>
      </c>
      <c r="F18" s="41"/>
    </row>
    <row r="19" spans="1:6">
      <c r="A19" s="8"/>
      <c r="B19" s="11" t="s">
        <v>149</v>
      </c>
      <c r="C19" s="12" t="s">
        <v>54</v>
      </c>
      <c r="D19" s="13"/>
      <c r="E19" s="47" t="s">
        <v>228</v>
      </c>
      <c r="F19" s="41"/>
    </row>
    <row r="20" spans="1:6">
      <c r="A20" s="8"/>
      <c r="B20" s="11" t="s">
        <v>154</v>
      </c>
      <c r="C20" s="11" t="s">
        <v>34</v>
      </c>
      <c r="D20" s="10"/>
      <c r="E20" s="47" t="s">
        <v>228</v>
      </c>
      <c r="F20" s="41"/>
    </row>
    <row r="21" spans="1:6">
      <c r="A21" s="8"/>
      <c r="B21" s="11" t="s">
        <v>229</v>
      </c>
      <c r="C21" s="11" t="s">
        <v>54</v>
      </c>
      <c r="D21" s="10"/>
      <c r="E21" s="47" t="s">
        <v>228</v>
      </c>
      <c r="F21" s="41"/>
    </row>
    <row r="22" spans="1:6">
      <c r="A22" s="8"/>
      <c r="B22" s="11" t="s">
        <v>230</v>
      </c>
      <c r="C22" s="11" t="s">
        <v>34</v>
      </c>
      <c r="D22" s="10"/>
      <c r="E22" s="47" t="s">
        <v>228</v>
      </c>
      <c r="F22" s="41"/>
    </row>
    <row r="23" spans="1:6">
      <c r="A23" s="8"/>
      <c r="B23" s="11" t="s">
        <v>231</v>
      </c>
      <c r="C23" s="12" t="s">
        <v>54</v>
      </c>
      <c r="D23" s="13"/>
      <c r="E23" s="47" t="s">
        <v>228</v>
      </c>
      <c r="F23" s="41"/>
    </row>
    <row r="24" spans="1:6">
      <c r="A24" s="8"/>
      <c r="B24" s="11" t="s">
        <v>232</v>
      </c>
      <c r="C24" s="12" t="s">
        <v>34</v>
      </c>
      <c r="D24" s="13"/>
      <c r="E24" s="47" t="s">
        <v>228</v>
      </c>
      <c r="F24" s="41"/>
    </row>
    <row r="25" spans="1:6">
      <c r="A25" s="8"/>
      <c r="B25" s="11" t="s">
        <v>233</v>
      </c>
      <c r="C25" s="11" t="s">
        <v>78</v>
      </c>
      <c r="D25" s="10"/>
      <c r="E25" s="47" t="s">
        <v>234</v>
      </c>
      <c r="F25" s="41"/>
    </row>
    <row r="26" spans="1:6">
      <c r="A26" s="14"/>
      <c r="B26" s="15" t="s">
        <v>235</v>
      </c>
      <c r="C26" s="15" t="s">
        <v>34</v>
      </c>
      <c r="D26" s="16"/>
      <c r="E26" s="48" t="s">
        <v>234</v>
      </c>
      <c r="F26" s="42"/>
    </row>
    <row r="27" spans="1:6">
      <c r="A27" s="8"/>
      <c r="B27" s="11" t="s">
        <v>236</v>
      </c>
      <c r="C27" s="11" t="s">
        <v>200</v>
      </c>
      <c r="D27" s="10"/>
      <c r="E27" s="47" t="s">
        <v>234</v>
      </c>
      <c r="F27" s="41"/>
    </row>
    <row r="28" spans="1:6">
      <c r="A28" s="8"/>
      <c r="B28" s="11" t="s">
        <v>237</v>
      </c>
      <c r="C28" s="11" t="s">
        <v>78</v>
      </c>
      <c r="D28" s="10"/>
      <c r="E28" s="47" t="s">
        <v>234</v>
      </c>
      <c r="F28" s="41"/>
    </row>
    <row r="29" spans="1:6">
      <c r="A29" s="14"/>
      <c r="B29" s="15" t="s">
        <v>238</v>
      </c>
      <c r="C29" s="15" t="s">
        <v>34</v>
      </c>
      <c r="D29" s="16"/>
      <c r="E29" s="48" t="s">
        <v>234</v>
      </c>
      <c r="F29" s="42"/>
    </row>
    <row r="30" spans="1:6">
      <c r="A30" s="8"/>
      <c r="B30" s="11" t="s">
        <v>239</v>
      </c>
      <c r="C30" s="11" t="s">
        <v>78</v>
      </c>
      <c r="D30" s="10"/>
      <c r="E30" s="47" t="s">
        <v>234</v>
      </c>
      <c r="F30" s="41"/>
    </row>
    <row r="31" spans="1:6">
      <c r="A31" s="8"/>
      <c r="B31" s="11" t="s">
        <v>240</v>
      </c>
      <c r="C31" s="11" t="s">
        <v>78</v>
      </c>
      <c r="D31" s="10"/>
      <c r="E31" s="47" t="s">
        <v>234</v>
      </c>
      <c r="F31" s="41"/>
    </row>
    <row r="32" spans="1:6">
      <c r="A32" s="5"/>
      <c r="B32" s="6" t="s">
        <v>241</v>
      </c>
      <c r="C32" s="6"/>
      <c r="D32" s="7"/>
      <c r="E32" s="46" t="s">
        <v>234</v>
      </c>
      <c r="F32" s="40"/>
    </row>
    <row r="33" spans="1:6">
      <c r="A33" s="8"/>
      <c r="B33" s="11" t="s">
        <v>242</v>
      </c>
      <c r="C33" s="11" t="s">
        <v>54</v>
      </c>
      <c r="D33" s="10"/>
      <c r="E33" s="47" t="s">
        <v>234</v>
      </c>
      <c r="F33" s="41"/>
    </row>
    <row r="34" spans="1:6">
      <c r="A34" s="8"/>
      <c r="B34" s="11" t="s">
        <v>243</v>
      </c>
      <c r="C34" s="11" t="s">
        <v>43</v>
      </c>
      <c r="D34" s="10"/>
      <c r="E34" s="47" t="s">
        <v>234</v>
      </c>
      <c r="F34" s="41"/>
    </row>
    <row r="35" spans="1:6">
      <c r="A35" s="14"/>
      <c r="B35" s="15" t="s">
        <v>244</v>
      </c>
      <c r="C35" s="15"/>
      <c r="D35" s="16"/>
      <c r="E35" s="48" t="s">
        <v>234</v>
      </c>
      <c r="F35" s="42"/>
    </row>
    <row r="36" spans="1:6">
      <c r="A36" s="8"/>
      <c r="B36" s="11" t="s">
        <v>245</v>
      </c>
      <c r="C36" s="11"/>
      <c r="D36" s="10"/>
      <c r="E36" s="47" t="s">
        <v>234</v>
      </c>
      <c r="F36" s="41"/>
    </row>
    <row r="37" spans="1:6">
      <c r="A37" s="8"/>
      <c r="B37" s="11" t="s">
        <v>246</v>
      </c>
      <c r="C37" s="11" t="s">
        <v>78</v>
      </c>
      <c r="D37" s="10"/>
      <c r="E37" s="47" t="s">
        <v>234</v>
      </c>
      <c r="F37" s="41"/>
    </row>
    <row r="38" spans="1:6">
      <c r="A38" s="8"/>
      <c r="B38" s="11" t="s">
        <v>247</v>
      </c>
      <c r="C38" s="11" t="s">
        <v>54</v>
      </c>
      <c r="D38" s="10"/>
      <c r="E38" s="47" t="s">
        <v>234</v>
      </c>
      <c r="F38" s="41"/>
    </row>
    <row r="39" spans="1:6">
      <c r="A39" s="8"/>
      <c r="B39" s="11" t="s">
        <v>248</v>
      </c>
      <c r="C39" s="11" t="s">
        <v>101</v>
      </c>
      <c r="D39" s="10"/>
      <c r="E39" s="47" t="s">
        <v>234</v>
      </c>
      <c r="F39" s="41"/>
    </row>
    <row r="40" spans="1:6">
      <c r="A40" s="8"/>
      <c r="B40" s="11" t="s">
        <v>249</v>
      </c>
      <c r="C40" s="11"/>
      <c r="D40" s="10"/>
      <c r="E40" s="47" t="s">
        <v>250</v>
      </c>
      <c r="F40" s="41"/>
    </row>
    <row r="41" spans="1:6">
      <c r="A41" s="5"/>
      <c r="B41" s="6" t="s">
        <v>251</v>
      </c>
      <c r="C41" s="6"/>
      <c r="D41" s="7"/>
      <c r="E41" s="46" t="s">
        <v>250</v>
      </c>
      <c r="F41" s="40"/>
    </row>
    <row r="42" spans="1:6">
      <c r="A42" s="8"/>
      <c r="B42" s="11" t="s">
        <v>252</v>
      </c>
      <c r="C42" s="11" t="s">
        <v>34</v>
      </c>
      <c r="D42" s="10"/>
      <c r="E42" s="47" t="s">
        <v>250</v>
      </c>
      <c r="F42" s="41"/>
    </row>
    <row r="43" spans="1:6">
      <c r="A43" s="8"/>
      <c r="B43" s="11" t="s">
        <v>253</v>
      </c>
      <c r="C43" s="11" t="s">
        <v>200</v>
      </c>
      <c r="D43" s="10"/>
      <c r="E43" s="47" t="s">
        <v>250</v>
      </c>
      <c r="F43" s="41"/>
    </row>
    <row r="44" spans="1:6">
      <c r="A44" s="8"/>
      <c r="B44" s="11" t="s">
        <v>254</v>
      </c>
      <c r="C44" s="11" t="s">
        <v>54</v>
      </c>
      <c r="D44" s="10"/>
      <c r="E44" s="47" t="s">
        <v>250</v>
      </c>
      <c r="F44" s="41"/>
    </row>
    <row r="45" spans="1:6">
      <c r="A45" s="8"/>
      <c r="B45" s="11" t="s">
        <v>255</v>
      </c>
      <c r="C45" s="11" t="s">
        <v>54</v>
      </c>
      <c r="D45" s="10"/>
      <c r="E45" s="47" t="s">
        <v>250</v>
      </c>
      <c r="F45" s="41"/>
    </row>
    <row r="46" spans="1:6">
      <c r="A46" s="8"/>
      <c r="B46" s="11" t="s">
        <v>256</v>
      </c>
      <c r="C46" s="11" t="s">
        <v>34</v>
      </c>
      <c r="D46" s="10"/>
      <c r="E46" s="47" t="s">
        <v>250</v>
      </c>
      <c r="F46" s="41" t="s">
        <v>219</v>
      </c>
    </row>
    <row r="47" spans="1:6">
      <c r="A47" s="8"/>
      <c r="B47" s="11" t="s">
        <v>257</v>
      </c>
      <c r="C47" s="11" t="s">
        <v>43</v>
      </c>
      <c r="D47" s="10"/>
      <c r="E47" s="47" t="s">
        <v>250</v>
      </c>
      <c r="F47" s="41" t="s">
        <v>219</v>
      </c>
    </row>
    <row r="48" spans="1:6">
      <c r="A48" s="8"/>
      <c r="B48" s="11" t="s">
        <v>258</v>
      </c>
      <c r="C48" s="11" t="s">
        <v>34</v>
      </c>
      <c r="D48" s="10"/>
      <c r="E48" s="47" t="s">
        <v>250</v>
      </c>
      <c r="F48" s="41"/>
    </row>
    <row r="49" spans="1:6">
      <c r="A49" s="8"/>
      <c r="B49" s="11" t="s">
        <v>121</v>
      </c>
      <c r="C49" s="11" t="s">
        <v>101</v>
      </c>
      <c r="D49" s="10"/>
      <c r="E49" s="47" t="s">
        <v>250</v>
      </c>
      <c r="F49" s="41"/>
    </row>
    <row r="50" spans="1:6">
      <c r="A50" s="8"/>
      <c r="B50" s="11" t="s">
        <v>124</v>
      </c>
      <c r="C50" s="11" t="s">
        <v>78</v>
      </c>
      <c r="D50" s="10"/>
      <c r="E50" s="47" t="s">
        <v>250</v>
      </c>
      <c r="F50" s="41"/>
    </row>
    <row r="51" spans="1:6">
      <c r="A51" s="8"/>
      <c r="B51" s="11" t="s">
        <v>259</v>
      </c>
      <c r="C51" s="11" t="s">
        <v>101</v>
      </c>
      <c r="D51" s="10"/>
      <c r="E51" s="47" t="s">
        <v>250</v>
      </c>
      <c r="F51" s="41"/>
    </row>
    <row r="52" spans="1:6">
      <c r="A52" s="8"/>
      <c r="B52" s="11" t="s">
        <v>260</v>
      </c>
      <c r="C52" s="11" t="s">
        <v>78</v>
      </c>
      <c r="D52" s="10"/>
      <c r="E52" s="47" t="s">
        <v>250</v>
      </c>
      <c r="F52" s="41"/>
    </row>
    <row r="53" spans="1:6">
      <c r="A53" s="8"/>
      <c r="B53" s="11" t="s">
        <v>261</v>
      </c>
      <c r="C53" s="11" t="s">
        <v>101</v>
      </c>
      <c r="D53" s="10"/>
      <c r="E53" s="47" t="s">
        <v>250</v>
      </c>
      <c r="F53" s="41"/>
    </row>
    <row r="54" spans="1:6">
      <c r="A54" s="8"/>
      <c r="B54" s="11" t="s">
        <v>262</v>
      </c>
      <c r="C54" s="11" t="s">
        <v>34</v>
      </c>
      <c r="D54" s="10"/>
      <c r="E54" s="47" t="s">
        <v>250</v>
      </c>
      <c r="F54" s="41"/>
    </row>
    <row r="55" spans="1:6">
      <c r="A55" s="5"/>
      <c r="B55" s="17" t="s">
        <v>263</v>
      </c>
      <c r="C55" s="17"/>
      <c r="D55" s="18"/>
      <c r="E55" s="49" t="s">
        <v>264</v>
      </c>
      <c r="F55" s="43"/>
    </row>
    <row r="56" spans="1:6">
      <c r="A56" s="5"/>
      <c r="B56" s="17" t="s">
        <v>265</v>
      </c>
      <c r="C56" s="17"/>
      <c r="D56" s="18"/>
      <c r="E56" s="49" t="s">
        <v>264</v>
      </c>
      <c r="F56" s="43"/>
    </row>
    <row r="57" spans="1:6">
      <c r="A57" s="5"/>
      <c r="B57" s="17" t="s">
        <v>266</v>
      </c>
      <c r="C57" s="17"/>
      <c r="D57" s="18"/>
      <c r="E57" s="49" t="s">
        <v>264</v>
      </c>
      <c r="F57" s="43"/>
    </row>
    <row r="58" spans="1:6">
      <c r="A58" s="5"/>
      <c r="B58" s="17" t="s">
        <v>267</v>
      </c>
      <c r="C58" s="17"/>
      <c r="D58" s="18"/>
      <c r="E58" s="49" t="s">
        <v>264</v>
      </c>
      <c r="F58" s="43"/>
    </row>
    <row r="59" spans="1:6">
      <c r="A59" s="5"/>
      <c r="B59" s="17" t="s">
        <v>268</v>
      </c>
      <c r="C59" s="17"/>
      <c r="D59" s="18"/>
      <c r="E59" s="49" t="s">
        <v>264</v>
      </c>
      <c r="F59" s="43"/>
    </row>
    <row r="60" spans="1:6">
      <c r="A60" s="5"/>
      <c r="B60" s="17" t="s">
        <v>269</v>
      </c>
      <c r="C60" s="17"/>
      <c r="D60" s="18"/>
      <c r="E60" s="49" t="s">
        <v>264</v>
      </c>
      <c r="F60" s="43"/>
    </row>
    <row r="61" spans="1:6">
      <c r="A61" s="5"/>
      <c r="B61" s="17" t="s">
        <v>270</v>
      </c>
      <c r="C61" s="17"/>
      <c r="D61" s="18"/>
      <c r="E61" s="49" t="s">
        <v>264</v>
      </c>
      <c r="F61" s="43"/>
    </row>
    <row r="62" spans="1:6">
      <c r="A62" s="5"/>
      <c r="B62" s="17" t="s">
        <v>271</v>
      </c>
      <c r="C62" s="17"/>
      <c r="D62" s="18"/>
      <c r="E62" s="49" t="s">
        <v>264</v>
      </c>
      <c r="F62" s="43"/>
    </row>
    <row r="63" spans="1:6">
      <c r="A63" s="5"/>
      <c r="B63" s="17" t="s">
        <v>272</v>
      </c>
      <c r="C63" s="17"/>
      <c r="D63" s="18"/>
      <c r="E63" s="49" t="s">
        <v>264</v>
      </c>
      <c r="F63" s="43"/>
    </row>
    <row r="64" spans="1:6">
      <c r="A64" s="5"/>
      <c r="B64" s="17" t="s">
        <v>273</v>
      </c>
      <c r="C64" s="17"/>
      <c r="D64" s="18"/>
      <c r="E64" s="49" t="s">
        <v>264</v>
      </c>
      <c r="F64" s="43"/>
    </row>
    <row r="65" spans="1:6">
      <c r="A65" s="5"/>
      <c r="B65" s="17" t="s">
        <v>274</v>
      </c>
      <c r="C65" s="17"/>
      <c r="D65" s="18"/>
      <c r="E65" s="49" t="s">
        <v>264</v>
      </c>
      <c r="F65" s="43"/>
    </row>
    <row r="66" spans="1:6">
      <c r="A66" s="5"/>
      <c r="B66" s="17" t="s">
        <v>275</v>
      </c>
      <c r="C66" s="17"/>
      <c r="D66" s="18"/>
      <c r="E66" s="49" t="s">
        <v>264</v>
      </c>
      <c r="F66" s="43"/>
    </row>
    <row r="67" spans="1:6">
      <c r="A67" s="8"/>
      <c r="B67" s="19" t="s">
        <v>276</v>
      </c>
      <c r="C67" s="19" t="s">
        <v>34</v>
      </c>
      <c r="D67" s="20"/>
      <c r="E67" s="47" t="s">
        <v>277</v>
      </c>
      <c r="F67" s="41" t="s">
        <v>219</v>
      </c>
    </row>
    <row r="68" spans="1:6">
      <c r="A68" s="8"/>
      <c r="B68" s="19" t="s">
        <v>278</v>
      </c>
      <c r="C68" s="19" t="s">
        <v>78</v>
      </c>
      <c r="D68" s="20"/>
      <c r="E68" s="47" t="s">
        <v>277</v>
      </c>
      <c r="F68" s="41"/>
    </row>
    <row r="69" spans="1:6">
      <c r="A69" s="8"/>
      <c r="B69" s="19" t="s">
        <v>279</v>
      </c>
      <c r="C69" s="19" t="s">
        <v>78</v>
      </c>
      <c r="D69" s="20"/>
      <c r="E69" s="47" t="s">
        <v>277</v>
      </c>
      <c r="F69" s="41"/>
    </row>
    <row r="70" spans="1:6">
      <c r="A70" s="8"/>
      <c r="B70" s="19" t="s">
        <v>280</v>
      </c>
      <c r="C70" s="19" t="s">
        <v>78</v>
      </c>
      <c r="D70" s="20"/>
      <c r="E70" s="47" t="s">
        <v>277</v>
      </c>
      <c r="F70" s="41" t="s">
        <v>219</v>
      </c>
    </row>
    <row r="71" spans="1:6">
      <c r="A71" s="8"/>
      <c r="B71" s="19" t="s">
        <v>281</v>
      </c>
      <c r="C71" s="19" t="s">
        <v>34</v>
      </c>
      <c r="D71" s="20"/>
      <c r="E71" s="47" t="s">
        <v>277</v>
      </c>
      <c r="F71" s="41"/>
    </row>
    <row r="72" spans="1:6">
      <c r="A72" s="8"/>
      <c r="B72" s="19" t="s">
        <v>282</v>
      </c>
      <c r="C72" s="19" t="s">
        <v>200</v>
      </c>
      <c r="D72" s="20"/>
      <c r="E72" s="47" t="s">
        <v>277</v>
      </c>
      <c r="F72" s="41"/>
    </row>
    <row r="73" spans="1:6">
      <c r="A73" s="8"/>
      <c r="B73" s="19" t="s">
        <v>283</v>
      </c>
      <c r="C73" s="19" t="s">
        <v>34</v>
      </c>
      <c r="D73" s="20"/>
      <c r="E73" s="47" t="s">
        <v>277</v>
      </c>
      <c r="F73" s="41"/>
    </row>
    <row r="74" spans="1:6">
      <c r="A74" s="8"/>
      <c r="B74" s="19" t="s">
        <v>284</v>
      </c>
      <c r="C74" s="19" t="s">
        <v>43</v>
      </c>
      <c r="D74" s="20"/>
      <c r="E74" s="47" t="s">
        <v>277</v>
      </c>
      <c r="F74" s="41"/>
    </row>
    <row r="75" spans="1:6">
      <c r="A75" s="8"/>
      <c r="B75" s="19" t="s">
        <v>285</v>
      </c>
      <c r="C75" s="19" t="s">
        <v>43</v>
      </c>
      <c r="D75" s="20"/>
      <c r="E75" s="47" t="s">
        <v>277</v>
      </c>
      <c r="F75" s="41"/>
    </row>
    <row r="76" spans="1:6">
      <c r="A76" s="8"/>
      <c r="B76" s="19" t="s">
        <v>286</v>
      </c>
      <c r="C76" s="19" t="s">
        <v>34</v>
      </c>
      <c r="D76" s="20"/>
      <c r="E76" s="47" t="s">
        <v>277</v>
      </c>
      <c r="F76" s="41"/>
    </row>
    <row r="77" spans="1:6">
      <c r="A77" s="8"/>
      <c r="B77" s="19" t="s">
        <v>287</v>
      </c>
      <c r="C77" s="19" t="s">
        <v>34</v>
      </c>
      <c r="D77" s="20"/>
      <c r="E77" s="47" t="s">
        <v>277</v>
      </c>
      <c r="F77" s="41"/>
    </row>
    <row r="78" spans="1:6">
      <c r="A78" s="8"/>
      <c r="B78" s="19" t="s">
        <v>288</v>
      </c>
      <c r="C78" s="19" t="s">
        <v>200</v>
      </c>
      <c r="D78" s="20"/>
      <c r="E78" s="47" t="s">
        <v>289</v>
      </c>
      <c r="F78" s="41"/>
    </row>
    <row r="79" spans="1:6">
      <c r="A79" s="8"/>
      <c r="B79" s="19" t="s">
        <v>290</v>
      </c>
      <c r="C79" s="19" t="s">
        <v>200</v>
      </c>
      <c r="D79" s="20"/>
      <c r="E79" s="47" t="s">
        <v>289</v>
      </c>
      <c r="F79" s="41"/>
    </row>
    <row r="80" spans="1:6">
      <c r="A80" s="8"/>
      <c r="B80" s="19" t="s">
        <v>83</v>
      </c>
      <c r="C80" s="19" t="s">
        <v>34</v>
      </c>
      <c r="D80" s="20"/>
      <c r="E80" s="47" t="s">
        <v>289</v>
      </c>
      <c r="F80" s="41"/>
    </row>
    <row r="81" spans="1:7">
      <c r="A81" s="8"/>
      <c r="B81" s="19" t="s">
        <v>291</v>
      </c>
      <c r="C81" s="19" t="s">
        <v>78</v>
      </c>
      <c r="D81" s="20"/>
      <c r="E81" s="47" t="s">
        <v>289</v>
      </c>
      <c r="F81" s="41"/>
      <c r="G81" s="138"/>
    </row>
    <row r="82" spans="1:7">
      <c r="A82" s="8"/>
      <c r="B82" s="19" t="s">
        <v>117</v>
      </c>
      <c r="C82" s="19" t="s">
        <v>78</v>
      </c>
      <c r="D82" s="20"/>
      <c r="E82" s="47" t="s">
        <v>289</v>
      </c>
      <c r="F82" s="41"/>
      <c r="G82" s="138"/>
    </row>
    <row r="83" spans="1:7">
      <c r="A83" s="8"/>
      <c r="B83" s="19" t="s">
        <v>292</v>
      </c>
      <c r="C83" s="19" t="s">
        <v>200</v>
      </c>
      <c r="D83" s="20"/>
      <c r="E83" s="47" t="s">
        <v>289</v>
      </c>
      <c r="F83" s="41"/>
      <c r="G83" s="138"/>
    </row>
    <row r="84" spans="1:7">
      <c r="A84" s="8"/>
      <c r="B84" s="19" t="s">
        <v>95</v>
      </c>
      <c r="C84" s="19" t="s">
        <v>34</v>
      </c>
      <c r="D84" s="20"/>
      <c r="E84" s="47" t="s">
        <v>293</v>
      </c>
      <c r="F84" s="41"/>
      <c r="G84" s="138"/>
    </row>
    <row r="85" spans="1:7">
      <c r="A85" s="8"/>
      <c r="B85" s="19" t="s">
        <v>100</v>
      </c>
      <c r="C85" s="19" t="s">
        <v>34</v>
      </c>
      <c r="D85" s="20"/>
      <c r="E85" s="47" t="s">
        <v>293</v>
      </c>
      <c r="F85" s="41"/>
      <c r="G85" s="138"/>
    </row>
    <row r="86" spans="1:7">
      <c r="A86" s="8"/>
      <c r="B86" s="19" t="s">
        <v>105</v>
      </c>
      <c r="C86" s="19" t="s">
        <v>43</v>
      </c>
      <c r="D86" s="20"/>
      <c r="E86" s="47" t="s">
        <v>293</v>
      </c>
      <c r="F86" s="41"/>
      <c r="G86" s="138"/>
    </row>
    <row r="87" spans="1:7">
      <c r="A87" s="138"/>
      <c r="B87" s="33" t="s">
        <v>108</v>
      </c>
      <c r="C87" s="19" t="s">
        <v>43</v>
      </c>
      <c r="D87" s="20"/>
      <c r="E87" s="47" t="s">
        <v>293</v>
      </c>
      <c r="F87" s="41"/>
      <c r="G87" s="138" t="s">
        <v>294</v>
      </c>
    </row>
    <row r="88" spans="1:7">
      <c r="A88" s="8"/>
      <c r="B88" s="19" t="s">
        <v>233</v>
      </c>
      <c r="C88" s="11" t="s">
        <v>78</v>
      </c>
      <c r="D88" s="10"/>
      <c r="E88" s="47" t="s">
        <v>295</v>
      </c>
      <c r="F88" s="41"/>
      <c r="G88" s="138"/>
    </row>
    <row r="89" spans="1:7">
      <c r="A89" s="8"/>
      <c r="B89" s="19" t="s">
        <v>296</v>
      </c>
      <c r="C89" s="19" t="s">
        <v>54</v>
      </c>
      <c r="D89" s="20"/>
      <c r="E89" s="47" t="s">
        <v>295</v>
      </c>
      <c r="F89" s="41"/>
      <c r="G89" s="138"/>
    </row>
    <row r="90" spans="1:7">
      <c r="A90" s="8"/>
      <c r="B90" s="19" t="s">
        <v>89</v>
      </c>
      <c r="C90" s="19" t="s">
        <v>34</v>
      </c>
      <c r="D90" s="20"/>
      <c r="E90" s="47" t="s">
        <v>295</v>
      </c>
      <c r="F90" s="41"/>
      <c r="G90" s="138"/>
    </row>
    <row r="91" spans="1:7">
      <c r="A91" s="8"/>
      <c r="B91" s="19" t="s">
        <v>297</v>
      </c>
      <c r="C91" s="19" t="s">
        <v>54</v>
      </c>
      <c r="D91" s="20"/>
      <c r="E91" s="47" t="s">
        <v>295</v>
      </c>
      <c r="F91" s="41"/>
      <c r="G91" s="138"/>
    </row>
    <row r="92" spans="1:7">
      <c r="A92" s="8"/>
      <c r="B92" s="19" t="s">
        <v>298</v>
      </c>
      <c r="C92" s="19" t="s">
        <v>54</v>
      </c>
      <c r="D92" s="20"/>
      <c r="E92" s="47" t="s">
        <v>295</v>
      </c>
      <c r="F92" s="41"/>
      <c r="G92" s="138"/>
    </row>
    <row r="93" spans="1:7">
      <c r="A93" s="8"/>
      <c r="B93" s="19" t="s">
        <v>299</v>
      </c>
      <c r="C93" s="11" t="s">
        <v>78</v>
      </c>
      <c r="D93" s="10"/>
      <c r="E93" s="47" t="s">
        <v>295</v>
      </c>
      <c r="F93" s="41"/>
      <c r="G93" s="138"/>
    </row>
    <row r="94" spans="1:7">
      <c r="A94" s="21"/>
      <c r="B94" s="22" t="s">
        <v>300</v>
      </c>
      <c r="C94" s="22"/>
      <c r="D94" s="23"/>
      <c r="E94" s="50" t="s">
        <v>295</v>
      </c>
      <c r="F94" s="44"/>
      <c r="G94" s="138"/>
    </row>
    <row r="95" spans="1:7">
      <c r="A95" s="8"/>
      <c r="B95" s="19" t="s">
        <v>301</v>
      </c>
      <c r="C95" s="19" t="s">
        <v>54</v>
      </c>
      <c r="D95" s="20"/>
      <c r="E95" s="47" t="s">
        <v>295</v>
      </c>
      <c r="F95" s="41"/>
      <c r="G95" s="138"/>
    </row>
    <row r="96" spans="1:7">
      <c r="A96" s="8"/>
      <c r="B96" s="19" t="s">
        <v>302</v>
      </c>
      <c r="C96" s="19" t="s">
        <v>34</v>
      </c>
      <c r="D96" s="20"/>
      <c r="E96" s="47" t="s">
        <v>295</v>
      </c>
      <c r="F96" s="41"/>
      <c r="G96" s="138"/>
    </row>
    <row r="97" spans="1:6">
      <c r="A97" s="8"/>
      <c r="B97" s="19" t="s">
        <v>303</v>
      </c>
      <c r="C97" s="19" t="s">
        <v>54</v>
      </c>
      <c r="D97" s="20"/>
      <c r="E97" s="47" t="s">
        <v>295</v>
      </c>
      <c r="F97" s="41"/>
    </row>
    <row r="98" spans="1:6">
      <c r="A98" s="5"/>
      <c r="B98" s="17" t="s">
        <v>304</v>
      </c>
      <c r="C98" s="17"/>
      <c r="D98" s="18"/>
      <c r="E98" s="46" t="s">
        <v>295</v>
      </c>
      <c r="F98" s="40"/>
    </row>
    <row r="99" spans="1:6">
      <c r="A99" s="8"/>
      <c r="B99" s="19" t="s">
        <v>305</v>
      </c>
      <c r="C99" s="19" t="s">
        <v>43</v>
      </c>
      <c r="D99" s="20"/>
      <c r="E99" s="47" t="s">
        <v>295</v>
      </c>
      <c r="F99" s="41"/>
    </row>
    <row r="100" spans="1:6">
      <c r="A100" s="8"/>
      <c r="B100" s="19" t="s">
        <v>306</v>
      </c>
      <c r="C100" s="19" t="s">
        <v>54</v>
      </c>
      <c r="D100" s="20"/>
      <c r="E100" s="47" t="s">
        <v>295</v>
      </c>
      <c r="F100" s="41"/>
    </row>
    <row r="101" spans="1:6">
      <c r="A101" s="8"/>
      <c r="B101" s="19" t="s">
        <v>307</v>
      </c>
      <c r="C101" s="11" t="s">
        <v>78</v>
      </c>
      <c r="D101" s="10"/>
      <c r="E101" s="51" t="s">
        <v>308</v>
      </c>
      <c r="F101" s="45"/>
    </row>
    <row r="102" spans="1:6">
      <c r="A102" s="8"/>
      <c r="B102" s="19" t="s">
        <v>309</v>
      </c>
      <c r="C102" s="19" t="s">
        <v>34</v>
      </c>
      <c r="D102" s="20"/>
      <c r="E102" s="51" t="s">
        <v>308</v>
      </c>
      <c r="F102" s="45"/>
    </row>
    <row r="103" spans="1:6">
      <c r="A103" s="8"/>
      <c r="B103" s="19" t="s">
        <v>310</v>
      </c>
      <c r="C103" s="19" t="s">
        <v>54</v>
      </c>
      <c r="D103" s="20"/>
      <c r="E103" s="51" t="s">
        <v>308</v>
      </c>
      <c r="F103" s="45"/>
    </row>
    <row r="104" spans="1:6">
      <c r="A104" s="8"/>
      <c r="B104" s="19" t="s">
        <v>311</v>
      </c>
      <c r="C104" s="19" t="s">
        <v>43</v>
      </c>
      <c r="D104" s="20"/>
      <c r="E104" s="51" t="s">
        <v>308</v>
      </c>
      <c r="F104" s="45"/>
    </row>
    <row r="105" spans="1:6">
      <c r="A105" s="8"/>
      <c r="B105" s="19" t="s">
        <v>298</v>
      </c>
      <c r="C105" s="19" t="s">
        <v>54</v>
      </c>
      <c r="D105" s="20"/>
      <c r="E105" s="51" t="s">
        <v>308</v>
      </c>
      <c r="F105" s="45"/>
    </row>
    <row r="106" spans="1:6">
      <c r="A106" s="8"/>
      <c r="B106" s="19" t="s">
        <v>312</v>
      </c>
      <c r="C106" s="19" t="s">
        <v>34</v>
      </c>
      <c r="D106" s="20"/>
      <c r="E106" s="51" t="s">
        <v>308</v>
      </c>
      <c r="F106" s="45"/>
    </row>
    <row r="107" spans="1:6">
      <c r="A107" s="8"/>
      <c r="B107" s="19" t="s">
        <v>313</v>
      </c>
      <c r="C107" s="19" t="s">
        <v>34</v>
      </c>
      <c r="D107" s="20"/>
      <c r="E107" s="51" t="s">
        <v>308</v>
      </c>
      <c r="F107" s="45"/>
    </row>
    <row r="108" spans="1:6">
      <c r="A108" s="8"/>
      <c r="B108" s="19" t="s">
        <v>314</v>
      </c>
      <c r="C108" s="19" t="s">
        <v>34</v>
      </c>
      <c r="D108" s="20"/>
      <c r="E108" s="51" t="s">
        <v>308</v>
      </c>
      <c r="F108" s="45"/>
    </row>
    <row r="109" spans="1:6">
      <c r="A109" s="5"/>
      <c r="B109" s="17" t="s">
        <v>315</v>
      </c>
      <c r="C109" s="17"/>
      <c r="D109" s="18"/>
      <c r="E109" s="49" t="s">
        <v>308</v>
      </c>
      <c r="F109" s="43"/>
    </row>
    <row r="110" spans="1:6">
      <c r="A110" s="8"/>
      <c r="B110" s="19" t="s">
        <v>316</v>
      </c>
      <c r="C110" s="19" t="s">
        <v>34</v>
      </c>
      <c r="D110" s="20"/>
      <c r="E110" s="51" t="s">
        <v>308</v>
      </c>
      <c r="F110" s="45"/>
    </row>
    <row r="111" spans="1:6">
      <c r="A111" s="8"/>
      <c r="B111" s="19" t="s">
        <v>317</v>
      </c>
      <c r="C111" s="19" t="s">
        <v>43</v>
      </c>
      <c r="D111" s="20"/>
      <c r="E111" s="51" t="s">
        <v>308</v>
      </c>
      <c r="F111" s="45"/>
    </row>
    <row r="112" spans="1:6">
      <c r="A112" s="8"/>
      <c r="B112" s="19" t="s">
        <v>318</v>
      </c>
      <c r="C112" s="19" t="s">
        <v>34</v>
      </c>
      <c r="D112" s="20"/>
      <c r="E112" s="51" t="s">
        <v>308</v>
      </c>
      <c r="F112" s="45"/>
    </row>
    <row r="113" spans="1:6">
      <c r="A113" s="8"/>
      <c r="B113" s="19" t="s">
        <v>319</v>
      </c>
      <c r="C113" s="19" t="s">
        <v>43</v>
      </c>
      <c r="D113" s="20"/>
      <c r="E113" s="51" t="s">
        <v>308</v>
      </c>
      <c r="F113" s="45"/>
    </row>
    <row r="114" spans="1:6">
      <c r="A114" s="8"/>
      <c r="B114" s="19" t="s">
        <v>320</v>
      </c>
      <c r="C114" s="19" t="s">
        <v>54</v>
      </c>
      <c r="D114" s="20"/>
      <c r="E114" s="47" t="s">
        <v>321</v>
      </c>
      <c r="F114" s="41"/>
    </row>
    <row r="115" spans="1:6">
      <c r="A115" s="5"/>
      <c r="B115" s="17" t="s">
        <v>322</v>
      </c>
      <c r="C115" s="17"/>
      <c r="D115" s="18"/>
      <c r="E115" s="46" t="s">
        <v>321</v>
      </c>
      <c r="F115" s="40"/>
    </row>
    <row r="116" spans="1:6">
      <c r="A116" s="5"/>
      <c r="B116" s="17" t="s">
        <v>323</v>
      </c>
      <c r="C116" s="17"/>
      <c r="D116" s="18"/>
      <c r="E116" s="46" t="s">
        <v>321</v>
      </c>
      <c r="F116" s="40"/>
    </row>
    <row r="117" spans="1:6">
      <c r="A117" s="8"/>
      <c r="B117" s="19" t="s">
        <v>324</v>
      </c>
      <c r="C117" s="19" t="s">
        <v>34</v>
      </c>
      <c r="D117" s="20"/>
      <c r="E117" s="47" t="s">
        <v>321</v>
      </c>
      <c r="F117" s="41"/>
    </row>
    <row r="118" spans="1:6">
      <c r="A118" s="14"/>
      <c r="B118" s="24" t="s">
        <v>325</v>
      </c>
      <c r="C118" s="24" t="s">
        <v>43</v>
      </c>
      <c r="D118" s="25"/>
      <c r="E118" s="48" t="s">
        <v>321</v>
      </c>
      <c r="F118" s="42"/>
    </row>
    <row r="119" spans="1:6">
      <c r="A119" s="8"/>
      <c r="B119" s="19" t="s">
        <v>326</v>
      </c>
      <c r="C119" s="19" t="s">
        <v>34</v>
      </c>
      <c r="D119" s="20"/>
      <c r="E119" s="47" t="s">
        <v>321</v>
      </c>
      <c r="F119" s="41"/>
    </row>
    <row r="120" spans="1:6">
      <c r="A120" s="8"/>
      <c r="B120" s="19" t="s">
        <v>327</v>
      </c>
      <c r="C120" s="19" t="s">
        <v>54</v>
      </c>
      <c r="D120" s="20"/>
      <c r="E120" s="47" t="s">
        <v>321</v>
      </c>
      <c r="F120" s="41"/>
    </row>
    <row r="121" spans="1:6">
      <c r="A121" s="8"/>
      <c r="B121" s="19" t="s">
        <v>328</v>
      </c>
      <c r="C121" s="19" t="s">
        <v>78</v>
      </c>
      <c r="D121" s="20"/>
      <c r="E121" s="47" t="s">
        <v>321</v>
      </c>
      <c r="F121" s="41"/>
    </row>
    <row r="122" spans="1:6">
      <c r="A122" s="8"/>
      <c r="B122" s="19" t="s">
        <v>329</v>
      </c>
      <c r="C122" s="19" t="s">
        <v>43</v>
      </c>
      <c r="D122" s="20"/>
      <c r="E122" s="47" t="s">
        <v>321</v>
      </c>
      <c r="F122" s="41"/>
    </row>
    <row r="123" spans="1:6">
      <c r="A123" s="5"/>
      <c r="B123" s="17" t="s">
        <v>330</v>
      </c>
      <c r="C123" s="17"/>
      <c r="D123" s="18"/>
      <c r="E123" s="46" t="s">
        <v>321</v>
      </c>
      <c r="F123" s="40"/>
    </row>
    <row r="124" spans="1:6">
      <c r="A124" s="8"/>
      <c r="B124" s="19" t="s">
        <v>331</v>
      </c>
      <c r="C124" s="19" t="s">
        <v>101</v>
      </c>
      <c r="D124" s="20"/>
      <c r="E124" s="47" t="s">
        <v>321</v>
      </c>
      <c r="F124" s="41"/>
    </row>
    <row r="125" spans="1:6">
      <c r="A125" s="21"/>
      <c r="B125" s="22" t="s">
        <v>332</v>
      </c>
      <c r="C125" s="22"/>
      <c r="D125" s="23"/>
      <c r="E125" s="50" t="s">
        <v>321</v>
      </c>
      <c r="F125" s="44"/>
    </row>
    <row r="126" spans="1:6">
      <c r="A126" s="5"/>
      <c r="B126" s="17" t="s">
        <v>333</v>
      </c>
      <c r="C126" s="17"/>
      <c r="D126" s="18"/>
      <c r="E126" s="46" t="s">
        <v>321</v>
      </c>
      <c r="F126" s="40"/>
    </row>
    <row r="127" spans="1:6">
      <c r="A127" s="5"/>
      <c r="B127" s="17" t="s">
        <v>334</v>
      </c>
      <c r="C127" s="17"/>
      <c r="D127" s="18"/>
      <c r="E127" s="46" t="s">
        <v>321</v>
      </c>
      <c r="F127" s="40"/>
    </row>
    <row r="128" spans="1:6">
      <c r="A128" s="8"/>
      <c r="B128" s="19" t="s">
        <v>335</v>
      </c>
      <c r="C128" s="19" t="s">
        <v>54</v>
      </c>
      <c r="D128" s="20"/>
      <c r="E128" s="47" t="s">
        <v>321</v>
      </c>
      <c r="F128" s="41"/>
    </row>
    <row r="129" spans="1:6">
      <c r="A129" s="8"/>
      <c r="B129" s="19" t="s">
        <v>336</v>
      </c>
      <c r="C129" s="19" t="s">
        <v>54</v>
      </c>
      <c r="D129" s="20"/>
      <c r="E129" s="47" t="s">
        <v>337</v>
      </c>
      <c r="F129" s="41"/>
    </row>
    <row r="130" spans="1:6">
      <c r="A130" s="8"/>
      <c r="B130" s="19" t="s">
        <v>113</v>
      </c>
      <c r="C130" s="19" t="s">
        <v>54</v>
      </c>
      <c r="D130" s="20"/>
      <c r="E130" s="47" t="s">
        <v>337</v>
      </c>
      <c r="F130" s="41"/>
    </row>
    <row r="131" spans="1:6">
      <c r="A131" s="8"/>
      <c r="B131" s="19" t="s">
        <v>338</v>
      </c>
      <c r="C131" s="19" t="s">
        <v>34</v>
      </c>
      <c r="D131" s="20"/>
      <c r="E131" s="47" t="s">
        <v>337</v>
      </c>
      <c r="F131" s="41"/>
    </row>
    <row r="132" spans="1:6">
      <c r="A132" s="8"/>
      <c r="B132" s="19" t="s">
        <v>339</v>
      </c>
      <c r="C132" s="19" t="s">
        <v>78</v>
      </c>
      <c r="D132" s="20"/>
      <c r="E132" s="47" t="s">
        <v>337</v>
      </c>
      <c r="F132" s="41"/>
    </row>
    <row r="133" spans="1:6">
      <c r="A133" s="5"/>
      <c r="B133" s="26" t="s">
        <v>340</v>
      </c>
      <c r="C133" s="26"/>
      <c r="D133" s="27"/>
      <c r="E133" s="49" t="s">
        <v>341</v>
      </c>
      <c r="F133" s="43"/>
    </row>
    <row r="134" spans="1:6">
      <c r="A134" s="5"/>
      <c r="B134" s="26" t="s">
        <v>342</v>
      </c>
      <c r="C134" s="26"/>
      <c r="D134" s="27"/>
      <c r="E134" s="49" t="s">
        <v>341</v>
      </c>
      <c r="F134" s="43"/>
    </row>
    <row r="135" spans="1:6">
      <c r="A135" s="5"/>
      <c r="B135" s="26" t="s">
        <v>343</v>
      </c>
      <c r="C135" s="26"/>
      <c r="D135" s="27"/>
      <c r="E135" s="49" t="s">
        <v>341</v>
      </c>
      <c r="F135" s="43"/>
    </row>
    <row r="136" spans="1:6">
      <c r="A136" s="5"/>
      <c r="B136" s="26" t="s">
        <v>344</v>
      </c>
      <c r="C136" s="26"/>
      <c r="D136" s="27"/>
      <c r="E136" s="49" t="s">
        <v>341</v>
      </c>
      <c r="F136" s="43"/>
    </row>
    <row r="137" spans="1:6">
      <c r="A137" s="5"/>
      <c r="B137" s="26" t="s">
        <v>345</v>
      </c>
      <c r="C137" s="26"/>
      <c r="D137" s="27"/>
      <c r="E137" s="49" t="s">
        <v>341</v>
      </c>
      <c r="F137" s="43"/>
    </row>
    <row r="138" spans="1:6">
      <c r="A138" s="5"/>
      <c r="B138" s="26" t="s">
        <v>346</v>
      </c>
      <c r="C138" s="26"/>
      <c r="D138" s="27"/>
      <c r="E138" s="49" t="s">
        <v>341</v>
      </c>
      <c r="F138" s="43"/>
    </row>
    <row r="139" spans="1:6">
      <c r="A139" s="8"/>
      <c r="B139" s="19" t="s">
        <v>347</v>
      </c>
      <c r="C139" s="19" t="s">
        <v>54</v>
      </c>
      <c r="D139" s="20"/>
      <c r="E139" s="47" t="s">
        <v>348</v>
      </c>
      <c r="F139" s="41"/>
    </row>
    <row r="140" spans="1:6">
      <c r="A140" s="8"/>
      <c r="B140" s="19" t="s">
        <v>349</v>
      </c>
      <c r="C140" s="19" t="s">
        <v>34</v>
      </c>
      <c r="D140" s="20"/>
      <c r="E140" s="47" t="s">
        <v>348</v>
      </c>
      <c r="F140" s="41"/>
    </row>
    <row r="141" spans="1:6">
      <c r="A141" s="8"/>
      <c r="B141" s="19" t="s">
        <v>350</v>
      </c>
      <c r="C141" s="19" t="s">
        <v>34</v>
      </c>
      <c r="D141" s="20"/>
      <c r="E141" s="47" t="s">
        <v>348</v>
      </c>
      <c r="F141" s="41"/>
    </row>
    <row r="142" spans="1:6">
      <c r="A142" s="8"/>
      <c r="B142" s="19" t="s">
        <v>351</v>
      </c>
      <c r="C142" s="19" t="s">
        <v>54</v>
      </c>
      <c r="D142" s="20"/>
      <c r="E142" s="47" t="s">
        <v>348</v>
      </c>
      <c r="F142" s="41"/>
    </row>
    <row r="143" spans="1:6">
      <c r="A143" s="8"/>
      <c r="B143" s="19" t="s">
        <v>352</v>
      </c>
      <c r="C143" s="19" t="s">
        <v>54</v>
      </c>
      <c r="D143" s="20"/>
      <c r="E143" s="47" t="s">
        <v>348</v>
      </c>
      <c r="F143" s="41"/>
    </row>
    <row r="144" spans="1:6">
      <c r="A144" s="5"/>
      <c r="B144" s="17" t="s">
        <v>353</v>
      </c>
      <c r="C144" s="17"/>
      <c r="D144" s="18"/>
      <c r="E144" s="46" t="s">
        <v>348</v>
      </c>
      <c r="F144" s="40"/>
    </row>
    <row r="145" spans="1:6">
      <c r="A145" s="8"/>
      <c r="B145" s="19" t="s">
        <v>354</v>
      </c>
      <c r="C145" s="19" t="s">
        <v>34</v>
      </c>
      <c r="D145" s="20"/>
      <c r="E145" s="47" t="s">
        <v>348</v>
      </c>
      <c r="F145" s="41"/>
    </row>
    <row r="146" spans="1:6">
      <c r="A146" s="8"/>
      <c r="B146" s="19" t="s">
        <v>355</v>
      </c>
      <c r="C146" s="19" t="s">
        <v>34</v>
      </c>
      <c r="D146" s="20"/>
      <c r="E146" s="47" t="s">
        <v>348</v>
      </c>
      <c r="F146" s="41"/>
    </row>
    <row r="147" spans="1:6">
      <c r="A147" s="8"/>
      <c r="B147" s="19" t="s">
        <v>356</v>
      </c>
      <c r="C147" s="19" t="s">
        <v>78</v>
      </c>
      <c r="D147" s="20"/>
      <c r="E147" s="47" t="s">
        <v>348</v>
      </c>
      <c r="F147" s="41"/>
    </row>
    <row r="148" spans="1:6">
      <c r="A148" s="8"/>
      <c r="B148" s="19" t="s">
        <v>357</v>
      </c>
      <c r="C148" s="11" t="s">
        <v>54</v>
      </c>
      <c r="D148" s="10"/>
      <c r="E148" s="47" t="s">
        <v>358</v>
      </c>
      <c r="F148" s="41"/>
    </row>
    <row r="149" spans="1:6">
      <c r="A149" s="8"/>
      <c r="B149" s="19" t="s">
        <v>359</v>
      </c>
      <c r="C149" s="11" t="s">
        <v>54</v>
      </c>
      <c r="D149" s="10"/>
      <c r="E149" s="47" t="s">
        <v>358</v>
      </c>
      <c r="F149" s="41"/>
    </row>
    <row r="150" spans="1:6">
      <c r="A150" s="8"/>
      <c r="B150" s="19" t="s">
        <v>360</v>
      </c>
      <c r="C150" s="11" t="s">
        <v>54</v>
      </c>
      <c r="D150" s="10"/>
      <c r="E150" s="47" t="s">
        <v>358</v>
      </c>
      <c r="F150" s="41"/>
    </row>
    <row r="151" spans="1:6">
      <c r="A151" s="8"/>
      <c r="B151" s="19" t="s">
        <v>361</v>
      </c>
      <c r="C151" s="19" t="s">
        <v>34</v>
      </c>
      <c r="D151" s="20"/>
      <c r="E151" s="47" t="s">
        <v>358</v>
      </c>
      <c r="F151" s="41"/>
    </row>
    <row r="152" spans="1:6">
      <c r="A152" s="8"/>
      <c r="B152" s="19" t="s">
        <v>362</v>
      </c>
      <c r="C152" s="19" t="s">
        <v>34</v>
      </c>
      <c r="D152" s="20"/>
      <c r="E152" s="47" t="s">
        <v>358</v>
      </c>
      <c r="F152" s="41"/>
    </row>
    <row r="153" spans="1:6">
      <c r="A153" s="8"/>
      <c r="B153" s="19" t="s">
        <v>363</v>
      </c>
      <c r="C153" s="19" t="s">
        <v>43</v>
      </c>
      <c r="D153" s="20"/>
      <c r="E153" s="47" t="s">
        <v>358</v>
      </c>
      <c r="F153" s="41"/>
    </row>
    <row r="154" spans="1:6">
      <c r="A154" s="8"/>
      <c r="B154" s="19" t="s">
        <v>364</v>
      </c>
      <c r="C154" s="19" t="s">
        <v>34</v>
      </c>
      <c r="D154" s="20"/>
      <c r="E154" s="47" t="s">
        <v>358</v>
      </c>
      <c r="F154" s="41"/>
    </row>
    <row r="155" spans="1:6">
      <c r="A155" s="5"/>
      <c r="B155" s="17" t="s">
        <v>365</v>
      </c>
      <c r="C155" s="17"/>
      <c r="D155" s="18"/>
      <c r="E155" s="46" t="s">
        <v>358</v>
      </c>
      <c r="F155" s="40"/>
    </row>
    <row r="156" spans="1:6">
      <c r="A156" s="8"/>
      <c r="B156" s="19" t="s">
        <v>366</v>
      </c>
      <c r="C156" s="11" t="s">
        <v>54</v>
      </c>
      <c r="D156" s="10"/>
      <c r="E156" s="47" t="s">
        <v>358</v>
      </c>
      <c r="F156" s="41"/>
    </row>
    <row r="157" spans="1:6">
      <c r="A157" s="8"/>
      <c r="B157" s="19" t="s">
        <v>242</v>
      </c>
      <c r="C157" s="11" t="s">
        <v>54</v>
      </c>
      <c r="D157" s="10"/>
      <c r="E157" s="47" t="s">
        <v>358</v>
      </c>
      <c r="F157" s="41"/>
    </row>
    <row r="158" spans="1:6">
      <c r="A158" s="8"/>
      <c r="B158" s="19" t="s">
        <v>367</v>
      </c>
      <c r="C158" s="19" t="s">
        <v>43</v>
      </c>
      <c r="D158" s="20"/>
      <c r="E158" s="47" t="s">
        <v>358</v>
      </c>
      <c r="F158" s="41"/>
    </row>
    <row r="159" spans="1:6">
      <c r="A159" s="5"/>
      <c r="B159" s="17" t="s">
        <v>368</v>
      </c>
      <c r="C159" s="17"/>
      <c r="D159" s="18"/>
      <c r="E159" s="46" t="s">
        <v>358</v>
      </c>
      <c r="F159" s="40"/>
    </row>
    <row r="160" spans="1:6">
      <c r="A160" s="8"/>
      <c r="B160" s="19" t="s">
        <v>369</v>
      </c>
      <c r="C160" s="11" t="s">
        <v>54</v>
      </c>
      <c r="D160" s="10"/>
      <c r="E160" s="47" t="s">
        <v>358</v>
      </c>
      <c r="F160" s="41"/>
    </row>
    <row r="161" spans="1:6">
      <c r="A161" s="5"/>
      <c r="B161" s="17" t="s">
        <v>370</v>
      </c>
      <c r="C161" s="17"/>
      <c r="D161" s="18"/>
      <c r="E161" s="46" t="s">
        <v>371</v>
      </c>
      <c r="F161" s="40"/>
    </row>
    <row r="162" spans="1:6">
      <c r="A162" s="8"/>
      <c r="B162" s="19" t="s">
        <v>372</v>
      </c>
      <c r="C162" s="11" t="s">
        <v>54</v>
      </c>
      <c r="D162" s="10"/>
      <c r="E162" s="47" t="s">
        <v>371</v>
      </c>
      <c r="F162" s="41"/>
    </row>
    <row r="163" spans="1:6">
      <c r="A163" s="21"/>
      <c r="B163" s="22" t="s">
        <v>373</v>
      </c>
      <c r="C163" s="22"/>
      <c r="D163" s="23"/>
      <c r="E163" s="50" t="s">
        <v>371</v>
      </c>
      <c r="F163" s="44"/>
    </row>
    <row r="164" spans="1:6">
      <c r="A164" s="8"/>
      <c r="B164" s="19" t="s">
        <v>374</v>
      </c>
      <c r="C164" s="19" t="s">
        <v>78</v>
      </c>
      <c r="D164" s="20"/>
      <c r="E164" s="47" t="s">
        <v>371</v>
      </c>
      <c r="F164" s="41"/>
    </row>
    <row r="165" spans="1:6">
      <c r="A165" s="8"/>
      <c r="B165" s="19" t="s">
        <v>375</v>
      </c>
      <c r="C165" s="19" t="s">
        <v>43</v>
      </c>
      <c r="D165" s="20"/>
      <c r="E165" s="51" t="s">
        <v>376</v>
      </c>
      <c r="F165" s="45"/>
    </row>
    <row r="166" spans="1:6">
      <c r="A166" s="8"/>
      <c r="B166" s="19" t="s">
        <v>377</v>
      </c>
      <c r="C166" s="19" t="s">
        <v>34</v>
      </c>
      <c r="D166" s="20"/>
      <c r="E166" s="51" t="s">
        <v>376</v>
      </c>
      <c r="F166" s="45"/>
    </row>
    <row r="167" spans="1:6">
      <c r="A167" s="8"/>
      <c r="B167" s="19" t="s">
        <v>378</v>
      </c>
      <c r="C167" s="19" t="s">
        <v>34</v>
      </c>
      <c r="D167" s="20"/>
      <c r="E167" s="51" t="s">
        <v>376</v>
      </c>
      <c r="F167" s="45"/>
    </row>
    <row r="168" spans="1:6">
      <c r="A168" s="8"/>
      <c r="B168" s="28" t="s">
        <v>379</v>
      </c>
      <c r="C168" s="28" t="s">
        <v>54</v>
      </c>
      <c r="D168" s="20"/>
      <c r="E168" s="51" t="s">
        <v>380</v>
      </c>
      <c r="F168" s="45"/>
    </row>
    <row r="169" spans="1:6">
      <c r="A169" s="8"/>
      <c r="B169" s="28" t="s">
        <v>381</v>
      </c>
      <c r="C169" s="28" t="s">
        <v>54</v>
      </c>
      <c r="D169" s="20"/>
      <c r="E169" s="51" t="s">
        <v>380</v>
      </c>
      <c r="F169" s="45"/>
    </row>
    <row r="170" spans="1:6">
      <c r="A170" s="5"/>
      <c r="B170" s="17" t="s">
        <v>382</v>
      </c>
      <c r="C170" s="17"/>
      <c r="D170" s="18"/>
      <c r="E170" s="49" t="s">
        <v>380</v>
      </c>
      <c r="F170" s="43"/>
    </row>
    <row r="171" spans="1:6">
      <c r="A171" s="5"/>
      <c r="B171" s="17" t="s">
        <v>383</v>
      </c>
      <c r="C171" s="17"/>
      <c r="D171" s="18"/>
      <c r="E171" s="49" t="s">
        <v>380</v>
      </c>
      <c r="F171" s="43"/>
    </row>
    <row r="172" spans="1:6">
      <c r="A172" s="8"/>
      <c r="B172" s="19" t="s">
        <v>384</v>
      </c>
      <c r="C172" s="19"/>
      <c r="D172" s="20"/>
      <c r="E172" s="51" t="s">
        <v>380</v>
      </c>
      <c r="F172" s="45"/>
    </row>
    <row r="173" spans="1:6">
      <c r="A173" s="5"/>
      <c r="B173" s="17" t="s">
        <v>385</v>
      </c>
      <c r="C173" s="17"/>
      <c r="D173" s="18"/>
      <c r="E173" s="49" t="s">
        <v>380</v>
      </c>
      <c r="F173" s="43"/>
    </row>
    <row r="174" spans="1:6">
      <c r="A174" s="5"/>
      <c r="B174" s="17" t="s">
        <v>386</v>
      </c>
      <c r="C174" s="17"/>
      <c r="D174" s="18"/>
      <c r="E174" s="49" t="s">
        <v>380</v>
      </c>
      <c r="F174" s="43"/>
    </row>
    <row r="175" spans="1:6">
      <c r="A175" s="8"/>
      <c r="B175" s="28" t="s">
        <v>387</v>
      </c>
      <c r="C175" s="28" t="s">
        <v>78</v>
      </c>
      <c r="D175" s="20"/>
      <c r="E175" s="51" t="s">
        <v>380</v>
      </c>
      <c r="F175" s="45"/>
    </row>
    <row r="176" spans="1:6">
      <c r="A176" s="8"/>
      <c r="B176" s="19" t="s">
        <v>91</v>
      </c>
      <c r="C176" s="19" t="s">
        <v>34</v>
      </c>
      <c r="D176" s="20"/>
      <c r="E176" s="51" t="s">
        <v>380</v>
      </c>
      <c r="F176" s="45"/>
    </row>
    <row r="177" spans="1:6">
      <c r="A177" s="8"/>
      <c r="B177" s="28" t="s">
        <v>138</v>
      </c>
      <c r="C177" s="28" t="s">
        <v>43</v>
      </c>
      <c r="D177" s="20"/>
      <c r="E177" s="47" t="s">
        <v>388</v>
      </c>
      <c r="F177" s="41"/>
    </row>
    <row r="178" spans="1:6">
      <c r="A178" s="5"/>
      <c r="B178" s="17" t="s">
        <v>389</v>
      </c>
      <c r="C178" s="17"/>
      <c r="D178" s="18"/>
      <c r="E178" s="46" t="s">
        <v>388</v>
      </c>
      <c r="F178" s="40"/>
    </row>
    <row r="179" spans="1:6">
      <c r="A179" s="8"/>
      <c r="B179" s="19" t="s">
        <v>126</v>
      </c>
      <c r="C179" s="19" t="s">
        <v>34</v>
      </c>
      <c r="D179" s="20"/>
      <c r="E179" s="47" t="s">
        <v>388</v>
      </c>
      <c r="F179" s="41"/>
    </row>
    <row r="180" spans="1:6">
      <c r="A180" s="8"/>
      <c r="B180" s="19" t="s">
        <v>77</v>
      </c>
      <c r="C180" s="19" t="s">
        <v>78</v>
      </c>
      <c r="D180" s="20"/>
      <c r="E180" s="47" t="s">
        <v>388</v>
      </c>
      <c r="F180" s="41"/>
    </row>
    <row r="181" spans="1:6">
      <c r="A181" s="8"/>
      <c r="B181" s="19" t="s">
        <v>390</v>
      </c>
      <c r="C181" s="19" t="s">
        <v>78</v>
      </c>
      <c r="D181" s="20"/>
      <c r="E181" s="47" t="s">
        <v>388</v>
      </c>
      <c r="F181" s="41"/>
    </row>
    <row r="182" spans="1:6">
      <c r="A182" s="8"/>
      <c r="B182" s="19" t="s">
        <v>391</v>
      </c>
      <c r="C182" s="19" t="s">
        <v>78</v>
      </c>
      <c r="D182" s="20"/>
      <c r="E182" s="47" t="s">
        <v>388</v>
      </c>
      <c r="F182" s="41"/>
    </row>
    <row r="183" spans="1:6">
      <c r="A183" s="8"/>
      <c r="B183" s="28" t="s">
        <v>392</v>
      </c>
      <c r="C183" s="28" t="s">
        <v>34</v>
      </c>
      <c r="D183" s="20"/>
      <c r="E183" s="47" t="s">
        <v>388</v>
      </c>
      <c r="F183" s="41"/>
    </row>
    <row r="184" spans="1:6">
      <c r="A184" s="8"/>
      <c r="B184" s="28" t="s">
        <v>393</v>
      </c>
      <c r="C184" s="28" t="s">
        <v>34</v>
      </c>
      <c r="D184" s="20">
        <v>3</v>
      </c>
      <c r="E184" s="47" t="s">
        <v>388</v>
      </c>
      <c r="F184" s="41"/>
    </row>
    <row r="185" spans="1:6">
      <c r="A185" s="8"/>
      <c r="B185" s="28" t="s">
        <v>394</v>
      </c>
      <c r="C185" s="28" t="s">
        <v>43</v>
      </c>
      <c r="D185" s="20"/>
      <c r="E185" s="47" t="s">
        <v>388</v>
      </c>
      <c r="F185" s="41"/>
    </row>
    <row r="186" spans="1:6">
      <c r="A186" s="8"/>
      <c r="B186" s="28" t="s">
        <v>57</v>
      </c>
      <c r="C186" s="28" t="s">
        <v>34</v>
      </c>
      <c r="D186" s="20">
        <v>6</v>
      </c>
      <c r="E186" s="47" t="s">
        <v>388</v>
      </c>
      <c r="F186" s="41"/>
    </row>
    <row r="187" spans="1:6">
      <c r="A187" s="8"/>
      <c r="B187" s="19" t="s">
        <v>129</v>
      </c>
      <c r="C187" s="19" t="s">
        <v>34</v>
      </c>
      <c r="D187" s="20"/>
      <c r="E187" s="47" t="s">
        <v>388</v>
      </c>
      <c r="F187" s="41"/>
    </row>
    <row r="188" spans="1:6">
      <c r="A188" s="5"/>
      <c r="B188" s="17" t="s">
        <v>395</v>
      </c>
      <c r="C188" s="17"/>
      <c r="D188" s="18"/>
      <c r="E188" s="46" t="s">
        <v>388</v>
      </c>
      <c r="F188" s="40"/>
    </row>
    <row r="189" spans="1:6">
      <c r="A189" s="8"/>
      <c r="B189" s="19" t="s">
        <v>396</v>
      </c>
      <c r="C189" s="19" t="s">
        <v>34</v>
      </c>
      <c r="D189" s="20"/>
      <c r="E189" s="47" t="s">
        <v>388</v>
      </c>
      <c r="F189" s="41"/>
    </row>
    <row r="190" spans="1:6">
      <c r="A190" s="8"/>
      <c r="B190" s="19" t="s">
        <v>397</v>
      </c>
      <c r="C190" s="19" t="s">
        <v>78</v>
      </c>
      <c r="D190" s="20"/>
      <c r="E190" s="47" t="s">
        <v>388</v>
      </c>
      <c r="F190" s="41"/>
    </row>
    <row r="191" spans="1:6">
      <c r="A191" s="8"/>
      <c r="B191" s="19" t="s">
        <v>398</v>
      </c>
      <c r="C191" s="19"/>
      <c r="D191" s="20"/>
      <c r="E191" s="47" t="s">
        <v>388</v>
      </c>
      <c r="F191" s="41"/>
    </row>
    <row r="192" spans="1:6">
      <c r="A192" s="8"/>
      <c r="B192" s="28" t="s">
        <v>399</v>
      </c>
      <c r="C192" s="28" t="s">
        <v>78</v>
      </c>
      <c r="D192" s="20"/>
      <c r="E192" s="47" t="s">
        <v>388</v>
      </c>
      <c r="F192" s="41"/>
    </row>
    <row r="193" spans="1:6">
      <c r="A193" s="8"/>
      <c r="B193" s="19" t="s">
        <v>400</v>
      </c>
      <c r="C193" s="19" t="s">
        <v>43</v>
      </c>
      <c r="D193" s="20"/>
      <c r="E193" s="47" t="s">
        <v>388</v>
      </c>
      <c r="F193" s="41"/>
    </row>
    <row r="194" spans="1:6">
      <c r="A194" s="8"/>
      <c r="B194" s="28" t="s">
        <v>401</v>
      </c>
      <c r="C194" s="28" t="s">
        <v>43</v>
      </c>
      <c r="D194" s="20">
        <v>1</v>
      </c>
      <c r="E194" s="47" t="s">
        <v>388</v>
      </c>
      <c r="F194" s="41"/>
    </row>
    <row r="195" spans="1:6">
      <c r="A195" s="8"/>
      <c r="B195" s="28" t="s">
        <v>62</v>
      </c>
      <c r="C195" s="28" t="s">
        <v>43</v>
      </c>
      <c r="D195" s="20">
        <v>4</v>
      </c>
      <c r="E195" s="47" t="s">
        <v>388</v>
      </c>
      <c r="F195" s="41"/>
    </row>
    <row r="196" spans="1:6">
      <c r="A196" s="8"/>
      <c r="B196" s="19" t="s">
        <v>402</v>
      </c>
      <c r="C196" s="19" t="s">
        <v>54</v>
      </c>
      <c r="D196" s="20"/>
      <c r="E196" s="47" t="s">
        <v>388</v>
      </c>
      <c r="F196" s="41"/>
    </row>
    <row r="197" spans="1:6">
      <c r="A197" s="8"/>
      <c r="B197" s="28" t="s">
        <v>403</v>
      </c>
      <c r="C197" s="28" t="s">
        <v>34</v>
      </c>
      <c r="D197" s="20"/>
      <c r="E197" s="47" t="s">
        <v>388</v>
      </c>
      <c r="F197" s="41"/>
    </row>
    <row r="198" spans="1:6">
      <c r="A198" s="8"/>
      <c r="B198" s="28" t="s">
        <v>64</v>
      </c>
      <c r="C198" s="28" t="s">
        <v>43</v>
      </c>
      <c r="D198" s="20">
        <v>2</v>
      </c>
      <c r="E198" s="47" t="s">
        <v>388</v>
      </c>
      <c r="F198" s="41"/>
    </row>
    <row r="199" spans="1:6">
      <c r="A199" s="8"/>
      <c r="B199" s="28" t="s">
        <v>404</v>
      </c>
      <c r="C199" s="28" t="s">
        <v>34</v>
      </c>
      <c r="D199" s="20"/>
      <c r="E199" s="47" t="s">
        <v>388</v>
      </c>
      <c r="F199" s="41"/>
    </row>
    <row r="200" spans="1:6">
      <c r="A200" s="8"/>
      <c r="B200" s="19" t="s">
        <v>405</v>
      </c>
      <c r="C200" s="19" t="s">
        <v>43</v>
      </c>
      <c r="D200" s="20"/>
      <c r="E200" s="47" t="s">
        <v>388</v>
      </c>
      <c r="F200" s="41"/>
    </row>
    <row r="201" spans="1:6">
      <c r="A201" s="8"/>
      <c r="B201" s="28" t="s">
        <v>66</v>
      </c>
      <c r="C201" s="28" t="s">
        <v>34</v>
      </c>
      <c r="D201" s="20">
        <v>5</v>
      </c>
      <c r="E201" s="47" t="s">
        <v>388</v>
      </c>
      <c r="F201" s="41"/>
    </row>
    <row r="202" spans="1:6">
      <c r="A202" s="5"/>
      <c r="B202" s="17" t="s">
        <v>406</v>
      </c>
      <c r="C202" s="17"/>
      <c r="D202" s="18"/>
      <c r="E202" s="46" t="s">
        <v>388</v>
      </c>
      <c r="F202" s="40"/>
    </row>
    <row r="203" spans="1:6">
      <c r="A203" s="8"/>
      <c r="B203" s="28" t="s">
        <v>407</v>
      </c>
      <c r="C203" s="28" t="s">
        <v>78</v>
      </c>
      <c r="D203" s="20"/>
      <c r="E203" s="47" t="s">
        <v>388</v>
      </c>
      <c r="F203" s="41"/>
    </row>
    <row r="204" spans="1:6">
      <c r="A204" s="8"/>
      <c r="B204" s="28" t="s">
        <v>74</v>
      </c>
      <c r="C204" s="28" t="s">
        <v>34</v>
      </c>
      <c r="D204" s="20"/>
      <c r="E204" s="47" t="s">
        <v>388</v>
      </c>
      <c r="F204" s="41"/>
    </row>
    <row r="205" spans="1:6">
      <c r="A205" s="8"/>
      <c r="B205" s="28" t="s">
        <v>141</v>
      </c>
      <c r="C205" s="28" t="s">
        <v>54</v>
      </c>
      <c r="D205" s="20"/>
      <c r="E205" s="47" t="s">
        <v>388</v>
      </c>
      <c r="F205" s="41"/>
    </row>
    <row r="206" spans="1:6">
      <c r="A206" s="8"/>
      <c r="B206" s="28" t="s">
        <v>86</v>
      </c>
      <c r="C206" s="28" t="s">
        <v>34</v>
      </c>
      <c r="D206" s="20"/>
      <c r="E206" s="47" t="s">
        <v>388</v>
      </c>
      <c r="F206" s="41"/>
    </row>
    <row r="207" spans="1:6">
      <c r="A207" s="8"/>
      <c r="B207" s="19" t="s">
        <v>81</v>
      </c>
      <c r="C207" s="19" t="s">
        <v>54</v>
      </c>
      <c r="D207" s="20"/>
      <c r="E207" s="47" t="s">
        <v>388</v>
      </c>
      <c r="F207" s="41"/>
    </row>
    <row r="208" spans="1:6">
      <c r="A208" s="5"/>
      <c r="B208" s="17" t="s">
        <v>408</v>
      </c>
      <c r="C208" s="17"/>
      <c r="D208" s="18"/>
      <c r="E208" s="46" t="s">
        <v>388</v>
      </c>
      <c r="F208" s="40"/>
    </row>
    <row r="209" spans="1:6">
      <c r="A209" s="8"/>
      <c r="B209" s="19" t="s">
        <v>409</v>
      </c>
      <c r="C209" s="19"/>
      <c r="D209" s="20"/>
      <c r="E209" s="47" t="s">
        <v>388</v>
      </c>
      <c r="F209" s="41"/>
    </row>
    <row r="210" spans="1:6">
      <c r="A210" s="8"/>
      <c r="B210" s="19" t="s">
        <v>410</v>
      </c>
      <c r="C210" s="19"/>
      <c r="D210" s="20"/>
      <c r="E210" s="47" t="s">
        <v>388</v>
      </c>
      <c r="F210" s="41"/>
    </row>
    <row r="211" spans="1:6">
      <c r="A211" s="8"/>
      <c r="B211" s="19" t="s">
        <v>411</v>
      </c>
      <c r="C211" s="19" t="s">
        <v>54</v>
      </c>
      <c r="D211" s="20"/>
      <c r="E211" s="47" t="s">
        <v>412</v>
      </c>
      <c r="F211" s="41"/>
    </row>
    <row r="212" spans="1:6">
      <c r="A212" s="8"/>
      <c r="B212" s="19" t="s">
        <v>413</v>
      </c>
      <c r="C212" s="19"/>
      <c r="D212" s="20"/>
      <c r="E212" s="47" t="s">
        <v>412</v>
      </c>
      <c r="F212" s="41"/>
    </row>
    <row r="213" spans="1:6">
      <c r="A213" s="8"/>
      <c r="B213" s="19" t="s">
        <v>414</v>
      </c>
      <c r="C213" s="19" t="s">
        <v>54</v>
      </c>
      <c r="D213" s="20"/>
      <c r="E213" s="47" t="s">
        <v>412</v>
      </c>
      <c r="F213" s="41"/>
    </row>
    <row r="214" spans="1:6">
      <c r="A214" s="8"/>
      <c r="B214" s="19" t="s">
        <v>415</v>
      </c>
      <c r="C214" s="19" t="s">
        <v>54</v>
      </c>
      <c r="D214" s="20"/>
      <c r="E214" s="47" t="s">
        <v>412</v>
      </c>
      <c r="F214" s="41"/>
    </row>
    <row r="215" spans="1:6">
      <c r="A215" s="8"/>
      <c r="B215" s="19" t="s">
        <v>416</v>
      </c>
      <c r="C215" s="19"/>
      <c r="D215" s="20"/>
      <c r="E215" s="47" t="s">
        <v>412</v>
      </c>
      <c r="F215" s="41"/>
    </row>
    <row r="216" spans="1:6">
      <c r="A216" s="8"/>
      <c r="B216" s="19" t="s">
        <v>417</v>
      </c>
      <c r="C216" s="19" t="s">
        <v>34</v>
      </c>
      <c r="D216" s="20"/>
      <c r="E216" s="47" t="s">
        <v>412</v>
      </c>
      <c r="F216" s="41"/>
    </row>
  </sheetData>
  <conditionalFormatting sqref="B3:B86 B88:B216">
    <cfRule type="duplicateValues" dxfId="0" priority="2"/>
  </conditionalFormatting>
  <hyperlinks>
    <hyperlink ref="I1" r:id="rId1" xr:uid="{EFD7B744-AF0E-4B98-904C-08A089F8B50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AC0547-D675-440E-A152-0E792FB96CE9}"/>
</file>

<file path=customXml/itemProps2.xml><?xml version="1.0" encoding="utf-8"?>
<ds:datastoreItem xmlns:ds="http://schemas.openxmlformats.org/officeDocument/2006/customXml" ds:itemID="{88D3F263-ACDD-4BFB-A6E6-9141FAFFEF72}"/>
</file>

<file path=customXml/itemProps3.xml><?xml version="1.0" encoding="utf-8"?>
<ds:datastoreItem xmlns:ds="http://schemas.openxmlformats.org/officeDocument/2006/customXml" ds:itemID="{F420D3D2-5C19-4733-B429-B53166C72F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County Superior Court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Jorge Lichtenstein</cp:lastModifiedBy>
  <cp:revision/>
  <dcterms:created xsi:type="dcterms:W3CDTF">2025-10-17T22:26:11Z</dcterms:created>
  <dcterms:modified xsi:type="dcterms:W3CDTF">2026-09-29T16:34:54Z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