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"/>
    </mc:Choice>
  </mc:AlternateContent>
  <xr:revisionPtr revIDLastSave="10206" documentId="8_{BC09E4CE-524E-42EF-BB46-30313F88C0A5}" xr6:coauthVersionLast="47" xr6:coauthVersionMax="47" xr10:uidLastSave="{C7DAF85B-F627-44B5-A642-3F90A8FD38CB}"/>
  <bookViews>
    <workbookView xWindow="28680" yWindow="-120" windowWidth="29040" windowHeight="15720" tabRatio="849" xr2:uid="{5BE618E6-254B-456E-AA47-C5967124329C}"/>
  </bookViews>
  <sheets>
    <sheet name="v.2-CRMP" sheetId="30" r:id="rId1"/>
    <sheet name="Windows Per Profile" sheetId="31" r:id="rId2"/>
    <sheet name="v.1-CRMP" sheetId="1" r:id="rId3"/>
    <sheet name="Sheet1" sheetId="29" r:id="rId4"/>
    <sheet name="1" sheetId="11" r:id="rId5"/>
    <sheet name="2" sheetId="12" r:id="rId6"/>
    <sheet name="3" sheetId="3" r:id="rId7"/>
    <sheet name="4" sheetId="8" r:id="rId8"/>
    <sheet name="5" sheetId="13" r:id="rId9"/>
    <sheet name="6" sheetId="25" r:id="rId10"/>
    <sheet name="7" sheetId="14" r:id="rId11"/>
    <sheet name="8" sheetId="4" r:id="rId12"/>
    <sheet name="9" sheetId="6" r:id="rId13"/>
    <sheet name="10" sheetId="15" r:id="rId14"/>
    <sheet name="11" sheetId="16" r:id="rId15"/>
    <sheet name="12" sheetId="17" r:id="rId16"/>
    <sheet name="13" sheetId="10" r:id="rId17"/>
    <sheet name="14" sheetId="26" r:id="rId18"/>
    <sheet name="15" sheetId="18" r:id="rId19"/>
    <sheet name="16" sheetId="20" r:id="rId20"/>
    <sheet name="17" sheetId="21" r:id="rId21"/>
    <sheet name="18" sheetId="9" r:id="rId22"/>
    <sheet name="19" sheetId="22" r:id="rId23"/>
    <sheet name="20" sheetId="23" r:id="rId24"/>
    <sheet name="21" sheetId="24" r:id="rId25"/>
    <sheet name="MISC" sheetId="28" r:id="rId26"/>
  </sheets>
  <definedNames>
    <definedName name="_xlnm._FilterDatabase" localSheetId="2" hidden="1">'v.1-CRMP'!$A$1:$AE$215</definedName>
    <definedName name="_xlnm._FilterDatabase" localSheetId="0" hidden="1">'v.2-CRMP'!$A$1:$AF$231</definedName>
  </definedNames>
  <calcPr calcId="191028"/>
  <pivotCaches>
    <pivotCache cacheId="2863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4" i="30" l="1"/>
  <c r="AC104" i="30"/>
  <c r="AC2" i="30"/>
  <c r="AE135" i="30" l="1"/>
  <c r="AE161" i="30"/>
  <c r="AE160" i="30"/>
  <c r="AE159" i="30"/>
  <c r="AE158" i="30"/>
  <c r="AE157" i="30"/>
  <c r="AE155" i="30"/>
  <c r="AE230" i="30"/>
  <c r="AE186" i="30"/>
  <c r="AE153" i="30"/>
  <c r="AE169" i="30"/>
  <c r="AE21" i="30"/>
  <c r="AE152" i="30"/>
  <c r="AE147" i="30"/>
  <c r="AE13" i="30"/>
  <c r="AE10" i="30"/>
  <c r="AE68" i="30"/>
  <c r="AE144" i="30"/>
  <c r="AE90" i="30"/>
  <c r="AE89" i="30"/>
  <c r="AE184" i="30"/>
  <c r="AE225" i="30"/>
  <c r="AE205" i="30"/>
  <c r="AE141" i="30"/>
  <c r="AE142" i="30"/>
  <c r="AE48" i="30"/>
  <c r="AE181" i="30"/>
  <c r="AE179" i="30"/>
  <c r="AE103" i="30"/>
  <c r="AE102" i="30"/>
  <c r="AE28" i="30"/>
  <c r="AE110" i="30"/>
  <c r="AE107" i="30"/>
  <c r="AE212" i="30"/>
  <c r="AE132" i="30"/>
  <c r="AE204" i="30"/>
  <c r="AE56" i="30"/>
  <c r="AE87" i="30"/>
  <c r="AE201" i="30"/>
  <c r="AE47" i="30"/>
  <c r="AE63" i="30"/>
  <c r="AE62" i="30"/>
  <c r="AE61" i="30"/>
  <c r="AE69" i="30"/>
  <c r="AE51" i="30"/>
  <c r="AE231" i="30"/>
  <c r="AE229" i="30"/>
  <c r="AE163" i="30"/>
  <c r="AE27" i="30"/>
  <c r="AE12" i="30"/>
  <c r="AE78" i="30"/>
  <c r="AE191" i="30"/>
  <c r="AE67" i="30"/>
  <c r="AE4" i="30"/>
  <c r="AE223" i="30"/>
  <c r="AE224" i="30"/>
  <c r="AE221" i="30"/>
  <c r="AE222" i="30"/>
  <c r="AE226" i="30"/>
  <c r="AE74" i="30"/>
  <c r="AE8" i="30"/>
  <c r="AE220" i="30"/>
  <c r="AE219" i="30"/>
  <c r="AE218" i="30"/>
  <c r="AE112" i="30"/>
  <c r="AE217" i="30"/>
  <c r="AE167" i="30"/>
  <c r="AE154" i="30"/>
  <c r="AE7" i="30"/>
  <c r="AE176" i="30"/>
  <c r="AE151" i="30"/>
  <c r="AE150" i="30"/>
  <c r="AE149" i="30"/>
  <c r="AE22" i="30"/>
  <c r="AE146" i="30"/>
  <c r="AE145" i="30"/>
  <c r="AE6" i="30"/>
  <c r="AE215" i="30"/>
  <c r="AE133" i="30"/>
  <c r="AE5" i="30"/>
  <c r="AE53" i="30"/>
  <c r="AE54" i="30"/>
  <c r="AE71" i="30"/>
  <c r="AE143" i="30"/>
  <c r="AE197" i="30"/>
  <c r="AE88" i="30"/>
  <c r="AE196" i="30"/>
  <c r="AE2" i="30"/>
  <c r="AE165" i="30"/>
  <c r="AE182" i="30"/>
  <c r="AE183" i="30"/>
  <c r="AE33" i="30"/>
  <c r="AE73" i="30"/>
  <c r="AE195" i="30"/>
  <c r="AE214" i="30"/>
  <c r="AE189" i="30"/>
  <c r="AE213" i="30"/>
  <c r="AE210" i="30"/>
  <c r="AE211" i="30"/>
  <c r="AE136" i="30"/>
  <c r="AE134" i="30"/>
  <c r="AE131" i="30"/>
  <c r="AE140" i="30"/>
  <c r="AE164" i="30"/>
  <c r="AE50" i="30"/>
  <c r="AE46" i="30"/>
  <c r="AE123" i="30"/>
  <c r="AE111" i="30"/>
  <c r="AE122" i="30"/>
  <c r="AE180" i="30"/>
  <c r="AE178" i="30"/>
  <c r="AE177" i="30"/>
  <c r="AE108" i="30"/>
  <c r="AE109" i="30"/>
  <c r="AE106" i="30"/>
  <c r="AE100" i="30"/>
  <c r="AE120" i="30"/>
  <c r="AE70" i="30"/>
  <c r="AE166" i="30"/>
  <c r="AE119" i="30"/>
  <c r="AE209" i="30"/>
  <c r="AE118" i="30"/>
  <c r="AE121" i="30"/>
  <c r="AE99" i="30"/>
  <c r="AE117" i="30"/>
  <c r="AE101" i="30"/>
  <c r="AE116" i="30"/>
  <c r="AE114" i="30"/>
  <c r="AE190" i="30"/>
  <c r="AE113" i="30"/>
  <c r="AE125" i="30"/>
  <c r="AE105" i="30"/>
  <c r="AE94" i="30"/>
  <c r="AE95" i="30"/>
  <c r="AE93" i="30"/>
  <c r="AE91" i="30"/>
  <c r="AE208" i="30"/>
  <c r="AE207" i="30"/>
  <c r="AE84" i="30"/>
  <c r="AE202" i="30"/>
  <c r="AE200" i="30"/>
  <c r="AE199" i="30"/>
  <c r="AE3" i="30"/>
  <c r="AE206" i="30"/>
  <c r="AE203" i="30"/>
  <c r="AE130" i="30"/>
  <c r="AE128" i="30"/>
  <c r="AE127" i="30"/>
  <c r="AE126" i="30"/>
  <c r="AE129" i="30"/>
  <c r="AE82" i="30"/>
  <c r="AE198" i="30"/>
  <c r="AE65" i="30"/>
  <c r="AE42" i="30"/>
  <c r="AE41" i="30"/>
  <c r="AE49" i="30"/>
  <c r="AE44" i="30"/>
  <c r="AE43" i="30"/>
  <c r="AE39" i="30"/>
  <c r="AE40" i="30"/>
  <c r="AE38" i="30"/>
  <c r="AE194" i="30"/>
  <c r="AE193" i="30"/>
  <c r="AE60" i="30"/>
  <c r="AE30" i="30"/>
  <c r="AE64" i="30"/>
  <c r="AE72" i="30"/>
  <c r="AE29" i="30"/>
  <c r="AE26" i="30"/>
  <c r="AE37" i="30"/>
  <c r="AE36" i="30"/>
  <c r="AE18" i="30"/>
  <c r="AE34" i="30"/>
  <c r="AE35" i="30"/>
  <c r="AE20" i="30"/>
  <c r="AE187" i="30"/>
  <c r="AE32" i="30"/>
  <c r="AE45" i="30"/>
  <c r="AE156" i="30"/>
  <c r="AE162" i="30"/>
  <c r="AE31" i="30"/>
  <c r="AE19" i="30"/>
  <c r="AE192" i="30"/>
  <c r="AE15" i="30"/>
  <c r="AE17" i="30"/>
  <c r="AE14" i="30"/>
  <c r="AE11" i="30"/>
  <c r="AE9" i="30"/>
  <c r="AE16" i="30"/>
  <c r="AE115" i="30"/>
  <c r="AE98" i="30"/>
  <c r="AE58" i="30"/>
  <c r="AE57" i="30"/>
  <c r="AE139" i="30"/>
  <c r="AE124" i="30"/>
  <c r="AE55" i="30"/>
  <c r="AE188" i="30"/>
  <c r="AE137" i="30"/>
  <c r="AE138" i="30"/>
  <c r="AE76" i="30"/>
  <c r="AE75" i="30"/>
  <c r="AE216" i="30"/>
  <c r="AE86" i="30"/>
  <c r="AC46" i="30" l="1"/>
  <c r="AC229" i="30"/>
  <c r="AC227" i="30" l="1"/>
  <c r="AC228" i="30"/>
  <c r="AC167" i="30"/>
  <c r="AC149" i="30" l="1"/>
  <c r="AC226" i="30"/>
  <c r="AC225" i="30"/>
  <c r="AC224" i="30"/>
  <c r="AC223" i="30"/>
  <c r="AC222" i="30"/>
  <c r="AC221" i="30"/>
  <c r="AC220" i="30"/>
  <c r="AC219" i="30"/>
  <c r="AC218" i="30"/>
  <c r="AC217" i="30"/>
  <c r="AC216" i="30"/>
  <c r="AC215" i="30"/>
  <c r="AC214" i="30"/>
  <c r="AC213" i="30"/>
  <c r="AC211" i="30"/>
  <c r="AC210" i="30"/>
  <c r="AC209" i="30"/>
  <c r="AC208" i="30"/>
  <c r="AC207" i="30"/>
  <c r="AC206" i="30"/>
  <c r="AC203" i="30"/>
  <c r="AC202" i="30"/>
  <c r="AC200" i="30"/>
  <c r="AC199" i="30"/>
  <c r="AC198" i="30"/>
  <c r="AC196" i="30"/>
  <c r="AC195" i="30"/>
  <c r="AC194" i="30"/>
  <c r="AC193" i="30"/>
  <c r="AC192" i="30"/>
  <c r="AC190" i="30"/>
  <c r="AC189" i="30"/>
  <c r="AC188" i="30"/>
  <c r="AC187" i="30"/>
  <c r="AC186" i="30"/>
  <c r="AC185" i="30"/>
  <c r="AC183" i="30"/>
  <c r="AC182" i="30"/>
  <c r="AC180" i="30"/>
  <c r="AC178" i="30"/>
  <c r="AC177" i="30"/>
  <c r="AC176" i="30"/>
  <c r="AC166" i="30"/>
  <c r="AC165" i="30"/>
  <c r="AC164" i="30"/>
  <c r="AC162" i="30"/>
  <c r="AC161" i="30"/>
  <c r="AC160" i="30"/>
  <c r="AC159" i="30"/>
  <c r="AC157" i="30"/>
  <c r="AC156" i="30"/>
  <c r="AC155" i="30"/>
  <c r="AC154" i="30"/>
  <c r="AC153" i="30"/>
  <c r="AC151" i="30"/>
  <c r="AC150" i="30"/>
  <c r="AC146" i="30"/>
  <c r="AC145" i="30"/>
  <c r="AC143" i="30"/>
  <c r="AC140" i="30"/>
  <c r="AC139" i="30"/>
  <c r="AC137" i="30"/>
  <c r="AC136" i="30"/>
  <c r="AC135" i="30"/>
  <c r="AC134" i="30"/>
  <c r="AC133" i="30"/>
  <c r="AC131" i="30"/>
  <c r="AC130" i="30"/>
  <c r="AC129" i="30"/>
  <c r="AC128" i="30"/>
  <c r="AC127" i="30"/>
  <c r="AC126" i="30"/>
  <c r="AC125" i="30"/>
  <c r="AC124" i="30"/>
  <c r="AC123" i="30"/>
  <c r="AC122" i="30"/>
  <c r="AC121" i="30"/>
  <c r="AC120" i="30"/>
  <c r="AC119" i="30"/>
  <c r="AC118" i="30"/>
  <c r="AC117" i="30"/>
  <c r="AC116" i="30"/>
  <c r="AC115" i="30"/>
  <c r="AC114" i="30"/>
  <c r="AC113" i="30"/>
  <c r="AC112" i="30"/>
  <c r="AC111" i="30"/>
  <c r="AC109" i="30"/>
  <c r="AC108" i="30"/>
  <c r="AC106" i="30"/>
  <c r="AC105" i="30"/>
  <c r="AC101" i="30"/>
  <c r="AC100" i="30"/>
  <c r="AC99" i="30"/>
  <c r="AC98" i="30"/>
  <c r="AC95" i="30"/>
  <c r="AC93" i="30"/>
  <c r="AC91" i="30"/>
  <c r="AC88" i="30"/>
  <c r="AC84" i="30"/>
  <c r="AC83" i="30"/>
  <c r="AC82" i="30"/>
  <c r="AC75" i="30"/>
  <c r="AC74" i="30"/>
  <c r="AC73" i="30"/>
  <c r="AC72" i="30"/>
  <c r="AC71" i="30"/>
  <c r="AC70" i="30"/>
  <c r="AC65" i="30"/>
  <c r="AC64" i="30"/>
  <c r="AC60" i="30"/>
  <c r="AC58" i="30"/>
  <c r="AC57" i="30"/>
  <c r="AC55" i="30"/>
  <c r="AC54" i="30"/>
  <c r="AC53" i="30"/>
  <c r="AC50" i="30"/>
  <c r="AC49" i="30"/>
  <c r="AC45" i="30"/>
  <c r="AC44" i="30"/>
  <c r="AC43" i="30"/>
  <c r="AC42" i="30"/>
  <c r="AC41" i="30"/>
  <c r="AC40" i="30"/>
  <c r="AC39" i="30"/>
  <c r="AC38" i="30"/>
  <c r="AC36" i="30"/>
  <c r="AC35" i="30"/>
  <c r="AC34" i="30"/>
  <c r="AC33" i="30"/>
  <c r="AC32" i="30"/>
  <c r="AC31" i="30"/>
  <c r="AC30" i="30"/>
  <c r="AC29" i="30"/>
  <c r="AC26" i="30"/>
  <c r="AC20" i="30"/>
  <c r="AC19" i="30"/>
  <c r="AC18" i="30"/>
  <c r="AC17" i="30"/>
  <c r="AC16" i="30"/>
  <c r="AC15" i="30"/>
  <c r="AC14" i="30"/>
  <c r="AC11" i="30"/>
  <c r="AC9" i="30"/>
  <c r="AC8" i="30"/>
  <c r="AC7" i="30"/>
  <c r="AC6" i="30"/>
  <c r="AC5" i="30"/>
  <c r="AC4" i="30"/>
  <c r="AC3" i="30"/>
  <c r="AD3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G2" i="1"/>
  <c r="AD99" i="1"/>
  <c r="AD38" i="1"/>
  <c r="Y163" i="29"/>
  <c r="Y46" i="29"/>
  <c r="Y162" i="29"/>
  <c r="Y45" i="29"/>
  <c r="Y44" i="29"/>
  <c r="Y40" i="29"/>
  <c r="Y211" i="29"/>
  <c r="Y210" i="29"/>
  <c r="Y143" i="29"/>
  <c r="Y73" i="29"/>
  <c r="Y72" i="29"/>
  <c r="Y114" i="29"/>
  <c r="Y113" i="29"/>
  <c r="Y142" i="29"/>
  <c r="Y209" i="29"/>
  <c r="Y112" i="29"/>
  <c r="Y111" i="29"/>
  <c r="Y141" i="29"/>
  <c r="Y208" i="29"/>
  <c r="Y89" i="29"/>
  <c r="Y110" i="29"/>
  <c r="Y109" i="29"/>
  <c r="Y108" i="29"/>
  <c r="Y207" i="29"/>
  <c r="Y1" i="29"/>
  <c r="Y140" i="29"/>
  <c r="Y161" i="29"/>
  <c r="Y139" i="29"/>
  <c r="Y206" i="29"/>
  <c r="Y64" i="29"/>
  <c r="Y107" i="29"/>
  <c r="Y160" i="29"/>
  <c r="Y106" i="29"/>
  <c r="Y159" i="29"/>
  <c r="Y63" i="29"/>
  <c r="Y15" i="29"/>
  <c r="Y62" i="29"/>
  <c r="Y138" i="29"/>
  <c r="Y137" i="29"/>
  <c r="Y136" i="29"/>
  <c r="Y36" i="29"/>
  <c r="Y135" i="29"/>
  <c r="Y205" i="29"/>
  <c r="Y204" i="29"/>
  <c r="Y134" i="29"/>
  <c r="Y203" i="29"/>
  <c r="Y202" i="29"/>
  <c r="Y158" i="29"/>
  <c r="Y157" i="29"/>
  <c r="Y71" i="29"/>
  <c r="Y70" i="29"/>
  <c r="Y69" i="29"/>
  <c r="Y39" i="29"/>
  <c r="Y8" i="29"/>
  <c r="Y59" i="29"/>
  <c r="Y105" i="29"/>
  <c r="Y133" i="29"/>
  <c r="Y88" i="29"/>
  <c r="Y156" i="29"/>
  <c r="Y6" i="29"/>
  <c r="Y35" i="29"/>
  <c r="Y201" i="29"/>
  <c r="Y33" i="29"/>
  <c r="Y14" i="29"/>
  <c r="Y13" i="29"/>
  <c r="Y5" i="29"/>
  <c r="Y50" i="29"/>
  <c r="Y23" i="29"/>
  <c r="Y49" i="29"/>
  <c r="Y132" i="29"/>
  <c r="Y87" i="29"/>
  <c r="Y131" i="29"/>
  <c r="Y155" i="29"/>
  <c r="Y12" i="29"/>
  <c r="Y86" i="29"/>
  <c r="Y32" i="29"/>
  <c r="Y85" i="29"/>
  <c r="Y31" i="29"/>
  <c r="Y200" i="29"/>
  <c r="Y199" i="29"/>
  <c r="Y198" i="29"/>
  <c r="Y197" i="29"/>
  <c r="Y196" i="29"/>
  <c r="Y195" i="29"/>
  <c r="Y58" i="29"/>
  <c r="Y104" i="29"/>
  <c r="Y84" i="29"/>
  <c r="Y83" i="29"/>
  <c r="Y55" i="29"/>
  <c r="Y194" i="29"/>
  <c r="Y193" i="29"/>
  <c r="Y154" i="29"/>
  <c r="Y43" i="29"/>
  <c r="Y192" i="29"/>
  <c r="Y130" i="29"/>
  <c r="Y129" i="29"/>
  <c r="Y128" i="29"/>
  <c r="Y57" i="29"/>
  <c r="Y191" i="29"/>
  <c r="Y82" i="29"/>
  <c r="Y190" i="29"/>
  <c r="Y189" i="29"/>
  <c r="Y61" i="29"/>
  <c r="Y103" i="29"/>
  <c r="Y102" i="29"/>
  <c r="Y101" i="29"/>
  <c r="Y100" i="29"/>
  <c r="Y188" i="29"/>
  <c r="Y99" i="29"/>
  <c r="Y98" i="29"/>
  <c r="Y127" i="29"/>
  <c r="Y126" i="29"/>
  <c r="Y97" i="29"/>
  <c r="Y125" i="29"/>
  <c r="Y124" i="29"/>
  <c r="Y96" i="29"/>
  <c r="Y95" i="29"/>
  <c r="Y123" i="29"/>
  <c r="Y81" i="29"/>
  <c r="Y80" i="29"/>
  <c r="Y48" i="29"/>
  <c r="Y42" i="29"/>
  <c r="Y68" i="29"/>
  <c r="Y79" i="29"/>
  <c r="Y78" i="29"/>
  <c r="Y11" i="29"/>
  <c r="Y122" i="29"/>
  <c r="Y67" i="29"/>
  <c r="Y56" i="29"/>
  <c r="Y153" i="29"/>
  <c r="Y54" i="29"/>
  <c r="Y38" i="29"/>
  <c r="Y3" i="29"/>
  <c r="Y18" i="29"/>
  <c r="Y53" i="29"/>
  <c r="Y17" i="29"/>
  <c r="Y10" i="29"/>
  <c r="Y77" i="29"/>
  <c r="Y41" i="29"/>
  <c r="Y22" i="29"/>
  <c r="Y30" i="29"/>
  <c r="Y29" i="29"/>
  <c r="Y9" i="29"/>
  <c r="Y21" i="29"/>
  <c r="Y28" i="29"/>
  <c r="Y27" i="29"/>
  <c r="Y76" i="29"/>
  <c r="Y75" i="29"/>
  <c r="Y187" i="29"/>
  <c r="Y186" i="29"/>
  <c r="Y185" i="29"/>
  <c r="Y184" i="29"/>
  <c r="Y183" i="29"/>
  <c r="Y182" i="29"/>
  <c r="Y181" i="29"/>
  <c r="Y180" i="29"/>
  <c r="Y179" i="29"/>
  <c r="Y178" i="29"/>
  <c r="Y177" i="29"/>
  <c r="Y176" i="29"/>
  <c r="Y121" i="29"/>
  <c r="Y94" i="29"/>
  <c r="Y120" i="29"/>
  <c r="Y119" i="29"/>
  <c r="Y118" i="29"/>
  <c r="Y117" i="29"/>
  <c r="Y66" i="29"/>
  <c r="Y74" i="29"/>
  <c r="Y116" i="29"/>
  <c r="Y115" i="29"/>
  <c r="Y93" i="29"/>
  <c r="Y47" i="29"/>
  <c r="Y92" i="29"/>
  <c r="Y175" i="29"/>
  <c r="Y2" i="29"/>
  <c r="Y20" i="29"/>
  <c r="Y19" i="29"/>
  <c r="Y152" i="29"/>
  <c r="Y174" i="29"/>
  <c r="Y60" i="29"/>
  <c r="Y173" i="29"/>
  <c r="Y172" i="29"/>
  <c r="Y52" i="29"/>
  <c r="Y51" i="29"/>
  <c r="Y171" i="29"/>
  <c r="Y4" i="29"/>
  <c r="Y7" i="29"/>
  <c r="Y170" i="29"/>
  <c r="Y151" i="29"/>
  <c r="Y26" i="29"/>
  <c r="Y37" i="29"/>
  <c r="Y25" i="29"/>
  <c r="Y65" i="29"/>
  <c r="Y24" i="29"/>
  <c r="Y16" i="29"/>
  <c r="Y34" i="29"/>
  <c r="Y91" i="29"/>
  <c r="Y90" i="29"/>
  <c r="Y150" i="29"/>
  <c r="Y169" i="29"/>
  <c r="Y168" i="29"/>
  <c r="Y149" i="29"/>
  <c r="Y148" i="29"/>
  <c r="Y147" i="29"/>
  <c r="Y167" i="29"/>
  <c r="Y166" i="29"/>
  <c r="Y165" i="29"/>
  <c r="Y146" i="29"/>
  <c r="Y145" i="29"/>
  <c r="Y144" i="29"/>
  <c r="Y164" i="29"/>
  <c r="AD209" i="1"/>
  <c r="AD208" i="1"/>
  <c r="AD14" i="1"/>
  <c r="AD7" i="1"/>
  <c r="AD8" i="1"/>
  <c r="AD9" i="1"/>
  <c r="AD10" i="1"/>
  <c r="AD11" i="1"/>
  <c r="AD12" i="1"/>
  <c r="AD4" i="1"/>
  <c r="AD5" i="1"/>
  <c r="AD6" i="1"/>
  <c r="AD13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10" i="1"/>
  <c r="AD211" i="1"/>
  <c r="AD212" i="1"/>
  <c r="AD213" i="1"/>
  <c r="AD214" i="1"/>
  <c r="AD215" i="1"/>
  <c r="B1" i="1" l="1"/>
</calcChain>
</file>

<file path=xl/sharedStrings.xml><?xml version="1.0" encoding="utf-8"?>
<sst xmlns="http://schemas.openxmlformats.org/spreadsheetml/2006/main" count="7089" uniqueCount="1656">
  <si>
    <t>ID
 (green is sent to Metrics xlsx)</t>
  </si>
  <si>
    <t>SUB-MENU</t>
  </si>
  <si>
    <t>OBJECT NAME</t>
  </si>
  <si>
    <t>GROUPING</t>
  </si>
  <si>
    <t>MENU</t>
  </si>
  <si>
    <t>bailschedule</t>
  </si>
  <si>
    <t>ccta</t>
  </si>
  <si>
    <t>collections</t>
  </si>
  <si>
    <t>collectionssu</t>
  </si>
  <si>
    <t>courtroom</t>
  </si>
  <si>
    <t>courtroomsu</t>
  </si>
  <si>
    <t>ct_developer</t>
  </si>
  <si>
    <t>ct_user</t>
  </si>
  <si>
    <t>ctrmprocessing</t>
  </si>
  <si>
    <t>eus</t>
  </si>
  <si>
    <t>fiscal1</t>
  </si>
  <si>
    <t>fiscal2</t>
  </si>
  <si>
    <t>fiscalsu</t>
  </si>
  <si>
    <t>impact</t>
  </si>
  <si>
    <t>inquiry</t>
  </si>
  <si>
    <t>inquirypub</t>
  </si>
  <si>
    <t>interpreter</t>
  </si>
  <si>
    <t>jbsis</t>
  </si>
  <si>
    <t>jibsissu</t>
  </si>
  <si>
    <t>judges</t>
  </si>
  <si>
    <t>noncourtroom</t>
  </si>
  <si>
    <t>noncourtroomsu</t>
  </si>
  <si>
    <t>omni</t>
  </si>
  <si>
    <t># Profiles/Window</t>
  </si>
  <si>
    <t>CRMP
NB_ACCESS</t>
  </si>
  <si>
    <t>CRMP
ACESS/DAY</t>
  </si>
  <si>
    <t>COMMENTS</t>
  </si>
  <si>
    <t>Auto Process Schedule</t>
  </si>
  <si>
    <t>w_ct_m_mnt_auto_process_sched</t>
  </si>
  <si>
    <t>Low High</t>
  </si>
  <si>
    <t>1 - ADMIN</t>
  </si>
  <si>
    <t>X</t>
  </si>
  <si>
    <t>CTS Internal Window</t>
  </si>
  <si>
    <t>Date of Action Maintenance</t>
  </si>
  <si>
    <t>w_ct_m_docket_date_of_action_maint</t>
  </si>
  <si>
    <t>Medium</t>
  </si>
  <si>
    <t>Excel Batch Processing</t>
  </si>
  <si>
    <t>w_ct_m_xl_batch_processing</t>
  </si>
  <si>
    <t>Medium High</t>
  </si>
  <si>
    <t>Officer Consolidate</t>
  </si>
  <si>
    <t>w_ct_m_officer_merge</t>
  </si>
  <si>
    <t>CTS Internal Window 8/28/2026 - this window is not used, we are killing it with blessings from Melanie, David as witness</t>
  </si>
  <si>
    <t>Person Delete</t>
  </si>
  <si>
    <t>w_ct_m_person_delete</t>
  </si>
  <si>
    <t>Purge Duplicate Filings</t>
  </si>
  <si>
    <t>w_ct_m_purge_duplicate</t>
  </si>
  <si>
    <t>Low</t>
  </si>
  <si>
    <t>Vlan IP ranges</t>
  </si>
  <si>
    <t>w_ct_m_vlan_ip_ranges</t>
  </si>
  <si>
    <t>Calendar List</t>
  </si>
  <si>
    <t>w_ct_m_cal_list</t>
  </si>
  <si>
    <t>3 - CALENDARING</t>
  </si>
  <si>
    <t>Post-Conviction Worksheet Report</t>
  </si>
  <si>
    <t>w_ct_r_pcw</t>
  </si>
  <si>
    <t>Calendar Report</t>
  </si>
  <si>
    <t>w_ct_m_cal_report_list</t>
  </si>
  <si>
    <t>Calendar Batch Print</t>
  </si>
  <si>
    <t>w_ct_r_batch_print</t>
  </si>
  <si>
    <t>Medium high</t>
  </si>
  <si>
    <t>Web Browser of generated files</t>
  </si>
  <si>
    <t>w_ct_r_pdf_viewer</t>
  </si>
  <si>
    <t>Calendar Transfer</t>
  </si>
  <si>
    <t>w_ct_m_cal_transfer</t>
  </si>
  <si>
    <t>Calendar Transfer Notices</t>
  </si>
  <si>
    <t>w_ct_m_cal_transfer_notice</t>
  </si>
  <si>
    <t>Court Closure Transfer</t>
  </si>
  <si>
    <t>w_ct_m_cal_close_transfer</t>
  </si>
  <si>
    <t>Court Trial Transfer</t>
  </si>
  <si>
    <t>w_ct_m_cal_transfer_location</t>
  </si>
  <si>
    <t>Notice of Packaged Hearings</t>
  </si>
  <si>
    <t>w_ct_m_case_package_list</t>
  </si>
  <si>
    <t>Case Backup and Restore</t>
  </si>
  <si>
    <t>w_ct_m_case_backup_trg</t>
  </si>
  <si>
    <t>4 - CASE</t>
  </si>
  <si>
    <t>Lower regions only</t>
  </si>
  <si>
    <t>Case Maintenance</t>
  </si>
  <si>
    <t>w_ct_m_case_maint</t>
  </si>
  <si>
    <t>Very High</t>
  </si>
  <si>
    <t>Vision Public Case - Input</t>
  </si>
  <si>
    <t>w_ct_r_public_case_input</t>
  </si>
  <si>
    <t>Person Information Select</t>
  </si>
  <si>
    <t>w_ct_m_person_select</t>
  </si>
  <si>
    <t>Unavailable Court Dates</t>
  </si>
  <si>
    <t>w_ct_r_unavailable_dates</t>
  </si>
  <si>
    <t>Case Dates</t>
  </si>
  <si>
    <t>w_ct_r_cal_case_dates</t>
  </si>
  <si>
    <t>Other Cases</t>
  </si>
  <si>
    <t>w_ct_r_cal_other_cases</t>
  </si>
  <si>
    <t>Case Summary</t>
  </si>
  <si>
    <t>w_ct_m_case_summary</t>
  </si>
  <si>
    <t>Close Elig? Button</t>
  </si>
  <si>
    <t>w_ct_r_case_closure_eligible</t>
  </si>
  <si>
    <t>Bail Schedule Maintenance Response</t>
  </si>
  <si>
    <t>w_ct_r_fscl_bail_sched_maint_response</t>
  </si>
  <si>
    <t>Case Transfer</t>
  </si>
  <si>
    <t>w_ct_m_case_transfer_cst</t>
  </si>
  <si>
    <t>Citation Batches / Batch Entry</t>
  </si>
  <si>
    <t>w_ct_m_cite_batch_entry</t>
  </si>
  <si>
    <t>Citation Entry</t>
  </si>
  <si>
    <t>w_ct_m_case_citation_entry</t>
  </si>
  <si>
    <t>LEA Interface</t>
  </si>
  <si>
    <t>w_ct_m_case_lea_interface</t>
  </si>
  <si>
    <t>Mass Case/Calendar Copy</t>
  </si>
  <si>
    <t>w_ct_m_mass_case_copy</t>
  </si>
  <si>
    <t>Missing Complaint</t>
  </si>
  <si>
    <t>w_ct_m_case_missing_complaint</t>
  </si>
  <si>
    <t>NCIC Case Initiation</t>
  </si>
  <si>
    <t>w_ct_m_case_maint_ncic</t>
  </si>
  <si>
    <t>Priors</t>
  </si>
  <si>
    <t>w_ct_m_case_priors</t>
  </si>
  <si>
    <t>High</t>
  </si>
  <si>
    <t>Print - Copies Spec.</t>
  </si>
  <si>
    <t>w_ct_m_case_priors_print_spec</t>
  </si>
  <si>
    <t>Campaign Maintenance</t>
  </si>
  <si>
    <t>w_ct_m_coll_campaign_maint</t>
  </si>
  <si>
    <t>5 - COLLECTIONS</t>
  </si>
  <si>
    <t>Collections</t>
  </si>
  <si>
    <t>w_ct_m_coll_collections</t>
  </si>
  <si>
    <t>Collections Campaign Queue</t>
  </si>
  <si>
    <t>w_ct_m_coll_campaign_queue</t>
  </si>
  <si>
    <t>Collections Person Interface</t>
  </si>
  <si>
    <t>w_ct_m_coll_person_interface</t>
  </si>
  <si>
    <t>Collections Work Queue</t>
  </si>
  <si>
    <t>w_ct_m_coll_work_queue</t>
  </si>
  <si>
    <t>09/03: Stakeholders confirmed menu is not in use and to remove from Vision</t>
  </si>
  <si>
    <t>Collector Maintenance</t>
  </si>
  <si>
    <t>w_ct_m_coll_collector_maint</t>
  </si>
  <si>
    <t>Financial Evaluation</t>
  </si>
  <si>
    <t>w_ct_m_coll_fin_eval_list</t>
  </si>
  <si>
    <t>FTBCOD Interface</t>
  </si>
  <si>
    <t>w_ct_m_case_ftbcod_select</t>
  </si>
  <si>
    <t>FTBCOD Payment Processor</t>
  </si>
  <si>
    <t>w_ct_m_ftbcod_payment</t>
  </si>
  <si>
    <t>Import Action File (Select button)</t>
  </si>
  <si>
    <t>w_ct_r_coll_ftbcod_import_actions</t>
  </si>
  <si>
    <t>Import Claim Schedule File (FTBCOD)</t>
  </si>
  <si>
    <t>w_ct_r_ftbcod_import_cs</t>
  </si>
  <si>
    <t>FTBTI Interface</t>
  </si>
  <si>
    <t>w_ct_m_coll_ftbti_interface</t>
  </si>
  <si>
    <t>FTBTI Payment Processor</t>
  </si>
  <si>
    <t>w_ct_m_ftbti_payment</t>
  </si>
  <si>
    <t>Import Claim Schedule File (FTBTI)</t>
  </si>
  <si>
    <t>w_ct_r_cmmn_file_search</t>
  </si>
  <si>
    <t>List Search</t>
  </si>
  <si>
    <t>w_ct_r_cmmn_list_search</t>
  </si>
  <si>
    <t>OCV Payment Processor</t>
  </si>
  <si>
    <t>w_ct_m_ocv_payment</t>
  </si>
  <si>
    <t>OCV Return</t>
  </si>
  <si>
    <t>w_ct_m_ocv_file_load</t>
  </si>
  <si>
    <t>Agency Payment</t>
  </si>
  <si>
    <t>w_ct_m_agency_payment</t>
  </si>
  <si>
    <t>7 - COUNTER</t>
  </si>
  <si>
    <t>Defendant Select Window</t>
  </si>
  <si>
    <t>w_ct_r_defendant_name</t>
  </si>
  <si>
    <t>Cash Bail Notice (formerly Bail Bond Notice)</t>
  </si>
  <si>
    <t>w_ct_m_bail_bond_notice</t>
  </si>
  <si>
    <t>Bail Entry</t>
  </si>
  <si>
    <t>w_ct_m_bail_maint</t>
  </si>
  <si>
    <t>Duplicate object (Bail Maintenance)</t>
  </si>
  <si>
    <t>Agency Unit Address List (2-Bail Bond button)</t>
  </si>
  <si>
    <t>w_ct_r_agency_unit_addrs_change</t>
  </si>
  <si>
    <t>Batch Payment Entry</t>
  </si>
  <si>
    <t>w_ct_m_cntr_batch_pmt</t>
  </si>
  <si>
    <t>Defendant List</t>
  </si>
  <si>
    <t>w_ct_r_cntr_batch_pmt_def_list</t>
  </si>
  <si>
    <t>Batch Payments on Hold</t>
  </si>
  <si>
    <t>w_ct_r_cntr_batch_pmt_on_hold</t>
  </si>
  <si>
    <t>Other Case Balances</t>
  </si>
  <si>
    <t>w_ct_r_cntr_case_balances</t>
  </si>
  <si>
    <t>Cashier Reconciliation</t>
  </si>
  <si>
    <t>w_ct_m_cashier_recon</t>
  </si>
  <si>
    <t>Counter Payment</t>
  </si>
  <si>
    <t>w_ct_m_counter</t>
  </si>
  <si>
    <t>Receipts (many flavors)</t>
  </si>
  <si>
    <t>Bail Forfeiture / Traffic School Payment Plans</t>
  </si>
  <si>
    <t>w_ct_r_agree_pay_bf</t>
  </si>
  <si>
    <t>Accept Payment</t>
  </si>
  <si>
    <t>w_ct_r_payment</t>
  </si>
  <si>
    <t>Notes</t>
  </si>
  <si>
    <t>w_ct_r_cmmn_note</t>
  </si>
  <si>
    <t>Multi-Case Payment</t>
  </si>
  <si>
    <t>w_ct_m_fscl_multi_case_payment</t>
  </si>
  <si>
    <t>Non-Case Payment</t>
  </si>
  <si>
    <t>w_ct_m_noncase_pymt</t>
  </si>
  <si>
    <t>Open Cashier Session</t>
  </si>
  <si>
    <t>w_ct_m_cashier_open_session</t>
  </si>
  <si>
    <t>TS Completion</t>
  </si>
  <si>
    <t>w_ct_m_mark_ts_complete</t>
  </si>
  <si>
    <t>Victim Restitution Notice</t>
  </si>
  <si>
    <t>w_ct_m_vr_notice</t>
  </si>
  <si>
    <t>Courtroom / Admin Minutes Entry</t>
  </si>
  <si>
    <t>w_ct_courtroom</t>
  </si>
  <si>
    <t>8 - COURTROOM</t>
  </si>
  <si>
    <t>Docket Code Help</t>
  </si>
  <si>
    <t>w_ct_doc_help_rsp</t>
  </si>
  <si>
    <t>Multi-Case Entry</t>
  </si>
  <si>
    <t>w_ct_doc_multicase</t>
  </si>
  <si>
    <t>Print Imaging Barcode</t>
  </si>
  <si>
    <t>w_ct_r_barcode_current_hrg</t>
  </si>
  <si>
    <t>Print Imaging Barcode Sheet (reprint)</t>
  </si>
  <si>
    <t>w_ct_r_barcode_print</t>
  </si>
  <si>
    <t>Extended Text Entry Window</t>
  </si>
  <si>
    <t>w_ct_r_ctrs_dckt_text</t>
  </si>
  <si>
    <t>Courtroom Print</t>
  </si>
  <si>
    <t>w_ct_r_dckt_report_printing</t>
  </si>
  <si>
    <t>Courtroom Setup</t>
  </si>
  <si>
    <t>w_ct_m_ctrs_courtroom_setup</t>
  </si>
  <si>
    <t>Duplicate object (Minutes)</t>
  </si>
  <si>
    <t>Generic Notice Reporting (Minutes)</t>
  </si>
  <si>
    <t>w_ct_m_docket_reporting</t>
  </si>
  <si>
    <t>Duplicate object (Generic Notice Reporting)  cancelled NOT USED confirmed by Sendhivel</t>
  </si>
  <si>
    <t>Minutes</t>
  </si>
  <si>
    <t>CIS Sheets (16 Flavors)</t>
  </si>
  <si>
    <t xml:space="preserve">PDF Viewer from Minutes </t>
  </si>
  <si>
    <t>w_ct_c_pdf_viewer</t>
  </si>
  <si>
    <t xml:space="preserve">VCJIS - Court Reports Preview </t>
  </si>
  <si>
    <t>w_ct_r_dckt_preview_docket_rpt</t>
  </si>
  <si>
    <t>MOCS</t>
  </si>
  <si>
    <t>w_ct_m_mocs</t>
  </si>
  <si>
    <t>Docket Selection ( MOCS)</t>
  </si>
  <si>
    <t>w_ct_r_mocs_dkt_entry</t>
  </si>
  <si>
    <t>MOCS Multi Case Entry</t>
  </si>
  <si>
    <t>w_ct_r_mocs_multi</t>
  </si>
  <si>
    <t>Exhibit List</t>
  </si>
  <si>
    <t>w_ct_m_exhibit_list</t>
  </si>
  <si>
    <t>9 - EXHIBITS</t>
  </si>
  <si>
    <t>Exhibit Search</t>
  </si>
  <si>
    <t>w_ct_r_exhibit_list_case_search</t>
  </si>
  <si>
    <t>Exhibit Maintenance</t>
  </si>
  <si>
    <t>w_ct_m_exhibit_maintenance</t>
  </si>
  <si>
    <t>New Exhibit Hearing List</t>
  </si>
  <si>
    <t>w_ct_m_exhibit_new_hearing</t>
  </si>
  <si>
    <t>Exhibit Management</t>
  </si>
  <si>
    <t>w_ct_m_exhibit_management</t>
  </si>
  <si>
    <t>Exhibit Management Search</t>
  </si>
  <si>
    <t>w_ct_m_exhibit_management_srch</t>
  </si>
  <si>
    <t>Added 07/20/26</t>
  </si>
  <si>
    <t>Exhibit History</t>
  </si>
  <si>
    <t>w_ct_r_exhibit_history</t>
  </si>
  <si>
    <t>Bail Maintenance</t>
  </si>
  <si>
    <t>10 - FISCAL</t>
  </si>
  <si>
    <r>
      <rPr>
        <sz val="11"/>
        <color rgb="FF9C0006"/>
        <rFont val="Calibri"/>
        <family val="2"/>
      </rPr>
      <t>Duplicate menu item; additional menu location - CASE</t>
    </r>
    <r>
      <rPr>
        <sz val="11"/>
        <color rgb="FF9C5700"/>
        <rFont val="Calibri"/>
        <family val="2"/>
      </rPr>
      <t xml:space="preserve">
Duplicate object (Bail Entry)</t>
    </r>
  </si>
  <si>
    <t>Case Distribution Override</t>
  </si>
  <si>
    <t>w_ct_m_fscl_dist_override</t>
  </si>
  <si>
    <t>Case Payment History</t>
  </si>
  <si>
    <t>w_ct_m_fscl_payment_hist</t>
  </si>
  <si>
    <t>Check Approval</t>
  </si>
  <si>
    <t>w_ct_m_fscl_chk_apprv</t>
  </si>
  <si>
    <t xml:space="preserve">Specify Check Number </t>
  </si>
  <si>
    <t>w_ct_r_fscl_chk_nbr</t>
  </si>
  <si>
    <t>Print Checks</t>
  </si>
  <si>
    <t>w_ct_r_fscl_prnt_chks</t>
  </si>
  <si>
    <t>Check Maintenance</t>
  </si>
  <si>
    <t>w_ct_m_fscl_chk_maint</t>
  </si>
  <si>
    <t>Duplicate menu item; additional menu location - FISCAL MAINT</t>
  </si>
  <si>
    <t>Fiscal Case Analysis</t>
  </si>
  <si>
    <t>w_ct_m_fiscal_case_analysis</t>
  </si>
  <si>
    <t>Misapplications/Voids</t>
  </si>
  <si>
    <t>w_ct_m_fscl_pmt_misapp_void</t>
  </si>
  <si>
    <t>w_ct_r_fiscal_batch_cases</t>
  </si>
  <si>
    <t>Reapply Payment</t>
  </si>
  <si>
    <t>w_ct_m_fscl_reapp_remit</t>
  </si>
  <si>
    <t>Reversals</t>
  </si>
  <si>
    <t>w_ct_m_fscl_pmt_reversals</t>
  </si>
  <si>
    <t>w_ct_r_fiscal_multi_cases_reversal</t>
  </si>
  <si>
    <t>Victim Restitution Approval</t>
  </si>
  <si>
    <t>w_ct_m_fscl_vr_apprv</t>
  </si>
  <si>
    <t>Summary Judgment</t>
  </si>
  <si>
    <t>w_ct_m_summary_judgement</t>
  </si>
  <si>
    <t>Bail Distribution Schedule</t>
  </si>
  <si>
    <t>w_ct_m_fscl_bail_dist_sched</t>
  </si>
  <si>
    <t>11 - FISCAL MAINTENANCE</t>
  </si>
  <si>
    <t>Base Distribution Xref</t>
  </si>
  <si>
    <t>w_ct_m_fscl_base_dist_xref</t>
  </si>
  <si>
    <t>Bondsman / Surety</t>
  </si>
  <si>
    <t>w_ct_m_bondsman_surety</t>
  </si>
  <si>
    <t>Chart of Accounts</t>
  </si>
  <si>
    <t>w_ct_m_fscl_chart_of_accts</t>
  </si>
  <si>
    <t>Cost of Collections</t>
  </si>
  <si>
    <t>w_ct_m_fscl_cost_of_collections</t>
  </si>
  <si>
    <t>Fee Distribution Schedule</t>
  </si>
  <si>
    <t>w_ct_m_fscl_fee_dist_sched</t>
  </si>
  <si>
    <t>Fund Maintenance</t>
  </si>
  <si>
    <t>w_ct_m_fscl_fund_maint</t>
  </si>
  <si>
    <t>PA Distribution Schedule</t>
  </si>
  <si>
    <t>w_ct_m_fscl_pa_dist_sched</t>
  </si>
  <si>
    <t>PA Distribution Xref</t>
  </si>
  <si>
    <t>w_ct_m_fscl_dist_xref</t>
  </si>
  <si>
    <t>Special Distribution Schedule</t>
  </si>
  <si>
    <t>w_ct_m_fscl_spl_dist_sched</t>
  </si>
  <si>
    <t>VR Distribution Schedule</t>
  </si>
  <si>
    <t>w_ct_m_fscl_vr_dist_sched</t>
  </si>
  <si>
    <t>ATP Dashboard</t>
  </si>
  <si>
    <t>w_ct_m_atp_dashboard</t>
  </si>
  <si>
    <t>12 - INTERFACES</t>
  </si>
  <si>
    <t>Check Auditor/Controller</t>
  </si>
  <si>
    <t>w_ct_m_fscl_audit_controller</t>
  </si>
  <si>
    <t>DMV Abstract on Demand</t>
  </si>
  <si>
    <t>w_ct_m_dmv_abstract_on_demand</t>
  </si>
  <si>
    <t>DMV Admin Transactions</t>
  </si>
  <si>
    <t>w_ct_m_dmv_admin_tran</t>
  </si>
  <si>
    <t>DMV Error Cases Report</t>
  </si>
  <si>
    <t>w_ct_m_dmv_error_queue_mon</t>
  </si>
  <si>
    <t>DMV Error Maintenance</t>
  </si>
  <si>
    <t>w_ct_m_dmv_abstract_maint</t>
  </si>
  <si>
    <t>DMV Prior Missing Report</t>
  </si>
  <si>
    <t>w_ct_m_dmv_priors_missing_cases</t>
  </si>
  <si>
    <t>DOJ Interface</t>
  </si>
  <si>
    <t>w_ct_m_intf_doj_review</t>
  </si>
  <si>
    <t>DOJ Abstract</t>
  </si>
  <si>
    <t>w_ct_r_doj_abstract_viewer</t>
  </si>
  <si>
    <t>OneOC - Clerk Review Module</t>
  </si>
  <si>
    <t>w_ct_m_oneoc_interface</t>
  </si>
  <si>
    <t>JBSIS Audit Report</t>
  </si>
  <si>
    <t>w_ct_m_jbsis_audit_report</t>
  </si>
  <si>
    <t>13 - JBSIS</t>
  </si>
  <si>
    <t>JBSIS Maintenance</t>
  </si>
  <si>
    <t>w_jbsis_maintenance</t>
  </si>
  <si>
    <t>JBSIS Report Defn.</t>
  </si>
  <si>
    <t>w_ct_m_jbsis_report_detail</t>
  </si>
  <si>
    <t>JBSIS Reporting</t>
  </si>
  <si>
    <t>w_ct_jbsis_manrpt</t>
  </si>
  <si>
    <t>JBSIS Case Listing</t>
  </si>
  <si>
    <t>w_ct_jbsis_case_person</t>
  </si>
  <si>
    <t>Attorney Maintenance</t>
  </si>
  <si>
    <t>w_ct_m_attorney</t>
  </si>
  <si>
    <t>15 - PERSON</t>
  </si>
  <si>
    <t>Interpreters Maintenance</t>
  </si>
  <si>
    <t>w_ct_m_interpreters</t>
  </si>
  <si>
    <t>Interpreters in System</t>
  </si>
  <si>
    <t>w_ct_r_interpreters_lookup</t>
  </si>
  <si>
    <t>Interpreter Remarks (Ctrl+Alt+T under Remarks)</t>
  </si>
  <si>
    <t>w_ct_r_interpreter_remarks</t>
  </si>
  <si>
    <t>Multi-Person Maintenance</t>
  </si>
  <si>
    <t>w_ct_m_multi_person_maint</t>
  </si>
  <si>
    <t>Multi-Person Maintenance Datafix Report</t>
  </si>
  <si>
    <t>w_ct_r_mpm_report</t>
  </si>
  <si>
    <t>Person Link/Unlink</t>
  </si>
  <si>
    <t>w_ct_m_person_link_unlink</t>
  </si>
  <si>
    <t>Person Maintenance</t>
  </si>
  <si>
    <t>w_ct_m_person_maint</t>
  </si>
  <si>
    <t>Person Search</t>
  </si>
  <si>
    <t>w_ct_r_person_search</t>
  </si>
  <si>
    <t>Quick Add</t>
  </si>
  <si>
    <t>Person Unlink</t>
  </si>
  <si>
    <t>w_ct_m_person_unlink</t>
  </si>
  <si>
    <t>Professional Consolidation</t>
  </si>
  <si>
    <t>w_ct_m_professional_consolidation</t>
  </si>
  <si>
    <t>Professional Maintenance</t>
  </si>
  <si>
    <t>w_ct_m_professional_maint</t>
  </si>
  <si>
    <t>New Professional</t>
  </si>
  <si>
    <t>w_ct_r_professional_new</t>
  </si>
  <si>
    <t>Sealed Access</t>
  </si>
  <si>
    <t>w_ct_r_security_admin</t>
  </si>
  <si>
    <t>Duplicate object (Security Admin)</t>
  </si>
  <si>
    <t>Batch Purge</t>
  </si>
  <si>
    <t>w_ct_m_purged_cases</t>
  </si>
  <si>
    <t>16 - RECORDS</t>
  </si>
  <si>
    <t>Calendar File Location</t>
  </si>
  <si>
    <t>w_ct_s_rcds_cal_loc</t>
  </si>
  <si>
    <t>Case File Purge</t>
  </si>
  <si>
    <t>w_ct_m_case_file_purge</t>
  </si>
  <si>
    <t>File Location</t>
  </si>
  <si>
    <t>w_ct_s_rcds_location</t>
  </si>
  <si>
    <t>Location History</t>
  </si>
  <si>
    <t>w_ct_s_rcds_location_history</t>
  </si>
  <si>
    <t>File Request</t>
  </si>
  <si>
    <t>w_ct_s_rcds_request</t>
  </si>
  <si>
    <t>File Request Inquiry</t>
  </si>
  <si>
    <t>w_ct_s_rcds_request_inquiry</t>
  </si>
  <si>
    <t>File Request Maintenance</t>
  </si>
  <si>
    <t>w_ct_s_rcds_request_maint</t>
  </si>
  <si>
    <t>Image Maintenance</t>
  </si>
  <si>
    <t>w_ct_m_case_docket_image</t>
  </si>
  <si>
    <t>Docket Code Lookup</t>
  </si>
  <si>
    <t>w_ct_r_case_docket</t>
  </si>
  <si>
    <t>Image Viewer</t>
  </si>
  <si>
    <t>w_ct_m_image_viewer</t>
  </si>
  <si>
    <t>Duplicate menu item; additional menu location - CASE</t>
  </si>
  <si>
    <t>Missing Complaints Purge</t>
  </si>
  <si>
    <t>w_ct_m_missing_complaints_purge</t>
  </si>
  <si>
    <t>Monthly Funding Report</t>
  </si>
  <si>
    <t>w_ct_m_fscl_month_fund_report</t>
  </si>
  <si>
    <t>17 - REPORTS</t>
  </si>
  <si>
    <t>Reports</t>
  </si>
  <si>
    <t>w_ct_m_report_select</t>
  </si>
  <si>
    <t>Open Cases Report</t>
  </si>
  <si>
    <t>w_ct_m_open_cases</t>
  </si>
  <si>
    <t>Bail Bond Activity Report</t>
  </si>
  <si>
    <t>w_ct_r_report_builder</t>
  </si>
  <si>
    <t>Duplicate object for multiple reports</t>
  </si>
  <si>
    <t>Bail Bond Summary Judgment</t>
  </si>
  <si>
    <t>Bail Forfeiture Report</t>
  </si>
  <si>
    <t>Summary Judgment Bail Bonds Payment Due</t>
  </si>
  <si>
    <t>Case Calendar Summary</t>
  </si>
  <si>
    <t>w_ct_m_cal_sum</t>
  </si>
  <si>
    <t>Case Payment Activity Query</t>
  </si>
  <si>
    <t>Cash Bail Forfeiture Notice</t>
  </si>
  <si>
    <t>State Prison Abstracts</t>
  </si>
  <si>
    <t>w_ct_m_prsn_abstract</t>
  </si>
  <si>
    <t>Special Schedule</t>
  </si>
  <si>
    <t>w_ct_m_fscl_special_schedule</t>
  </si>
  <si>
    <t>18 - SCHEDULE MAINTENANCE</t>
  </si>
  <si>
    <t>Speed Schedule</t>
  </si>
  <si>
    <t>w_ct_m_fscl_speed_sched</t>
  </si>
  <si>
    <t>Copy Existing Speed Schedule</t>
  </si>
  <si>
    <t>w_ct_r_fscl_speed_sched</t>
  </si>
  <si>
    <t>Speed Schedule 2</t>
  </si>
  <si>
    <t>w_ct_m_fscl_speed_sched_2</t>
  </si>
  <si>
    <t>Copy Existing Speed Schedule (Speed Sched 2)</t>
  </si>
  <si>
    <t>w_ct_r_fscl_speed_sched_2</t>
  </si>
  <si>
    <t>Advanced Menu Manager</t>
  </si>
  <si>
    <t>w_ct_m_menu_full</t>
  </si>
  <si>
    <t>19 - SECURITY</t>
  </si>
  <si>
    <t>Basic Menu Manager</t>
  </si>
  <si>
    <t>w_ct_m_menu_basic</t>
  </si>
  <si>
    <t>Vision Menu Profile Report</t>
  </si>
  <si>
    <t>w_ct_r_menu_profile_report</t>
  </si>
  <si>
    <t>Menu Admin</t>
  </si>
  <si>
    <t>w_ct_r_menu_admin</t>
  </si>
  <si>
    <t>Security Admin</t>
  </si>
  <si>
    <r>
      <rPr>
        <sz val="11"/>
        <color rgb="FFFF0000"/>
        <rFont val="Calibri"/>
        <family val="2"/>
      </rPr>
      <t xml:space="preserve">CTS Internal Window; </t>
    </r>
    <r>
      <rPr>
        <sz val="11"/>
        <color rgb="FF9C5700"/>
        <rFont val="Calibri"/>
        <family val="2"/>
      </rPr>
      <t>Duplicate Object (Sealed Access)</t>
    </r>
  </si>
  <si>
    <t>Unlock Case</t>
  </si>
  <si>
    <t>w_ct_m_case_lock_maintenance</t>
  </si>
  <si>
    <t>Agency Codes</t>
  </si>
  <si>
    <t>w_ct_m_agency_codes</t>
  </si>
  <si>
    <t>20 - TABLES</t>
  </si>
  <si>
    <t>Agency X-Ref Maintenance</t>
  </si>
  <si>
    <t>w_ct_m_maint_agy_xref</t>
  </si>
  <si>
    <t>Bail Schedule / Bail Schedule Review</t>
  </si>
  <si>
    <t>w_ct_m_fscl_bail_sched_maint</t>
  </si>
  <si>
    <t>Bail Schedule History Report</t>
  </si>
  <si>
    <t>w_ct_r_bail_sched_hist_rpt</t>
  </si>
  <si>
    <t>Calendar Plan Maintenance</t>
  </si>
  <si>
    <t>w_ct_m_calendar_plan</t>
  </si>
  <si>
    <t>Code Mover</t>
  </si>
  <si>
    <t>w_ct_m_code_mover</t>
  </si>
  <si>
    <t>Codes (Code Entry)</t>
  </si>
  <si>
    <t>w_ct_m_codes</t>
  </si>
  <si>
    <t>Codes X-Ref Maintenance</t>
  </si>
  <si>
    <t>w_ct_m_maint_xref</t>
  </si>
  <si>
    <t>Court Control</t>
  </si>
  <si>
    <t>w_ct_m_mnt_control</t>
  </si>
  <si>
    <t>MOCS Docket Definition</t>
  </si>
  <si>
    <t>w_ct_m_mocs_dkt_defn</t>
  </si>
  <si>
    <t>Court Holidays</t>
  </si>
  <si>
    <t>w_ct_m_court_holidays</t>
  </si>
  <si>
    <t>Docket Code Macro Configuration</t>
  </si>
  <si>
    <t>w_ct_m_docket_macro</t>
  </si>
  <si>
    <t>Docket Code Macro Maintenance</t>
  </si>
  <si>
    <t>w_ct_m_docket_macro_maint</t>
  </si>
  <si>
    <t>Docket Macro Preview</t>
  </si>
  <si>
    <t>w_ct_r_dckt_macro_preview</t>
  </si>
  <si>
    <t>Docket Code Macro Mover</t>
  </si>
  <si>
    <t>w_ct_m_docket_macro_move</t>
  </si>
  <si>
    <t>Docket Code Maintenance</t>
  </si>
  <si>
    <t>w_ct_m_docket_code_maint</t>
  </si>
  <si>
    <t>w_ct_r_docket_codes</t>
  </si>
  <si>
    <t>w_ct_r_lookup_nbr</t>
  </si>
  <si>
    <t>Docket Code Reference</t>
  </si>
  <si>
    <t>w_ct_m_docket_codes_reference</t>
  </si>
  <si>
    <t>Error Codes</t>
  </si>
  <si>
    <t>w_ct_m_error_codes</t>
  </si>
  <si>
    <t>Event Codes</t>
  </si>
  <si>
    <t>w_ct_m_event_codes</t>
  </si>
  <si>
    <t>Fee Schedule</t>
  </si>
  <si>
    <t>w_ct_m_fscl_fee_sched</t>
  </si>
  <si>
    <t>Generic Notice Maintenance</t>
  </si>
  <si>
    <t>w_ct_m_letter_maint</t>
  </si>
  <si>
    <t>Job Error Log</t>
  </si>
  <si>
    <t>w_ct_m_job_error_log</t>
  </si>
  <si>
    <t>Additional Info for Case […] button</t>
  </si>
  <si>
    <t>w_ct_r_ext_notes</t>
  </si>
  <si>
    <t>Letter Maintenance</t>
  </si>
  <si>
    <t>w_ct_m_letter_maint_lm</t>
  </si>
  <si>
    <t>PA Schedule Maintenance</t>
  </si>
  <si>
    <t>w_ct_m_maint_pa_sched</t>
  </si>
  <si>
    <t>Parm Lookups</t>
  </si>
  <si>
    <t>w_ct_m_parm_lookups</t>
  </si>
  <si>
    <t>Sentence Workflow Maintenance</t>
  </si>
  <si>
    <t>w_ct_case_sent_wkflow_mapping</t>
  </si>
  <si>
    <t>SP Registry</t>
  </si>
  <si>
    <t>w_ct_m_sp_registry</t>
  </si>
  <si>
    <t>Unit Codes</t>
  </si>
  <si>
    <t>w_ct_m_unit_codes</t>
  </si>
  <si>
    <t>Violation Agency X-Ref</t>
  </si>
  <si>
    <t>w_ct_m_viol_agency_xref</t>
  </si>
  <si>
    <t>Violations</t>
  </si>
  <si>
    <t>w_ct_m_violations</t>
  </si>
  <si>
    <t>Pending Warrant Review</t>
  </si>
  <si>
    <t>w_ct_m_warrant_review</t>
  </si>
  <si>
    <t>21 - WARRANTS</t>
  </si>
  <si>
    <t>Warrant Image Viewer</t>
  </si>
  <si>
    <t>w_ct_m_warrant_images</t>
  </si>
  <si>
    <t>Warrant Maintenance</t>
  </si>
  <si>
    <t>w_ct_m_warrant_signal_mon</t>
  </si>
  <si>
    <t>Warrant Maintenance (CTS) (Warrant Signal Audit)</t>
  </si>
  <si>
    <t>w_ct_m_warrant_signal_audit</t>
  </si>
  <si>
    <t>Warrant Reports</t>
  </si>
  <si>
    <t>w_ct_r_main_report</t>
  </si>
  <si>
    <t>Warrant XML Viewer (CTS)</t>
  </si>
  <si>
    <t>w_ct_m_warrant_awss_xml</t>
  </si>
  <si>
    <t>Log on Window (initial loading of config items)</t>
  </si>
  <si>
    <t>GENERAL</t>
  </si>
  <si>
    <t>Menu Actions</t>
  </si>
  <si>
    <t>Case Search (Adv Search)</t>
  </si>
  <si>
    <t>w_ct_r_case_search</t>
  </si>
  <si>
    <t>Simple Case Search</t>
  </si>
  <si>
    <t>w_ct_r_simple_search</t>
  </si>
  <si>
    <t>07/22/26: VISAR-7209 canceled as fix for Missing Complaint cases not appearing in Simple Case Search will be addressed in this migration</t>
  </si>
  <si>
    <t>Error Message?</t>
  </si>
  <si>
    <t>w_ct_r_cmmn_dw</t>
  </si>
  <si>
    <t>Values</t>
  </si>
  <si>
    <t>Count of bailschedule</t>
  </si>
  <si>
    <t>Count of ccta</t>
  </si>
  <si>
    <t>Count of collections</t>
  </si>
  <si>
    <t>Count of collectionssu</t>
  </si>
  <si>
    <t>Count of courtroom</t>
  </si>
  <si>
    <t>Count of courtroomsu</t>
  </si>
  <si>
    <t>Count of ct_developer</t>
  </si>
  <si>
    <t>Count of ct_user</t>
  </si>
  <si>
    <t>Count of ctrmprocessing</t>
  </si>
  <si>
    <t>Count of eus</t>
  </si>
  <si>
    <t>Count of fiscal1</t>
  </si>
  <si>
    <t>Count of fiscal2</t>
  </si>
  <si>
    <t>Count of fiscalsu</t>
  </si>
  <si>
    <t>Count of impact</t>
  </si>
  <si>
    <t>Count of inquiry</t>
  </si>
  <si>
    <t>Count of inquirypub</t>
  </si>
  <si>
    <t>Count of interpreter</t>
  </si>
  <si>
    <t>Count of jbsis</t>
  </si>
  <si>
    <t>Count of jibsissu</t>
  </si>
  <si>
    <t>Count of judges</t>
  </si>
  <si>
    <t>Count of noncourtroom</t>
  </si>
  <si>
    <t>Count of noncourtroomsu</t>
  </si>
  <si>
    <t>Count of omni</t>
  </si>
  <si>
    <t>ID</t>
  </si>
  <si>
    <t xml:space="preserve"> MIGRATION 
IN-PROGRESS</t>
  </si>
  <si>
    <t># Windows/Profile</t>
  </si>
  <si>
    <t>O</t>
  </si>
  <si>
    <t>Activity Maintenance - NOT IN USE</t>
  </si>
  <si>
    <t>Maintenance Request - NOT IN USE</t>
  </si>
  <si>
    <t>Maintenance Request Qry - NOT IN USE</t>
  </si>
  <si>
    <t>Name Maintenance - NOT IN USE</t>
  </si>
  <si>
    <t>Task Maintenance - NOT IN USE</t>
  </si>
  <si>
    <t>Appeal Maintenance - NOT IN USE</t>
  </si>
  <si>
    <t>2 - APPEALS</t>
  </si>
  <si>
    <t>Appeal Summary - NOT IN USE</t>
  </si>
  <si>
    <t>Case Documents - NOT IN USE</t>
  </si>
  <si>
    <t>Duplicate menu item</t>
  </si>
  <si>
    <t>DMV Case Backup/Restore - NOT IN USE</t>
  </si>
  <si>
    <t>MCS Interface</t>
  </si>
  <si>
    <t>Amnesty</t>
  </si>
  <si>
    <t>Assign Account - NOT IN USE</t>
  </si>
  <si>
    <t>Activity Augmentation - NOT IN USE</t>
  </si>
  <si>
    <t>6 - CONVERSION</t>
  </si>
  <si>
    <t>Bail Sched Mnt - NOT IN USE</t>
  </si>
  <si>
    <t>Case Augmentation - NOT IN USE</t>
  </si>
  <si>
    <t>Case Status Maintenance - NOT IN USE</t>
  </si>
  <si>
    <t>Code Entries XWalk - NOT IN USE</t>
  </si>
  <si>
    <t>Conversion Reports - NOT IN USE</t>
  </si>
  <si>
    <t>DMV Augmentation - NOT IN USE</t>
  </si>
  <si>
    <t>Generic Code XWalk - NOT IN USE</t>
  </si>
  <si>
    <t>Generic Event ROC Xwalk - NOT IN USE</t>
  </si>
  <si>
    <t>Missing Complaint Augmentation - NOT IN USE</t>
  </si>
  <si>
    <t>Person Augmentation - NOT IN USE</t>
  </si>
  <si>
    <t>Sentence Augmentation - NOT IN USE</t>
  </si>
  <si>
    <t>Admin Minutes Entry</t>
  </si>
  <si>
    <t>Courtroom</t>
  </si>
  <si>
    <t>Fiscal Reports</t>
  </si>
  <si>
    <t>VMR2 Migration</t>
  </si>
  <si>
    <t>Satellite Payment Approval - NOT IN USE</t>
  </si>
  <si>
    <t>PA Distribution Mass Update - NOT IN USE</t>
  </si>
  <si>
    <t>Check 21 - Collections - NOT IN USE</t>
  </si>
  <si>
    <t>Check 21 - Operations - NOT IN USE</t>
  </si>
  <si>
    <t>DOJ Data Validation - NOT IN USE</t>
  </si>
  <si>
    <t>JMS Dashboard</t>
  </si>
  <si>
    <t>Already Blazor Window</t>
  </si>
  <si>
    <t>Mail Machine Interface - Collections - NOT IN USE</t>
  </si>
  <si>
    <t>Mail Machine Interface - Operations - NOT IN USE</t>
  </si>
  <si>
    <t>BR/SP Assoc - NOT IN USE</t>
  </si>
  <si>
    <t>14 - MOCS MAINTENANCE</t>
  </si>
  <si>
    <t>Case Characteristics - NOT IN USE</t>
  </si>
  <si>
    <t>Courtroom Setup - NOT IN USE</t>
  </si>
  <si>
    <t>Docket Definition - NOT IN USE</t>
  </si>
  <si>
    <t>SP Registry - NOT IN USE</t>
  </si>
  <si>
    <t>WorkFlow/Groups/Scenarios - NOT IN USE</t>
  </si>
  <si>
    <t>Person Unlink - NOT IN USE</t>
  </si>
  <si>
    <t>Image dummy pdf viewer - NOT IN USE</t>
  </si>
  <si>
    <t>Metadata Sync Error Report - NOT IN USE</t>
  </si>
  <si>
    <t>File Import - NOT IN USE</t>
  </si>
  <si>
    <t>Broadcast Message - NOT IN USE</t>
  </si>
  <si>
    <t>Data Search - NOT IN USE</t>
  </si>
  <si>
    <t>Password Reset - NOT IN USE</t>
  </si>
  <si>
    <t>SCSWEB Security Admin - NOT IN USE</t>
  </si>
  <si>
    <t>Agency Location X-Ref Maintenance - NOT IN USE</t>
  </si>
  <si>
    <t>Bail Schedule</t>
  </si>
  <si>
    <t>Bail Schedule Review</t>
  </si>
  <si>
    <t>Development Log - NOT IN USE</t>
  </si>
  <si>
    <t>RACD night court dates - NOT IN USE</t>
  </si>
  <si>
    <t>Warrant Control Maintenance - NOT IN USE</t>
  </si>
  <si>
    <t>File Mappings</t>
  </si>
  <si>
    <t>Appeal Activity Maintenance</t>
  </si>
  <si>
    <t>Warrant Image Viewer (CTS)</t>
  </si>
  <si>
    <t>Generic Notice Reporting</t>
  </si>
  <si>
    <t>Citation Batches</t>
  </si>
  <si>
    <t>Bail Bond Notice</t>
  </si>
  <si>
    <t>Metadata Sync Error Report</t>
  </si>
  <si>
    <t>Appeal Summary</t>
  </si>
  <si>
    <t>Case Documents</t>
  </si>
  <si>
    <t>File Import</t>
  </si>
  <si>
    <t>Codes</t>
  </si>
  <si>
    <t>Satellite Payment Approval</t>
  </si>
  <si>
    <t>Agency Location X-Ref Maintenance</t>
  </si>
  <si>
    <t>Warrant Control Maintenance</t>
  </si>
  <si>
    <t>Appeal Maintenance</t>
  </si>
  <si>
    <t>Warrant Maintenance (CTS)</t>
  </si>
  <si>
    <t>Activity Maintenance</t>
  </si>
  <si>
    <t>Maintenance Request</t>
  </si>
  <si>
    <t>Maintenance Request Qry</t>
  </si>
  <si>
    <t>Name Maintenance</t>
  </si>
  <si>
    <t>Task Maintenance</t>
  </si>
  <si>
    <t>DMV Case Backup/Restore</t>
  </si>
  <si>
    <t>Assign Account</t>
  </si>
  <si>
    <t>Activity Augmentation</t>
  </si>
  <si>
    <t>Bail Sched Mnt</t>
  </si>
  <si>
    <t>Case Augmentation</t>
  </si>
  <si>
    <t>Case Status Maintenance</t>
  </si>
  <si>
    <t>Code Entries XWalk</t>
  </si>
  <si>
    <t>Conversion Reports</t>
  </si>
  <si>
    <t>DMV Augmentation</t>
  </si>
  <si>
    <t>Generic Code XWalk</t>
  </si>
  <si>
    <t>Generic Event ROC Xwalk</t>
  </si>
  <si>
    <t>Missing Complaint Augmentation</t>
  </si>
  <si>
    <t>Person Augmentation</t>
  </si>
  <si>
    <t>Sentence Augmentation</t>
  </si>
  <si>
    <t>PA Distribution Mass Update</t>
  </si>
  <si>
    <t>Check 21 - Collections</t>
  </si>
  <si>
    <t>Check 21 - Operations</t>
  </si>
  <si>
    <t>DOJ Data Validation</t>
  </si>
  <si>
    <t>Mail Machine Interface - Collections</t>
  </si>
  <si>
    <t>Mail Machine Interface - Operations</t>
  </si>
  <si>
    <t>BR/SP Assoc</t>
  </si>
  <si>
    <t>Case Characteristics</t>
  </si>
  <si>
    <r>
      <t>Courtroom Setup</t>
    </r>
    <r>
      <rPr>
        <sz val="11"/>
        <color theme="2"/>
        <rFont val="Calibri"/>
        <family val="2"/>
      </rPr>
      <t xml:space="preserve"> (no profile assoc)</t>
    </r>
  </si>
  <si>
    <t>Docket Definition</t>
  </si>
  <si>
    <r>
      <t>SP Registry</t>
    </r>
    <r>
      <rPr>
        <sz val="11"/>
        <color theme="2"/>
        <rFont val="Calibri"/>
        <family val="2"/>
      </rPr>
      <t xml:space="preserve"> (no profile assoc)</t>
    </r>
  </si>
  <si>
    <t>WorkFlow/Groups/Scenarios</t>
  </si>
  <si>
    <t>Image dummy pdf viewer</t>
  </si>
  <si>
    <t>Broadcast Message</t>
  </si>
  <si>
    <t>Data Search</t>
  </si>
  <si>
    <t>Password Reset</t>
  </si>
  <si>
    <t>SCSWEB Security Admin</t>
  </si>
  <si>
    <t>Development Log</t>
  </si>
  <si>
    <t>RACD night court dates</t>
  </si>
  <si>
    <t>Menu ID</t>
  </si>
  <si>
    <t>Sub-Menu ID</t>
  </si>
  <si>
    <t>Related Menu/Sub-Menu</t>
  </si>
  <si>
    <t>Level</t>
  </si>
  <si>
    <t>Complexity
Tabpages</t>
  </si>
  <si>
    <t>Complexity
Datawindows</t>
  </si>
  <si>
    <t>Complexity
Methods</t>
  </si>
  <si>
    <t>UPDATE</t>
  </si>
  <si>
    <t>nb_lines</t>
  </si>
  <si>
    <t>nb_uos</t>
  </si>
  <si>
    <t>Tool Tip</t>
  </si>
  <si>
    <t>Keyboard
Shortcut</t>
  </si>
  <si>
    <t>Comments</t>
  </si>
  <si>
    <t>ADMIN</t>
  </si>
  <si>
    <r>
      <rPr>
        <b/>
        <sz val="11"/>
        <color theme="1"/>
        <rFont val="Calibri"/>
        <family val="2"/>
      </rPr>
      <t>Activity Maintenance</t>
    </r>
    <r>
      <rPr>
        <sz val="11"/>
        <color theme="1"/>
        <rFont val="Calibri"/>
        <family val="2"/>
      </rPr>
      <t xml:space="preserve"> (w_ct_m_activity_maintenance)</t>
    </r>
  </si>
  <si>
    <t>No profiles in CRMP to validate additional functionality</t>
  </si>
  <si>
    <r>
      <t>Auto Process Schedule</t>
    </r>
    <r>
      <rPr>
        <sz val="11"/>
        <color theme="1"/>
        <rFont val="Calibri"/>
        <family val="2"/>
      </rPr>
      <t xml:space="preserve"> (w_ct_m_mnt_auto_process_sched)</t>
    </r>
  </si>
  <si>
    <r>
      <rPr>
        <b/>
        <sz val="11"/>
        <color theme="1"/>
        <rFont val="Calibri"/>
        <family val="2"/>
      </rPr>
      <t>Date of Action Maintenance</t>
    </r>
    <r>
      <rPr>
        <sz val="11"/>
        <color theme="1"/>
        <rFont val="Calibri"/>
        <family val="2"/>
      </rPr>
      <t xml:space="preserve"> (w_ct_m_docket_date_of_action_maint)</t>
    </r>
  </si>
  <si>
    <r>
      <t xml:space="preserve">Simple Case Search </t>
    </r>
    <r>
      <rPr>
        <sz val="11"/>
        <color theme="1"/>
        <rFont val="Calibri"/>
        <family val="2"/>
      </rPr>
      <t>(w_ct_r_simple_search)</t>
    </r>
  </si>
  <si>
    <r>
      <t xml:space="preserve">Case Search </t>
    </r>
    <r>
      <rPr>
        <sz val="11"/>
        <color theme="1"/>
        <rFont val="Calibri"/>
        <family val="2"/>
      </rPr>
      <t>(w_ct_r_case_search)</t>
    </r>
  </si>
  <si>
    <r>
      <t xml:space="preserve">Excel Batch Processing </t>
    </r>
    <r>
      <rPr>
        <sz val="11"/>
        <color theme="1"/>
        <rFont val="Calibri"/>
        <family val="2"/>
      </rPr>
      <t>(w_ct_m_xl_batch_processing)</t>
    </r>
  </si>
  <si>
    <r>
      <rPr>
        <b/>
        <sz val="11"/>
        <color rgb="FFFF0000"/>
        <rFont val="Calibri"/>
        <family val="2"/>
      </rPr>
      <t>?</t>
    </r>
    <r>
      <rPr>
        <sz val="11"/>
        <color theme="1"/>
        <rFont val="Calibri"/>
        <family val="2"/>
      </rPr>
      <t xml:space="preserve"> (w_nui_progress)</t>
    </r>
  </si>
  <si>
    <t>On Vision Modules, unsure of corresponding window</t>
  </si>
  <si>
    <t>Source Data tab - "…" button</t>
  </si>
  <si>
    <t>Select File to Import (*.xlsx) window</t>
  </si>
  <si>
    <r>
      <t xml:space="preserve">Processing Configuration tab - </t>
    </r>
    <r>
      <rPr>
        <i/>
        <sz val="11"/>
        <color theme="1"/>
        <rFont val="Calibri"/>
        <family val="2"/>
      </rPr>
      <t>Load Data to procedure</t>
    </r>
    <r>
      <rPr>
        <sz val="11"/>
        <color theme="1"/>
        <rFont val="Calibri"/>
        <family val="2"/>
      </rPr>
      <t xml:space="preserve"> button</t>
    </r>
  </si>
  <si>
    <t>Not sure of button functionality</t>
  </si>
  <si>
    <r>
      <t xml:space="preserve">Processing Configuration tab - </t>
    </r>
    <r>
      <rPr>
        <i/>
        <sz val="11"/>
        <color theme="1"/>
        <rFont val="Calibri"/>
        <family val="2"/>
      </rPr>
      <t xml:space="preserve">Check Mapping </t>
    </r>
    <r>
      <rPr>
        <sz val="11"/>
        <color theme="1"/>
        <rFont val="Calibri"/>
        <family val="2"/>
      </rPr>
      <t>button</t>
    </r>
  </si>
  <si>
    <r>
      <t xml:space="preserve">Results tab - </t>
    </r>
    <r>
      <rPr>
        <i/>
        <sz val="11"/>
        <color theme="1"/>
        <rFont val="Calibri"/>
        <family val="2"/>
      </rPr>
      <t>Export</t>
    </r>
    <r>
      <rPr>
        <sz val="11"/>
        <color theme="1"/>
        <rFont val="Calibri"/>
        <family val="2"/>
      </rPr>
      <t xml:space="preserve"> button</t>
    </r>
  </si>
  <si>
    <r>
      <rPr>
        <b/>
        <sz val="11"/>
        <color theme="1"/>
        <rFont val="Calibri"/>
        <family val="2"/>
      </rPr>
      <t>Maintenance Request</t>
    </r>
    <r>
      <rPr>
        <sz val="11"/>
        <color theme="1"/>
        <rFont val="Calibri"/>
        <family val="2"/>
      </rPr>
      <t xml:space="preserve"> (w_ct_m_maintenance_request)</t>
    </r>
  </si>
  <si>
    <r>
      <rPr>
        <b/>
        <sz val="11"/>
        <rFont val="Calibri"/>
        <family val="2"/>
      </rPr>
      <t>System Maintenance Request Print</t>
    </r>
    <r>
      <rPr>
        <sz val="11"/>
        <rFont val="Calibri"/>
        <family val="2"/>
      </rPr>
      <t xml:space="preserve"> (w_ct_m_maintenance_request_print)</t>
    </r>
  </si>
  <si>
    <r>
      <rPr>
        <b/>
        <sz val="11"/>
        <color theme="1"/>
        <rFont val="Calibri"/>
        <family val="2"/>
      </rPr>
      <t>Task Maintenance</t>
    </r>
    <r>
      <rPr>
        <sz val="11"/>
        <color theme="1"/>
        <rFont val="Calibri"/>
        <family val="2"/>
      </rPr>
      <t xml:space="preserve"> (w_ct_m_task_maintenance)</t>
    </r>
  </si>
  <si>
    <r>
      <rPr>
        <b/>
        <sz val="11"/>
        <color theme="1"/>
        <rFont val="Calibri"/>
        <family val="2"/>
      </rPr>
      <t>Maintenance Request Number</t>
    </r>
    <r>
      <rPr>
        <sz val="11"/>
        <color theme="1"/>
        <rFont val="Calibri"/>
        <family val="2"/>
      </rPr>
      <t xml:space="preserve"> (w_ct_r_maintenance_request_get_nbr)</t>
    </r>
  </si>
  <si>
    <r>
      <rPr>
        <b/>
        <sz val="11"/>
        <color theme="1"/>
        <rFont val="Calibri"/>
        <family val="2"/>
      </rPr>
      <t>Maintenance Request Qry</t>
    </r>
    <r>
      <rPr>
        <sz val="11"/>
        <color theme="1"/>
        <rFont val="Calibri"/>
        <family val="2"/>
      </rPr>
      <t xml:space="preserve"> (w_ct_m_maintenance_request_qry)</t>
    </r>
  </si>
  <si>
    <t>No profiles in CRMP</t>
  </si>
  <si>
    <r>
      <rPr>
        <b/>
        <sz val="11"/>
        <color theme="1"/>
        <rFont val="Calibri"/>
        <family val="2"/>
      </rPr>
      <t>System Maintenance Request</t>
    </r>
    <r>
      <rPr>
        <sz val="11"/>
        <color theme="1"/>
        <rFont val="Calibri"/>
        <family val="2"/>
      </rPr>
      <t xml:space="preserve"> (w_ct_m_maintenance_request)</t>
    </r>
  </si>
  <si>
    <r>
      <rPr>
        <b/>
        <sz val="11"/>
        <color theme="1"/>
        <rFont val="Calibri"/>
        <family val="2"/>
      </rPr>
      <t>System Maintenance Request Print</t>
    </r>
    <r>
      <rPr>
        <sz val="11"/>
        <color theme="1"/>
        <rFont val="Calibri"/>
        <family val="2"/>
      </rPr>
      <t xml:space="preserve"> (w_ct_m_maintenance_request_print)</t>
    </r>
  </si>
  <si>
    <r>
      <rPr>
        <b/>
        <sz val="11"/>
        <rFont val="Calibri"/>
        <family val="2"/>
      </rPr>
      <t>Task Maintenance</t>
    </r>
    <r>
      <rPr>
        <sz val="11"/>
        <rFont val="Calibri"/>
        <family val="2"/>
      </rPr>
      <t xml:space="preserve"> (w_ct_m_task_maintenance)</t>
    </r>
  </si>
  <si>
    <r>
      <rPr>
        <b/>
        <sz val="11"/>
        <color theme="1"/>
        <rFont val="Calibri"/>
        <family val="2"/>
      </rPr>
      <t xml:space="preserve">Name Maintenance </t>
    </r>
    <r>
      <rPr>
        <sz val="11"/>
        <color theme="1"/>
        <rFont val="Calibri"/>
        <family val="2"/>
      </rPr>
      <t>(w_ct_m_name_maintenance)</t>
    </r>
  </si>
  <si>
    <r>
      <rPr>
        <b/>
        <sz val="11"/>
        <color theme="1"/>
        <rFont val="Calibri"/>
        <family val="2"/>
      </rPr>
      <t>Data Fix</t>
    </r>
    <r>
      <rPr>
        <sz val="11"/>
        <color theme="1"/>
        <rFont val="Calibri"/>
        <family val="2"/>
      </rPr>
      <t xml:space="preserve"> (w_ct_m_data_fix)</t>
    </r>
  </si>
  <si>
    <r>
      <rPr>
        <b/>
        <sz val="11"/>
        <color theme="1"/>
        <rFont val="Calibri"/>
        <family val="2"/>
      </rPr>
      <t xml:space="preserve">Officer Consolidate </t>
    </r>
    <r>
      <rPr>
        <sz val="11"/>
        <color theme="1"/>
        <rFont val="Calibri"/>
        <family val="2"/>
      </rPr>
      <t>(w_ct_m_officer_merge)</t>
    </r>
  </si>
  <si>
    <t>Officer Merge</t>
  </si>
  <si>
    <r>
      <t xml:space="preserve">Officer List tab - </t>
    </r>
    <r>
      <rPr>
        <i/>
        <sz val="11"/>
        <color theme="1"/>
        <rFont val="Calibri"/>
        <family val="2"/>
      </rPr>
      <t>Print</t>
    </r>
    <r>
      <rPr>
        <sz val="11"/>
        <color theme="1"/>
        <rFont val="Calibri"/>
        <family val="2"/>
      </rPr>
      <t xml:space="preserve"> Button</t>
    </r>
  </si>
  <si>
    <t>Print dialog box</t>
  </si>
  <si>
    <r>
      <t xml:space="preserve">Officer List tab - </t>
    </r>
    <r>
      <rPr>
        <i/>
        <sz val="11"/>
        <color theme="1"/>
        <rFont val="Calibri"/>
        <family val="2"/>
      </rPr>
      <t>Consolidate</t>
    </r>
    <r>
      <rPr>
        <sz val="11"/>
        <color theme="1"/>
        <rFont val="Calibri"/>
        <family val="2"/>
      </rPr>
      <t xml:space="preserve"> button</t>
    </r>
  </si>
  <si>
    <r>
      <t xml:space="preserve">Consolidate tab - </t>
    </r>
    <r>
      <rPr>
        <i/>
        <sz val="11"/>
        <color theme="1"/>
        <rFont val="Calibri"/>
        <family val="2"/>
      </rPr>
      <t>Go</t>
    </r>
    <r>
      <rPr>
        <sz val="11"/>
        <color theme="1"/>
        <rFont val="Calibri"/>
        <family val="2"/>
      </rPr>
      <t xml:space="preserve"> button</t>
    </r>
  </si>
  <si>
    <r>
      <t xml:space="preserve">Consolidate tab - </t>
    </r>
    <r>
      <rPr>
        <i/>
        <sz val="11"/>
        <color theme="1"/>
        <rFont val="Calibri"/>
        <family val="2"/>
      </rPr>
      <t>Print Status</t>
    </r>
    <r>
      <rPr>
        <sz val="11"/>
        <color theme="1"/>
        <rFont val="Calibri"/>
        <family val="2"/>
      </rPr>
      <t xml:space="preserve"> button</t>
    </r>
  </si>
  <si>
    <r>
      <t xml:space="preserve">Consolidate tab - </t>
    </r>
    <r>
      <rPr>
        <i/>
        <sz val="11"/>
        <color theme="1"/>
        <rFont val="Calibri"/>
        <family val="2"/>
      </rPr>
      <t>Cancel</t>
    </r>
    <r>
      <rPr>
        <sz val="11"/>
        <color theme="1"/>
        <rFont val="Calibri"/>
        <family val="2"/>
      </rPr>
      <t xml:space="preserve"> button</t>
    </r>
  </si>
  <si>
    <r>
      <rPr>
        <b/>
        <sz val="11"/>
        <color theme="1"/>
        <rFont val="Calibri"/>
        <family val="2"/>
      </rPr>
      <t>Person Delete</t>
    </r>
    <r>
      <rPr>
        <sz val="11"/>
        <color theme="1"/>
        <rFont val="Calibri"/>
        <family val="2"/>
      </rPr>
      <t xml:space="preserve"> (w_ct_m_person_delete)</t>
    </r>
  </si>
  <si>
    <r>
      <rPr>
        <i/>
        <sz val="11"/>
        <color theme="1"/>
        <rFont val="Calibri"/>
        <family val="2"/>
      </rPr>
      <t>Go Delete</t>
    </r>
    <r>
      <rPr>
        <sz val="11"/>
        <color theme="1"/>
        <rFont val="Calibri"/>
        <family val="2"/>
      </rPr>
      <t xml:space="preserve"> button</t>
    </r>
  </si>
  <si>
    <r>
      <rPr>
        <i/>
        <sz val="11"/>
        <color theme="1"/>
        <rFont val="Calibri"/>
        <family val="2"/>
      </rPr>
      <t xml:space="preserve">Skip/Next </t>
    </r>
    <r>
      <rPr>
        <sz val="11"/>
        <color theme="1"/>
        <rFont val="Calibri"/>
        <family val="2"/>
      </rPr>
      <t>button</t>
    </r>
  </si>
  <si>
    <r>
      <rPr>
        <b/>
        <sz val="11"/>
        <color theme="1"/>
        <rFont val="Calibri"/>
        <family val="2"/>
      </rPr>
      <t>Purge Duplicate Filings</t>
    </r>
    <r>
      <rPr>
        <sz val="11"/>
        <color theme="1"/>
        <rFont val="Calibri"/>
        <family val="2"/>
      </rPr>
      <t xml:space="preserve"> (w_ct_m_purge_duplicate)</t>
    </r>
  </si>
  <si>
    <r>
      <t>Vlan IP ranges</t>
    </r>
    <r>
      <rPr>
        <sz val="11"/>
        <color theme="1"/>
        <rFont val="Calibri"/>
        <family val="2"/>
      </rPr>
      <t xml:space="preserve"> (w_ct_m_vlan_ip_ranges)</t>
    </r>
  </si>
  <si>
    <t>Not in CRMP, errors in CRMQ when attempting to open</t>
  </si>
  <si>
    <t>Keyboard Shortcut</t>
  </si>
  <si>
    <t>APPEALS</t>
  </si>
  <si>
    <r>
      <rPr>
        <b/>
        <sz val="11"/>
        <color theme="1"/>
        <rFont val="Calibri"/>
        <family val="2"/>
      </rPr>
      <t>Appeal Maintenance</t>
    </r>
    <r>
      <rPr>
        <sz val="11"/>
        <color theme="1"/>
        <rFont val="Calibri"/>
        <family val="2"/>
      </rPr>
      <t xml:space="preserve"> (w_ct_apl_appeal_maintenance)</t>
    </r>
  </si>
  <si>
    <t>Not used in CRMP; only 1 record in CRMQ court.APPEAL table</t>
  </si>
  <si>
    <r>
      <t xml:space="preserve">Appeal Search </t>
    </r>
    <r>
      <rPr>
        <sz val="11"/>
        <color theme="1"/>
        <rFont val="Calibri"/>
        <family val="2"/>
      </rPr>
      <t>(w_ct_r_appeal_search)</t>
    </r>
  </si>
  <si>
    <r>
      <t>Person Search</t>
    </r>
    <r>
      <rPr>
        <sz val="11"/>
        <color theme="1"/>
        <rFont val="Calibri"/>
        <family val="2"/>
      </rPr>
      <t xml:space="preserve"> (w_ct_r_person_search)</t>
    </r>
  </si>
  <si>
    <r>
      <t>Case Documents</t>
    </r>
    <r>
      <rPr>
        <sz val="11"/>
        <color theme="1"/>
        <rFont val="Calibri"/>
        <family val="2"/>
      </rPr>
      <t xml:space="preserve"> (w_ct_apl_filed_docs)</t>
    </r>
  </si>
  <si>
    <r>
      <t>Case Search</t>
    </r>
    <r>
      <rPr>
        <sz val="11"/>
        <color theme="1"/>
        <rFont val="Calibri"/>
        <family val="2"/>
      </rPr>
      <t xml:space="preserve"> (w_ct_r_case_search)</t>
    </r>
  </si>
  <si>
    <r>
      <t xml:space="preserve">Document Selection </t>
    </r>
    <r>
      <rPr>
        <sz val="11"/>
        <color theme="1"/>
        <rFont val="Calibri"/>
        <family val="2"/>
      </rPr>
      <t>(w_ct_apl_select_filed_docs)</t>
    </r>
  </si>
  <si>
    <r>
      <rPr>
        <b/>
        <sz val="11"/>
        <color theme="1"/>
        <rFont val="Calibri"/>
        <family val="2"/>
      </rPr>
      <t>Case - Defendants</t>
    </r>
    <r>
      <rPr>
        <sz val="11"/>
        <color theme="1"/>
        <rFont val="Calibri"/>
        <family val="2"/>
      </rPr>
      <t xml:space="preserve"> (w_ct_defn_lookup)</t>
    </r>
  </si>
  <si>
    <r>
      <rPr>
        <b/>
        <sz val="11"/>
        <color theme="1"/>
        <rFont val="Calibri"/>
        <family val="2"/>
      </rPr>
      <t>Person Maintenance</t>
    </r>
    <r>
      <rPr>
        <sz val="11"/>
        <color theme="1"/>
        <rFont val="Calibri"/>
        <family val="2"/>
      </rPr>
      <t xml:space="preserve"> (w_ct_m_person_maint)</t>
    </r>
  </si>
  <si>
    <r>
      <rPr>
        <b/>
        <sz val="11"/>
        <color theme="1"/>
        <rFont val="Calibri"/>
        <family val="2"/>
      </rPr>
      <t>Appeal Print</t>
    </r>
    <r>
      <rPr>
        <sz val="11"/>
        <color theme="1"/>
        <rFont val="Calibri"/>
        <family val="2"/>
      </rPr>
      <t xml:space="preserve"> (w_ct_p_apl_lettr_printing)</t>
    </r>
  </si>
  <si>
    <r>
      <rPr>
        <b/>
        <sz val="11"/>
        <color theme="1"/>
        <rFont val="Calibri"/>
        <family val="2"/>
      </rPr>
      <t>Select Hearings</t>
    </r>
    <r>
      <rPr>
        <sz val="11"/>
        <color theme="1"/>
        <rFont val="Calibri"/>
        <family val="2"/>
      </rPr>
      <t xml:space="preserve"> (w_select_hearing)</t>
    </r>
  </si>
  <si>
    <r>
      <rPr>
        <b/>
        <sz val="11"/>
        <color theme="1"/>
        <rFont val="Calibri"/>
        <family val="2"/>
      </rPr>
      <t xml:space="preserve">Case Search </t>
    </r>
    <r>
      <rPr>
        <sz val="11"/>
        <color theme="1"/>
        <rFont val="Calibri"/>
        <family val="2"/>
      </rPr>
      <t>(w_ct_r_case_search)</t>
    </r>
  </si>
  <si>
    <r>
      <rPr>
        <b/>
        <sz val="11"/>
        <color theme="1"/>
        <rFont val="Calibri"/>
        <family val="2"/>
      </rPr>
      <t>VCJIS - Court Reports Preview</t>
    </r>
    <r>
      <rPr>
        <sz val="11"/>
        <color theme="1"/>
        <rFont val="Calibri"/>
        <family val="2"/>
      </rPr>
      <t xml:space="preserve"> (w_ct_r_dckt_preview_docket_rpt)</t>
    </r>
  </si>
  <si>
    <r>
      <t xml:space="preserve">Appeal Summary </t>
    </r>
    <r>
      <rPr>
        <sz val="11"/>
        <color theme="1"/>
        <rFont val="Calibri"/>
        <family val="2"/>
      </rPr>
      <t>(w_ct_apl_appeal_summary)</t>
    </r>
  </si>
  <si>
    <t>CALENDARING</t>
  </si>
  <si>
    <r>
      <t>Calendar List</t>
    </r>
    <r>
      <rPr>
        <sz val="11"/>
        <color theme="1"/>
        <rFont val="Calibri"/>
        <family val="2"/>
      </rPr>
      <t xml:space="preserve"> (w_ct_m_cal_list)</t>
    </r>
  </si>
  <si>
    <t>Alt+Shift+L</t>
  </si>
  <si>
    <r>
      <rPr>
        <b/>
        <sz val="11"/>
        <color theme="1"/>
        <rFont val="Calibri"/>
        <family val="2"/>
      </rPr>
      <t>Post-Conviction Worksheet Report</t>
    </r>
    <r>
      <rPr>
        <sz val="11"/>
        <color theme="1"/>
        <rFont val="Calibri"/>
        <family val="2"/>
      </rPr>
      <t xml:space="preserve"> (w_ct_r_pcw)</t>
    </r>
  </si>
  <si>
    <r>
      <t>Courtroom</t>
    </r>
    <r>
      <rPr>
        <sz val="11"/>
        <color theme="1"/>
        <rFont val="Calibri"/>
        <family val="2"/>
      </rPr>
      <t xml:space="preserve"> (w_ct_courtroom)</t>
    </r>
  </si>
  <si>
    <t>Not on Vision Modules list; data pulled from 8-Courtroom</t>
  </si>
  <si>
    <r>
      <t>MOCS</t>
    </r>
    <r>
      <rPr>
        <sz val="11"/>
        <color theme="1"/>
        <rFont val="Calibri"/>
        <family val="2"/>
      </rPr>
      <t xml:space="preserve"> (w_ct_m_mocs)</t>
    </r>
  </si>
  <si>
    <r>
      <t>Calendar Report</t>
    </r>
    <r>
      <rPr>
        <sz val="11"/>
        <color theme="1"/>
        <rFont val="Calibri"/>
        <family val="2"/>
      </rPr>
      <t xml:space="preserve"> (w_ct_m_cal_report_list)</t>
    </r>
  </si>
  <si>
    <r>
      <rPr>
        <b/>
        <sz val="11"/>
        <color theme="1"/>
        <rFont val="Calibri"/>
        <family val="2"/>
      </rPr>
      <t>Calendar Batch Print</t>
    </r>
    <r>
      <rPr>
        <sz val="11"/>
        <color theme="1"/>
        <rFont val="Calibri"/>
        <family val="2"/>
      </rPr>
      <t xml:space="preserve"> (w_ct_r_batch_print)</t>
    </r>
  </si>
  <si>
    <r>
      <t xml:space="preserve">Batch Printing (web browser) </t>
    </r>
    <r>
      <rPr>
        <sz val="11"/>
        <color theme="1"/>
        <rFont val="Calibri"/>
        <family val="2"/>
      </rPr>
      <t>(w_ct_r_pdf_viewer)</t>
    </r>
  </si>
  <si>
    <r>
      <rPr>
        <i/>
        <sz val="11"/>
        <color theme="1"/>
        <rFont val="Calibri"/>
        <family val="2"/>
      </rPr>
      <t>Retrieve</t>
    </r>
    <r>
      <rPr>
        <sz val="11"/>
        <color theme="1"/>
        <rFont val="Calibri"/>
        <family val="2"/>
      </rPr>
      <t xml:space="preserve"> button</t>
    </r>
  </si>
  <si>
    <t>Not on Vision Modules list; Court Calendar message Official request yes/no message</t>
  </si>
  <si>
    <r>
      <rPr>
        <i/>
        <sz val="11"/>
        <color theme="1"/>
        <rFont val="Calibri"/>
        <family val="2"/>
      </rPr>
      <t xml:space="preserve">Sort </t>
    </r>
    <r>
      <rPr>
        <sz val="11"/>
        <color theme="1"/>
        <rFont val="Calibri"/>
        <family val="2"/>
      </rPr>
      <t>button</t>
    </r>
  </si>
  <si>
    <t>Not on Vision Modules list; Specify Sort Columns dialog box</t>
  </si>
  <si>
    <r>
      <rPr>
        <i/>
        <sz val="11"/>
        <color theme="1"/>
        <rFont val="Calibri"/>
        <family val="2"/>
      </rPr>
      <t xml:space="preserve">TC </t>
    </r>
    <r>
      <rPr>
        <sz val="11"/>
        <color theme="1"/>
        <rFont val="Calibri"/>
        <family val="2"/>
      </rPr>
      <t>button</t>
    </r>
  </si>
  <si>
    <t>Not on Vision Modules list; Print dialog box for Temporary Commitment Order document</t>
  </si>
  <si>
    <r>
      <t xml:space="preserve">Calendar Transfer </t>
    </r>
    <r>
      <rPr>
        <sz val="11"/>
        <color theme="1"/>
        <rFont val="Calibri"/>
        <family val="2"/>
      </rPr>
      <t>(w_ct_m_cal_transfer)</t>
    </r>
  </si>
  <si>
    <t>Hearing Scheduled</t>
  </si>
  <si>
    <t>Alt+Shift+F</t>
  </si>
  <si>
    <r>
      <rPr>
        <b/>
        <sz val="11"/>
        <rFont val="Calibri"/>
        <family val="2"/>
      </rPr>
      <t xml:space="preserve">Minutes </t>
    </r>
    <r>
      <rPr>
        <sz val="11"/>
        <rFont val="Calibri"/>
        <family val="2"/>
      </rPr>
      <t>(w_ct_m_docket_reporting)</t>
    </r>
  </si>
  <si>
    <r>
      <t>Calendar Transfer Notices</t>
    </r>
    <r>
      <rPr>
        <sz val="11"/>
        <color theme="1"/>
        <rFont val="Calibri"/>
        <family val="2"/>
      </rPr>
      <t xml:space="preserve"> (w_ct_m_cal_transfer_notice)</t>
    </r>
  </si>
  <si>
    <r>
      <rPr>
        <b/>
        <sz val="11"/>
        <rFont val="Calibri"/>
        <family val="2"/>
      </rPr>
      <t>Minutes</t>
    </r>
    <r>
      <rPr>
        <sz val="11"/>
        <rFont val="Calibri"/>
        <family val="2"/>
      </rPr>
      <t xml:space="preserve"> (w_ct_m_docket_reporting)</t>
    </r>
  </si>
  <si>
    <r>
      <rPr>
        <i/>
        <sz val="11"/>
        <color theme="1"/>
        <rFont val="Calibri"/>
        <family val="2"/>
      </rPr>
      <t>Print</t>
    </r>
    <r>
      <rPr>
        <sz val="11"/>
        <color theme="1"/>
        <rFont val="Calibri"/>
        <family val="2"/>
      </rPr>
      <t xml:space="preserve"> button</t>
    </r>
  </si>
  <si>
    <t>Not on Vision Modules list; Printer Setup dialog box</t>
  </si>
  <si>
    <r>
      <rPr>
        <i/>
        <sz val="11"/>
        <color theme="1"/>
        <rFont val="Calibri"/>
        <family val="2"/>
      </rPr>
      <t xml:space="preserve">Save As </t>
    </r>
    <r>
      <rPr>
        <sz val="11"/>
        <color theme="1"/>
        <rFont val="Calibri"/>
        <family val="2"/>
      </rPr>
      <t>button</t>
    </r>
  </si>
  <si>
    <t>Not on Vision Modules list; Save as Excel with headers</t>
  </si>
  <si>
    <r>
      <t xml:space="preserve">Court Closure Transfer </t>
    </r>
    <r>
      <rPr>
        <sz val="11"/>
        <color theme="1"/>
        <rFont val="Calibri"/>
        <family val="2"/>
      </rPr>
      <t>(w_ct_m_cal_close_transfer)</t>
    </r>
  </si>
  <si>
    <r>
      <t xml:space="preserve">Court Trial Transfer </t>
    </r>
    <r>
      <rPr>
        <sz val="11"/>
        <color theme="1"/>
        <rFont val="Calibri"/>
        <family val="2"/>
      </rPr>
      <t>(w_ct_m_cal_transfer_location)</t>
    </r>
  </si>
  <si>
    <r>
      <rPr>
        <i/>
        <sz val="11"/>
        <color theme="1"/>
        <rFont val="Calibri"/>
        <family val="2"/>
      </rPr>
      <t>Move</t>
    </r>
    <r>
      <rPr>
        <sz val="11"/>
        <color theme="1"/>
        <rFont val="Calibri"/>
        <family val="2"/>
      </rPr>
      <t xml:space="preserve"> button</t>
    </r>
  </si>
  <si>
    <t>Not on Vision Modules list; Confirm Move message; Proceed with move yes/no message</t>
  </si>
  <si>
    <r>
      <t>Notice of Packaged Hearings</t>
    </r>
    <r>
      <rPr>
        <sz val="11"/>
        <color theme="1"/>
        <rFont val="Calibri"/>
        <family val="2"/>
      </rPr>
      <t xml:space="preserve"> (w_ct_m_case_package_list)</t>
    </r>
  </si>
  <si>
    <r>
      <rPr>
        <i/>
        <sz val="11"/>
        <color theme="1"/>
        <rFont val="Calibri"/>
        <family val="2"/>
      </rPr>
      <t>Extract</t>
    </r>
    <r>
      <rPr>
        <sz val="11"/>
        <color theme="1"/>
        <rFont val="Calibri"/>
        <family val="2"/>
      </rPr>
      <t xml:space="preserve"> button</t>
    </r>
  </si>
  <si>
    <t>Not on Vision Modules list; Calendar Extract message; Official extract yes/no message; generates Excel file</t>
  </si>
  <si>
    <t>CASE</t>
  </si>
  <si>
    <r>
      <t>Bail Maintenance</t>
    </r>
    <r>
      <rPr>
        <b/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</rPr>
      <t>(duplicate)</t>
    </r>
  </si>
  <si>
    <r>
      <t xml:space="preserve">Case Copy &amp; Restore </t>
    </r>
    <r>
      <rPr>
        <sz val="11"/>
        <color theme="1"/>
        <rFont val="Calibri"/>
        <family val="2"/>
      </rPr>
      <t>(w_ct_m_case_backup_trg)</t>
    </r>
  </si>
  <si>
    <r>
      <t>Case Maintenance</t>
    </r>
    <r>
      <rPr>
        <sz val="11"/>
        <color theme="1"/>
        <rFont val="Calibri"/>
        <family val="2"/>
      </rPr>
      <t xml:space="preserve"> (w_ct_m_case_maint)</t>
    </r>
  </si>
  <si>
    <r>
      <t xml:space="preserve">Person Maintenance </t>
    </r>
    <r>
      <rPr>
        <sz val="11"/>
        <color theme="1"/>
        <rFont val="Calibri"/>
        <family val="2"/>
      </rPr>
      <t>(w_ct_m_person_select)</t>
    </r>
  </si>
  <si>
    <r>
      <t xml:space="preserve">Person Information Select </t>
    </r>
    <r>
      <rPr>
        <sz val="11"/>
        <color theme="1"/>
        <rFont val="Calibri"/>
        <family val="2"/>
      </rPr>
      <t>(w_ct_m_person_select)</t>
    </r>
  </si>
  <si>
    <r>
      <rPr>
        <b/>
        <sz val="11"/>
        <rFont val="Calibri"/>
        <family val="2"/>
      </rPr>
      <t>Person Search</t>
    </r>
    <r>
      <rPr>
        <sz val="11"/>
        <rFont val="Calibri"/>
        <family val="2"/>
      </rPr>
      <t xml:space="preserve"> (w_ct_r_person_search)</t>
    </r>
  </si>
  <si>
    <r>
      <rPr>
        <b/>
        <sz val="11"/>
        <color theme="1"/>
        <rFont val="Calibri"/>
        <family val="2"/>
      </rPr>
      <t>Simple Case Search</t>
    </r>
    <r>
      <rPr>
        <sz val="11"/>
        <color theme="1"/>
        <rFont val="Calibri"/>
        <family val="2"/>
      </rPr>
      <t xml:space="preserve"> (w_ct_r_simple_search)</t>
    </r>
  </si>
  <si>
    <r>
      <rPr>
        <b/>
        <sz val="11"/>
        <color theme="1"/>
        <rFont val="Calibri"/>
        <family val="2"/>
      </rPr>
      <t>Case Search</t>
    </r>
    <r>
      <rPr>
        <sz val="11"/>
        <color theme="1"/>
        <rFont val="Calibri"/>
        <family val="2"/>
      </rPr>
      <t xml:space="preserve"> (w_ct_r_case_search)</t>
    </r>
  </si>
  <si>
    <r>
      <t>Vision Public Case - Input</t>
    </r>
    <r>
      <rPr>
        <sz val="11"/>
        <color theme="1"/>
        <rFont val="Calibri"/>
        <family val="2"/>
      </rPr>
      <t xml:space="preserve"> (w_ct_r_public_case_input)</t>
    </r>
  </si>
  <si>
    <t>CSMANL</t>
  </si>
  <si>
    <r>
      <t xml:space="preserve">Bail Schedule Maintenance Response </t>
    </r>
    <r>
      <rPr>
        <sz val="11"/>
        <color theme="1"/>
        <rFont val="Calibri"/>
        <family val="2"/>
      </rPr>
      <t>(w_ct_r_fscl_bail_sched_maint_response)</t>
    </r>
  </si>
  <si>
    <r>
      <t xml:space="preserve">Show History (Bail Schedule) </t>
    </r>
    <r>
      <rPr>
        <sz val="11"/>
        <color theme="1"/>
        <rFont val="Calibri"/>
        <family val="2"/>
      </rPr>
      <t>(w_ct_r_bail_sched_hist_rpt)</t>
    </r>
  </si>
  <si>
    <t>Quick Add/Person Maintenance (w_ct_m_person_select)</t>
  </si>
  <si>
    <t>Not on Vision Modules list; Case Maintenance &gt; Case Search (No exact match found), New &gt; Person Search (No exact match found), New &gt; Quick Add window &gt; Person Maintenance</t>
  </si>
  <si>
    <t>Unavailable Court Dates window</t>
  </si>
  <si>
    <t>Not on Vision Modules list; 6-Rel/Appear "Unavailable Dates" button; displays Court Holiday / Cour Dark Days</t>
  </si>
  <si>
    <t>Case Dates window</t>
  </si>
  <si>
    <t>Not on Vision Modules list; 6-Rel/Appear "Case Dates" button; displays other hearing dates for case</t>
  </si>
  <si>
    <t>Other Cases window</t>
  </si>
  <si>
    <t>Not on Vision Modules list; 6-Rel/Appear "Other Cases" button; displays other cases to calendar</t>
  </si>
  <si>
    <r>
      <rPr>
        <b/>
        <sz val="11"/>
        <rFont val="Calibri"/>
        <family val="2"/>
      </rPr>
      <t>Case Maintenance Blazor</t>
    </r>
    <r>
      <rPr>
        <sz val="11"/>
        <rFont val="Calibri"/>
        <family val="2"/>
      </rPr>
      <t xml:space="preserve"> (w_ct_m_case_maint_bzr)</t>
    </r>
  </si>
  <si>
    <r>
      <t>Case Summary</t>
    </r>
    <r>
      <rPr>
        <sz val="11"/>
        <color theme="1"/>
        <rFont val="Calibri"/>
        <family val="2"/>
      </rPr>
      <t xml:space="preserve"> (w_ct_m_case_summary)</t>
    </r>
  </si>
  <si>
    <r>
      <t xml:space="preserve">Close Elig? </t>
    </r>
    <r>
      <rPr>
        <sz val="11"/>
        <color theme="1"/>
        <rFont val="Calibri"/>
        <family val="2"/>
      </rPr>
      <t>(w_ct_r_case_closure_eligible)</t>
    </r>
  </si>
  <si>
    <r>
      <rPr>
        <b/>
        <sz val="11"/>
        <color rgb="FFFF0000"/>
        <rFont val="Calibri"/>
        <family val="2"/>
      </rPr>
      <t>?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(w_ct_r_case_amnesty_granted)</t>
    </r>
  </si>
  <si>
    <t>On Vision Modules not sure where this is in Case Summary</t>
  </si>
  <si>
    <r>
      <rPr>
        <b/>
        <sz val="11"/>
        <color rgb="FFFF0000"/>
        <rFont val="Calibri"/>
        <family val="2"/>
      </rPr>
      <t>?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(w_ct_r_cmmn_dw)</t>
    </r>
  </si>
  <si>
    <t>ATP Elig?</t>
  </si>
  <si>
    <t>Not on Vision Modules list; ATP Eligibility Check dialog box</t>
  </si>
  <si>
    <r>
      <rPr>
        <i/>
        <sz val="11"/>
        <color theme="1"/>
        <rFont val="Calibri"/>
        <family val="2"/>
      </rPr>
      <t xml:space="preserve">CIS Sheet </t>
    </r>
    <r>
      <rPr>
        <sz val="11"/>
        <color theme="1"/>
        <rFont val="Calibri"/>
        <family val="2"/>
      </rPr>
      <t>button</t>
    </r>
  </si>
  <si>
    <t>Not on Vision Modules list; prints CIS</t>
  </si>
  <si>
    <r>
      <t xml:space="preserve">Case Transfer </t>
    </r>
    <r>
      <rPr>
        <sz val="11"/>
        <color theme="1"/>
        <rFont val="Calibri"/>
        <family val="2"/>
      </rPr>
      <t>(w_ct_m_case_transfer)</t>
    </r>
  </si>
  <si>
    <r>
      <t>Minutes</t>
    </r>
    <r>
      <rPr>
        <sz val="11"/>
        <color theme="1"/>
        <rFont val="Calibri"/>
        <family val="2"/>
      </rPr>
      <t xml:space="preserve"> (w_ct_m_docket_reporting)</t>
    </r>
  </si>
  <si>
    <r>
      <rPr>
        <i/>
        <sz val="11"/>
        <color theme="1"/>
        <rFont val="Calibri"/>
        <family val="2"/>
      </rPr>
      <t xml:space="preserve">Import </t>
    </r>
    <r>
      <rPr>
        <sz val="11"/>
        <color theme="1"/>
        <rFont val="Calibri"/>
        <family val="2"/>
      </rPr>
      <t>button</t>
    </r>
  </si>
  <si>
    <t>Not on Vision Modules list; Select File dialog box</t>
  </si>
  <si>
    <r>
      <t xml:space="preserve">Citation Batches / Batch Entry </t>
    </r>
    <r>
      <rPr>
        <sz val="11"/>
        <color theme="1"/>
        <rFont val="Calibri"/>
        <family val="2"/>
      </rPr>
      <t>(w_ct_m_cite_batch_entry)</t>
    </r>
  </si>
  <si>
    <r>
      <t xml:space="preserve">Batch Entry tab - </t>
    </r>
    <r>
      <rPr>
        <i/>
        <sz val="11"/>
        <color theme="1"/>
        <rFont val="Calibri"/>
        <family val="2"/>
      </rPr>
      <t xml:space="preserve">Retrieve, Save, Print, Next Batch </t>
    </r>
    <r>
      <rPr>
        <sz val="11"/>
        <color theme="1"/>
        <rFont val="Calibri"/>
        <family val="2"/>
      </rPr>
      <t>buttons</t>
    </r>
  </si>
  <si>
    <t>Not on Vision Modules list; unsure of button functionality</t>
  </si>
  <si>
    <r>
      <t xml:space="preserve">Transmittal tab - </t>
    </r>
    <r>
      <rPr>
        <i/>
        <sz val="11"/>
        <color theme="1"/>
        <rFont val="Calibri"/>
        <family val="2"/>
      </rPr>
      <t xml:space="preserve">Retrieve, Create Transmittal </t>
    </r>
    <r>
      <rPr>
        <sz val="11"/>
        <color theme="1"/>
        <rFont val="Calibri"/>
        <family val="2"/>
      </rPr>
      <t>buttons</t>
    </r>
  </si>
  <si>
    <r>
      <t xml:space="preserve">Reconciliation tab - </t>
    </r>
    <r>
      <rPr>
        <i/>
        <sz val="11"/>
        <color theme="1"/>
        <rFont val="Calibri"/>
        <family val="2"/>
      </rPr>
      <t xml:space="preserve">Retrieve, Save </t>
    </r>
    <r>
      <rPr>
        <sz val="11"/>
        <color theme="1"/>
        <rFont val="Calibri"/>
        <family val="2"/>
      </rPr>
      <t>buttons</t>
    </r>
  </si>
  <si>
    <r>
      <t xml:space="preserve">Citation Entry </t>
    </r>
    <r>
      <rPr>
        <sz val="11"/>
        <rFont val="Calibri"/>
        <family val="2"/>
      </rPr>
      <t>(w_ct_m_case_citation_entry)</t>
    </r>
  </si>
  <si>
    <t>Number of tabpages aligns with CRMQ</t>
  </si>
  <si>
    <r>
      <rPr>
        <b/>
        <sz val="11"/>
        <color theme="1"/>
        <rFont val="Calibri"/>
        <family val="2"/>
      </rPr>
      <t>Print Imaging Barcode Sheet</t>
    </r>
    <r>
      <rPr>
        <sz val="11"/>
        <color theme="1"/>
        <rFont val="Calibri"/>
        <family val="2"/>
      </rPr>
      <t xml:space="preserve"> (w_ct_r_barcode_print)</t>
    </r>
  </si>
  <si>
    <r>
      <t xml:space="preserve">DMV Case Backup/Restore </t>
    </r>
    <r>
      <rPr>
        <sz val="11"/>
        <color theme="1"/>
        <rFont val="Calibri"/>
        <family val="2"/>
      </rPr>
      <t>(w_ct_m_dmv_case_copy_restore)</t>
    </r>
  </si>
  <si>
    <r>
      <rPr>
        <b/>
        <sz val="11"/>
        <color theme="1"/>
        <rFont val="Calibri"/>
        <family val="2"/>
      </rPr>
      <t>Image Viewer</t>
    </r>
    <r>
      <rPr>
        <b/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</rPr>
      <t>(duplicate)</t>
    </r>
  </si>
  <si>
    <r>
      <rPr>
        <b/>
        <sz val="11"/>
        <color theme="1"/>
        <rFont val="Calibri"/>
        <family val="2"/>
      </rPr>
      <t xml:space="preserve">LEA Interface </t>
    </r>
    <r>
      <rPr>
        <sz val="11"/>
        <color theme="1"/>
        <rFont val="Calibri"/>
        <family val="2"/>
      </rPr>
      <t>(w_ct_m_case_lea_interface)</t>
    </r>
  </si>
  <si>
    <r>
      <t xml:space="preserve">1-Import </t>
    </r>
    <r>
      <rPr>
        <i/>
        <sz val="11"/>
        <color theme="1"/>
        <rFont val="Calibri"/>
        <family val="2"/>
      </rPr>
      <t xml:space="preserve">Select </t>
    </r>
    <r>
      <rPr>
        <sz val="11"/>
        <color theme="1"/>
        <rFont val="Calibri"/>
        <family val="2"/>
      </rPr>
      <t>button</t>
    </r>
  </si>
  <si>
    <r>
      <rPr>
        <i/>
        <sz val="11"/>
        <color theme="1"/>
        <rFont val="Calibri"/>
        <family val="2"/>
      </rPr>
      <t xml:space="preserve">Process </t>
    </r>
    <r>
      <rPr>
        <sz val="11"/>
        <color theme="1"/>
        <rFont val="Calibri"/>
        <family val="2"/>
      </rPr>
      <t>buttons (1-Import, 2-Export)</t>
    </r>
  </si>
  <si>
    <r>
      <rPr>
        <b/>
        <sz val="11"/>
        <color theme="1"/>
        <rFont val="Calibri"/>
        <family val="2"/>
      </rPr>
      <t xml:space="preserve">Mass Case/Calendar Copy </t>
    </r>
    <r>
      <rPr>
        <sz val="11"/>
        <color theme="1"/>
        <rFont val="Calibri"/>
        <family val="2"/>
      </rPr>
      <t>(w_ct_m_mass_case_copy)</t>
    </r>
  </si>
  <si>
    <r>
      <rPr>
        <b/>
        <sz val="11"/>
        <color theme="1"/>
        <rFont val="Calibri"/>
        <family val="2"/>
      </rPr>
      <t xml:space="preserve">MCS Interface/Case Maintenance </t>
    </r>
    <r>
      <rPr>
        <sz val="11"/>
        <color theme="1"/>
        <rFont val="Calibri"/>
        <family val="2"/>
      </rPr>
      <t>(w_ct_m_case_maint)</t>
    </r>
  </si>
  <si>
    <t>"Error! Unable to get value from INTERFACE_PARMS.OF_GET_INTERFACEPARM Failed." message in CRMP</t>
  </si>
  <si>
    <t>Case Search - MCS to SCS Case Transfer window</t>
  </si>
  <si>
    <t>Not on Vision Modules list; displays after error message above</t>
  </si>
  <si>
    <r>
      <rPr>
        <b/>
        <sz val="11"/>
        <color theme="1"/>
        <rFont val="Calibri"/>
        <family val="2"/>
      </rPr>
      <t>Missing Complaint</t>
    </r>
    <r>
      <rPr>
        <sz val="11"/>
        <color theme="1"/>
        <rFont val="Calibri"/>
        <family val="2"/>
      </rPr>
      <t xml:space="preserve"> (w_ct_m_case_missing_complaint)</t>
    </r>
  </si>
  <si>
    <t>Not on Vision Modules list; launches when window is opened</t>
  </si>
  <si>
    <r>
      <t>Agency Payment</t>
    </r>
    <r>
      <rPr>
        <sz val="11"/>
        <color theme="1"/>
        <rFont val="Calibri"/>
        <family val="2"/>
      </rPr>
      <t xml:space="preserve"> (w_ct_m_agency_payment)</t>
    </r>
  </si>
  <si>
    <t>Cannot access Agency Payment from Missing Complaint</t>
  </si>
  <si>
    <r>
      <rPr>
        <sz val="11"/>
        <color rgb="FFFF0000"/>
        <rFont val="Calibri"/>
        <family val="2"/>
      </rPr>
      <t>?</t>
    </r>
    <r>
      <rPr>
        <sz val="11"/>
        <color theme="1"/>
        <rFont val="Calibri"/>
        <family val="2"/>
      </rPr>
      <t xml:space="preserve"> (w_ct_r_defendant_name)</t>
    </r>
  </si>
  <si>
    <t>Not on Vision Modules list; 3-Release/Appearances "Unavailable Dates" button; displays Court Holiday / Cour Dark Days</t>
  </si>
  <si>
    <t>Not on Vision Modules list; 3-Release/Appearances "Case Dates" button; displays other hearing dates for case</t>
  </si>
  <si>
    <t>Not on Vision Modules list; 3-Release/Appearances "Other Cases" button; displays other cases to calendar</t>
  </si>
  <si>
    <r>
      <t xml:space="preserve">4-Cash Bail: </t>
    </r>
    <r>
      <rPr>
        <i/>
        <sz val="11"/>
        <color theme="1"/>
        <rFont val="Calibri"/>
        <family val="2"/>
      </rPr>
      <t xml:space="preserve">Add Cash Bail </t>
    </r>
    <r>
      <rPr>
        <sz val="11"/>
        <color theme="1"/>
        <rFont val="Calibri"/>
        <family val="2"/>
      </rPr>
      <t>button</t>
    </r>
  </si>
  <si>
    <t>Not on Vision Modules list; 4-Cash Bail tab after Add Cash Bail button selected</t>
  </si>
  <si>
    <r>
      <rPr>
        <b/>
        <sz val="11"/>
        <color theme="1"/>
        <rFont val="Calibri"/>
        <family val="2"/>
      </rPr>
      <t>Person Search</t>
    </r>
    <r>
      <rPr>
        <sz val="11"/>
        <color theme="1"/>
        <rFont val="Calibri"/>
        <family val="2"/>
      </rPr>
      <t xml:space="preserve"> (w_ct_r_person_search)</t>
    </r>
  </si>
  <si>
    <r>
      <t xml:space="preserve">Not on Vision Modules list; launches after </t>
    </r>
    <r>
      <rPr>
        <i/>
        <sz val="11"/>
        <color theme="1"/>
        <rFont val="Calibri"/>
        <family val="2"/>
      </rPr>
      <t xml:space="preserve">Add Cash Bail </t>
    </r>
    <r>
      <rPr>
        <sz val="11"/>
        <color theme="1"/>
        <rFont val="Calibri"/>
        <family val="2"/>
      </rPr>
      <t>button selected</t>
    </r>
  </si>
  <si>
    <r>
      <rPr>
        <i/>
        <sz val="11"/>
        <color theme="1"/>
        <rFont val="Calibri"/>
        <family val="2"/>
      </rPr>
      <t xml:space="preserve">Accept Payment </t>
    </r>
    <r>
      <rPr>
        <sz val="11"/>
        <color theme="1"/>
        <rFont val="Calibri"/>
        <family val="2"/>
      </rPr>
      <t>button</t>
    </r>
  </si>
  <si>
    <t>Not on Vision Modules list; appears after depositor selected</t>
  </si>
  <si>
    <t>Not on Vision Modules list; Related to Accept Payment</t>
  </si>
  <si>
    <r>
      <t xml:space="preserve">NCIC Case Initiation </t>
    </r>
    <r>
      <rPr>
        <sz val="11"/>
        <color theme="1"/>
        <rFont val="Calibri"/>
        <family val="2"/>
      </rPr>
      <t>(w_ct_m_case_maint_ncic)</t>
    </r>
  </si>
  <si>
    <t>01/27/25: Not in CRMP</t>
  </si>
  <si>
    <r>
      <t>Case Maintenance</t>
    </r>
    <r>
      <rPr>
        <sz val="11"/>
        <rFont val="Calibri"/>
        <family val="2"/>
      </rPr>
      <t xml:space="preserve"> (w_ct_m_case_maint)</t>
    </r>
  </si>
  <si>
    <r>
      <t xml:space="preserve">Person Information Select </t>
    </r>
    <r>
      <rPr>
        <sz val="11"/>
        <rFont val="Calibri"/>
        <family val="2"/>
      </rPr>
      <t>(w_ct_m_person_select)</t>
    </r>
  </si>
  <si>
    <r>
      <rPr>
        <b/>
        <sz val="11"/>
        <rFont val="Calibri"/>
        <family val="2"/>
      </rPr>
      <t>Simple Case Search</t>
    </r>
    <r>
      <rPr>
        <sz val="11"/>
        <rFont val="Calibri"/>
        <family val="2"/>
      </rPr>
      <t xml:space="preserve"> (w_ct_r_simple_search)</t>
    </r>
  </si>
  <si>
    <r>
      <rPr>
        <b/>
        <sz val="11"/>
        <rFont val="Calibri"/>
        <family val="2"/>
      </rPr>
      <t>Case Search</t>
    </r>
    <r>
      <rPr>
        <sz val="11"/>
        <rFont val="Calibri"/>
        <family val="2"/>
      </rPr>
      <t xml:space="preserve"> (w_ct_r_case_search)</t>
    </r>
  </si>
  <si>
    <r>
      <t>Vision Public Case - Input</t>
    </r>
    <r>
      <rPr>
        <sz val="11"/>
        <rFont val="Calibri"/>
        <family val="2"/>
      </rPr>
      <t xml:space="preserve"> (w_ct_r_public_case_input)</t>
    </r>
  </si>
  <si>
    <r>
      <t xml:space="preserve">Bail Schedule Maintenance Response </t>
    </r>
    <r>
      <rPr>
        <sz val="11"/>
        <rFont val="Calibri"/>
        <family val="2"/>
      </rPr>
      <t>(w_ct_r_fscl_bail_sched_maint_response)</t>
    </r>
  </si>
  <si>
    <r>
      <t xml:space="preserve">Show History (Bail Schedule) </t>
    </r>
    <r>
      <rPr>
        <sz val="11"/>
        <rFont val="Calibri"/>
        <family val="2"/>
      </rPr>
      <t>(w_ct_r_bail_sched_hist_rpt)</t>
    </r>
  </si>
  <si>
    <r>
      <t xml:space="preserve">Priors </t>
    </r>
    <r>
      <rPr>
        <sz val="11"/>
        <color theme="1"/>
        <rFont val="Calibri"/>
        <family val="2"/>
      </rPr>
      <t>(w_ct_m_case_priors)</t>
    </r>
  </si>
  <si>
    <t>Person Search - No Matching Records Found message</t>
  </si>
  <si>
    <t>Not on Vision Modules list; launches after no match from search</t>
  </si>
  <si>
    <t>Is this the Quick Add?</t>
  </si>
  <si>
    <r>
      <rPr>
        <b/>
        <sz val="11"/>
        <color theme="1"/>
        <rFont val="Calibri"/>
        <family val="2"/>
      </rPr>
      <t>Case Maintenance</t>
    </r>
    <r>
      <rPr>
        <sz val="11"/>
        <color theme="1"/>
        <rFont val="Calibri"/>
        <family val="2"/>
      </rPr>
      <t xml:space="preserve"> (w_ct_m_case_maint)</t>
    </r>
  </si>
  <si>
    <r>
      <t>Admin Minutes Entry</t>
    </r>
    <r>
      <rPr>
        <sz val="11"/>
        <color theme="1"/>
        <rFont val="Calibri"/>
        <family val="2"/>
      </rPr>
      <t xml:space="preserve"> (w_ct_courtroom)</t>
    </r>
  </si>
  <si>
    <r>
      <t>CIS, Min &amp; Other</t>
    </r>
    <r>
      <rPr>
        <sz val="11"/>
        <color theme="1"/>
        <rFont val="Calibri"/>
        <family val="2"/>
      </rPr>
      <t xml:space="preserve"> (w_ct_m_case_priors_print_spec)</t>
    </r>
  </si>
  <si>
    <t>Print - Copies Spec. window</t>
  </si>
  <si>
    <r>
      <t>Bail Schedule Maintenance Response</t>
    </r>
    <r>
      <rPr>
        <sz val="11"/>
        <color theme="1"/>
        <rFont val="Calibri"/>
        <family val="2"/>
      </rPr>
      <t xml:space="preserve"> (w_ct_r_fscl_bail_sched_maint_response)</t>
    </r>
  </si>
  <si>
    <t>COLLECTIONS</t>
  </si>
  <si>
    <t>Not on Vision Modules list</t>
  </si>
  <si>
    <r>
      <t>Assign Account</t>
    </r>
    <r>
      <rPr>
        <sz val="11"/>
        <color theme="1"/>
        <rFont val="Calibri"/>
        <family val="2"/>
      </rPr>
      <t xml:space="preserve"> (w_ct_m_coll_account_assign)</t>
    </r>
  </si>
  <si>
    <t>Collection Account Assignment window</t>
  </si>
  <si>
    <r>
      <t xml:space="preserve">Campaign Maintenance </t>
    </r>
    <r>
      <rPr>
        <sz val="11"/>
        <color theme="1"/>
        <rFont val="Calibri"/>
        <family val="2"/>
      </rPr>
      <t>(w_ct_m_coll_campaign_maint)</t>
    </r>
  </si>
  <si>
    <r>
      <t xml:space="preserve">Collections </t>
    </r>
    <r>
      <rPr>
        <sz val="11"/>
        <color theme="1"/>
        <rFont val="Calibri"/>
        <family val="2"/>
      </rPr>
      <t>(w_ct_m_coll_collections)</t>
    </r>
  </si>
  <si>
    <r>
      <t>Simple Case Search</t>
    </r>
    <r>
      <rPr>
        <sz val="11"/>
        <color theme="1"/>
        <rFont val="Calibri"/>
        <family val="2"/>
      </rPr>
      <t xml:space="preserve"> (w_ct_r_simple_search)</t>
    </r>
  </si>
  <si>
    <t>Not on Vision Modules list; launches when opening Collections</t>
  </si>
  <si>
    <t>Main/Active/Case Maintenance</t>
  </si>
  <si>
    <r>
      <t>Person Maintenance</t>
    </r>
    <r>
      <rPr>
        <sz val="11"/>
        <color theme="1"/>
        <rFont val="Calibri"/>
        <family val="2"/>
      </rPr>
      <t xml:space="preserve"> (w_ct_m_person_maint)</t>
    </r>
  </si>
  <si>
    <t>Main/Active/Person Maintenance</t>
  </si>
  <si>
    <r>
      <t>Person Information Select</t>
    </r>
    <r>
      <rPr>
        <sz val="11"/>
        <color theme="1"/>
        <rFont val="Calibri"/>
        <family val="2"/>
      </rPr>
      <t xml:space="preserve"> (w_ct_m_person_select)</t>
    </r>
  </si>
  <si>
    <r>
      <t xml:space="preserve">Agreement To Pay and Forfeit Bail in Installment </t>
    </r>
    <r>
      <rPr>
        <sz val="11"/>
        <color theme="1"/>
        <rFont val="Calibri"/>
        <family val="2"/>
      </rPr>
      <t>(w_ct_r_agree_pay_bf)</t>
    </r>
  </si>
  <si>
    <r>
      <t>?</t>
    </r>
    <r>
      <rPr>
        <sz val="11"/>
        <color theme="1"/>
        <rFont val="Calibri"/>
        <family val="2"/>
      </rPr>
      <t xml:space="preserve"> (w_ct_r_cmmn_dw)</t>
    </r>
  </si>
  <si>
    <r>
      <rPr>
        <b/>
        <sz val="11"/>
        <color theme="1"/>
        <rFont val="Calibri"/>
        <family val="2"/>
      </rPr>
      <t xml:space="preserve">Accept Payment </t>
    </r>
    <r>
      <rPr>
        <sz val="11"/>
        <color theme="1"/>
        <rFont val="Calibri"/>
        <family val="2"/>
      </rPr>
      <t>(w_ct_r_payment)</t>
    </r>
  </si>
  <si>
    <r>
      <t>Notes</t>
    </r>
    <r>
      <rPr>
        <sz val="11"/>
        <color theme="1"/>
        <rFont val="Calibri"/>
        <family val="2"/>
      </rPr>
      <t xml:space="preserve"> (w_ct_r_cmmn_note)</t>
    </r>
  </si>
  <si>
    <r>
      <t xml:space="preserve">Collections Campaign Queue </t>
    </r>
    <r>
      <rPr>
        <sz val="11"/>
        <color theme="1"/>
        <rFont val="Calibri"/>
        <family val="2"/>
      </rPr>
      <t>(w_ct_m_coll_campaign_queue)</t>
    </r>
  </si>
  <si>
    <r>
      <t>Collections / Open Collections Window button</t>
    </r>
    <r>
      <rPr>
        <sz val="11"/>
        <color theme="1"/>
        <rFont val="Calibri"/>
        <family val="2"/>
      </rPr>
      <t xml:space="preserve"> (w_ct_m_coll_collections)</t>
    </r>
  </si>
  <si>
    <r>
      <t xml:space="preserve">Not on Vision Modules list; launches when double-click case on 1-Campaign List tab or </t>
    </r>
    <r>
      <rPr>
        <i/>
        <sz val="11"/>
        <color theme="1"/>
        <rFont val="Calibri"/>
        <family val="2"/>
      </rPr>
      <t xml:space="preserve">Open Collections Window </t>
    </r>
    <r>
      <rPr>
        <sz val="11"/>
        <color theme="1"/>
        <rFont val="Calibri"/>
        <family val="2"/>
      </rPr>
      <t>button</t>
    </r>
  </si>
  <si>
    <r>
      <t xml:space="preserve">Save As </t>
    </r>
    <r>
      <rPr>
        <sz val="11"/>
        <color theme="1"/>
        <rFont val="Calibri"/>
        <family val="2"/>
      </rPr>
      <t>button</t>
    </r>
  </si>
  <si>
    <t>Not on Vision Modules list; saves as Excel</t>
  </si>
  <si>
    <r>
      <t xml:space="preserve">Export </t>
    </r>
    <r>
      <rPr>
        <sz val="11"/>
        <color theme="1"/>
        <rFont val="Calibri"/>
        <family val="2"/>
      </rPr>
      <t>button</t>
    </r>
  </si>
  <si>
    <r>
      <t xml:space="preserve">Collections Person Interface </t>
    </r>
    <r>
      <rPr>
        <sz val="11"/>
        <color theme="1"/>
        <rFont val="Calibri"/>
        <family val="2"/>
      </rPr>
      <t>(w_ct_m_coll_person_interface)</t>
    </r>
  </si>
  <si>
    <t xml:space="preserve">Advanced Case Search </t>
  </si>
  <si>
    <r>
      <t>Collections Campaign Queue</t>
    </r>
    <r>
      <rPr>
        <sz val="11"/>
        <color rgb="FFFF0000"/>
        <rFont val="Calibri"/>
        <family val="2"/>
      </rPr>
      <t xml:space="preserve"> (w_ct_m_coll_person_interface)</t>
    </r>
  </si>
  <si>
    <t>Window name is different from 5.40 - not sure if same window</t>
  </si>
  <si>
    <r>
      <t xml:space="preserve">Queue Rows </t>
    </r>
    <r>
      <rPr>
        <sz val="11"/>
        <color theme="1"/>
        <rFont val="Calibri"/>
        <family val="2"/>
      </rPr>
      <t>button (2-Outbound Export tab)</t>
    </r>
  </si>
  <si>
    <r>
      <t xml:space="preserve">Export To Files </t>
    </r>
    <r>
      <rPr>
        <sz val="11"/>
        <color theme="1"/>
        <rFont val="Calibri"/>
        <family val="2"/>
      </rPr>
      <t>button (2-Outbound Export tab)</t>
    </r>
  </si>
  <si>
    <r>
      <t xml:space="preserve">Import </t>
    </r>
    <r>
      <rPr>
        <sz val="11"/>
        <color theme="1"/>
        <rFont val="Calibri"/>
        <family val="2"/>
      </rPr>
      <t>button (3-Inbound Import tab)</t>
    </r>
  </si>
  <si>
    <r>
      <t xml:space="preserve">Collections Work Queue </t>
    </r>
    <r>
      <rPr>
        <sz val="11"/>
        <color theme="1"/>
        <rFont val="Calibri"/>
        <family val="2"/>
      </rPr>
      <t>(w_ct_m_coll_work_queue)</t>
    </r>
  </si>
  <si>
    <t>Couldn't open in CRMQ to validate</t>
  </si>
  <si>
    <t>Open Collections Window button</t>
  </si>
  <si>
    <r>
      <t>Collector Maintenance</t>
    </r>
    <r>
      <rPr>
        <sz val="11"/>
        <color theme="1"/>
        <rFont val="Calibri"/>
        <family val="2"/>
      </rPr>
      <t xml:space="preserve"> (w_ct_m_coll_collector_maint)</t>
    </r>
  </si>
  <si>
    <r>
      <rPr>
        <b/>
        <sz val="11"/>
        <color theme="1"/>
        <rFont val="Calibri"/>
        <family val="2"/>
      </rPr>
      <t>Financial Evaluation</t>
    </r>
    <r>
      <rPr>
        <sz val="11"/>
        <color theme="1"/>
        <rFont val="Calibri"/>
        <family val="2"/>
      </rPr>
      <t xml:space="preserve"> (w_ct_m_coll_fin_eval_list)</t>
    </r>
  </si>
  <si>
    <r>
      <rPr>
        <i/>
        <sz val="11"/>
        <color theme="1"/>
        <rFont val="Calibri"/>
        <family val="2"/>
      </rPr>
      <t xml:space="preserve">Print Schedule </t>
    </r>
    <r>
      <rPr>
        <sz val="11"/>
        <color theme="1"/>
        <rFont val="Calibri"/>
        <family val="2"/>
      </rPr>
      <t>button</t>
    </r>
  </si>
  <si>
    <t>Not on Vision Modules list; launches print dialog window</t>
  </si>
  <si>
    <r>
      <rPr>
        <i/>
        <sz val="11"/>
        <color theme="1"/>
        <rFont val="Calibri"/>
        <family val="2"/>
      </rPr>
      <t xml:space="preserve">Close </t>
    </r>
    <r>
      <rPr>
        <sz val="11"/>
        <color theme="1"/>
        <rFont val="Calibri"/>
        <family val="2"/>
      </rPr>
      <t>button</t>
    </r>
  </si>
  <si>
    <t>Not on Vision Modules list; closes window</t>
  </si>
  <si>
    <r>
      <t xml:space="preserve">FTBCOD Interface </t>
    </r>
    <r>
      <rPr>
        <sz val="11"/>
        <color theme="1"/>
        <rFont val="Calibri"/>
        <family val="2"/>
      </rPr>
      <t>(w_ct_m_case_ftbcod_select)</t>
    </r>
  </si>
  <si>
    <t>Launched by double-click row</t>
  </si>
  <si>
    <r>
      <rPr>
        <i/>
        <sz val="11"/>
        <color theme="1"/>
        <rFont val="Calibri"/>
        <family val="2"/>
      </rPr>
      <t xml:space="preserve">Select All </t>
    </r>
    <r>
      <rPr>
        <sz val="11"/>
        <color theme="1"/>
        <rFont val="Calibri"/>
        <family val="2"/>
      </rPr>
      <t>button (1-Pending Cases tab)</t>
    </r>
  </si>
  <si>
    <t>Not on Vision Modules list; checks all cases</t>
  </si>
  <si>
    <r>
      <rPr>
        <i/>
        <sz val="11"/>
        <color theme="1"/>
        <rFont val="Calibri"/>
        <family val="2"/>
      </rPr>
      <t xml:space="preserve">Clear All </t>
    </r>
    <r>
      <rPr>
        <sz val="11"/>
        <color theme="1"/>
        <rFont val="Calibri"/>
        <family val="2"/>
      </rPr>
      <t>button (1-Pending Cases tab)</t>
    </r>
  </si>
  <si>
    <t>Not on Vision Modules list; unchecks all cases</t>
  </si>
  <si>
    <r>
      <rPr>
        <i/>
        <sz val="11"/>
        <color theme="1"/>
        <rFont val="Calibri"/>
        <family val="2"/>
      </rPr>
      <t>Refresh</t>
    </r>
    <r>
      <rPr>
        <sz val="11"/>
        <color theme="1"/>
        <rFont val="Calibri"/>
        <family val="2"/>
      </rPr>
      <t xml:space="preserve"> button (1-Pending Cases tab)</t>
    </r>
  </si>
  <si>
    <r>
      <rPr>
        <i/>
        <sz val="11"/>
        <color theme="1"/>
        <rFont val="Calibri"/>
        <family val="2"/>
      </rPr>
      <t xml:space="preserve">Exclude Held Cases </t>
    </r>
    <r>
      <rPr>
        <sz val="11"/>
        <color theme="1"/>
        <rFont val="Calibri"/>
        <family val="2"/>
      </rPr>
      <t>button (1-Pending Cases tab)</t>
    </r>
  </si>
  <si>
    <r>
      <rPr>
        <i/>
        <sz val="11"/>
        <color theme="1"/>
        <rFont val="Calibri"/>
        <family val="2"/>
      </rPr>
      <t xml:space="preserve">Save As </t>
    </r>
    <r>
      <rPr>
        <sz val="11"/>
        <color theme="1"/>
        <rFont val="Calibri"/>
        <family val="2"/>
      </rPr>
      <t>button (1-Pending Cases tab)</t>
    </r>
  </si>
  <si>
    <t>Not on Vision Modules list; Save As dialog box appears</t>
  </si>
  <si>
    <r>
      <t xml:space="preserve">Generate File </t>
    </r>
    <r>
      <rPr>
        <sz val="11"/>
        <color theme="1"/>
        <rFont val="Calibri"/>
        <family val="2"/>
      </rPr>
      <t>button (1-Pending Cases tab)</t>
    </r>
  </si>
  <si>
    <r>
      <rPr>
        <i/>
        <sz val="11"/>
        <color theme="1"/>
        <rFont val="Calibri"/>
        <family val="2"/>
      </rPr>
      <t>Refresh</t>
    </r>
    <r>
      <rPr>
        <sz val="11"/>
        <color theme="1"/>
        <rFont val="Calibri"/>
        <family val="2"/>
      </rPr>
      <t xml:space="preserve"> button (2-FTBCODW Cases tab)</t>
    </r>
  </si>
  <si>
    <t>Not on Vision Modules list; appears to retrieve and refresh data</t>
  </si>
  <si>
    <r>
      <rPr>
        <i/>
        <sz val="11"/>
        <color theme="1"/>
        <rFont val="Calibri"/>
        <family val="2"/>
      </rPr>
      <t xml:space="preserve">Search </t>
    </r>
    <r>
      <rPr>
        <sz val="11"/>
        <color theme="1"/>
        <rFont val="Calibri"/>
        <family val="2"/>
      </rPr>
      <t>button (3-Case History tab)</t>
    </r>
  </si>
  <si>
    <r>
      <rPr>
        <i/>
        <sz val="11"/>
        <color theme="1"/>
        <rFont val="Calibri"/>
        <family val="2"/>
      </rPr>
      <t>Search</t>
    </r>
    <r>
      <rPr>
        <sz val="11"/>
        <color theme="1"/>
        <rFont val="Calibri"/>
        <family val="2"/>
      </rPr>
      <t xml:space="preserve"> button (4-Job History tab)</t>
    </r>
  </si>
  <si>
    <t>Not on Vision Modules list; appears to retrieve data</t>
  </si>
  <si>
    <r>
      <rPr>
        <i/>
        <sz val="11"/>
        <color theme="1"/>
        <rFont val="Calibri"/>
        <family val="2"/>
      </rPr>
      <t>Search</t>
    </r>
    <r>
      <rPr>
        <sz val="11"/>
        <color theme="1"/>
        <rFont val="Calibri"/>
        <family val="2"/>
      </rPr>
      <t xml:space="preserve"> button (5-Action Files tab)</t>
    </r>
  </si>
  <si>
    <r>
      <rPr>
        <i/>
        <sz val="11"/>
        <color theme="1"/>
        <rFont val="Calibri"/>
        <family val="2"/>
      </rPr>
      <t>Import</t>
    </r>
    <r>
      <rPr>
        <sz val="11"/>
        <color theme="1"/>
        <rFont val="Calibri"/>
        <family val="2"/>
      </rPr>
      <t xml:space="preserve"> button (5-Action Files tab)</t>
    </r>
  </si>
  <si>
    <r>
      <t>Import Action File (Select button)</t>
    </r>
    <r>
      <rPr>
        <sz val="11"/>
        <color theme="1"/>
        <rFont val="Calibri"/>
        <family val="2"/>
      </rPr>
      <t xml:space="preserve"> (w_ct_r_coll_ftbcod_import_actions)</t>
    </r>
  </si>
  <si>
    <t>Not on Vision Modules list; Launches Select File dialog box</t>
  </si>
  <si>
    <r>
      <rPr>
        <i/>
        <sz val="11"/>
        <color theme="1"/>
        <rFont val="Calibri"/>
        <family val="2"/>
      </rPr>
      <t>Process Return</t>
    </r>
    <r>
      <rPr>
        <sz val="11"/>
        <color theme="1"/>
        <rFont val="Calibri"/>
        <family val="2"/>
      </rPr>
      <t xml:space="preserve"> button (5-Action Files tab)</t>
    </r>
  </si>
  <si>
    <t>Not on Vision Modules list; Process Return message appears (Run docket code on All Action in File [file name] OK/Cancel)</t>
  </si>
  <si>
    <r>
      <rPr>
        <i/>
        <sz val="11"/>
        <color theme="1"/>
        <rFont val="Calibri"/>
        <family val="2"/>
      </rPr>
      <t xml:space="preserve">Save As </t>
    </r>
    <r>
      <rPr>
        <sz val="11"/>
        <color theme="1"/>
        <rFont val="Calibri"/>
        <family val="2"/>
      </rPr>
      <t>button (5-Action Files tab)</t>
    </r>
  </si>
  <si>
    <r>
      <t xml:space="preserve">FTBCOD Payment Processor </t>
    </r>
    <r>
      <rPr>
        <sz val="11"/>
        <color theme="1"/>
        <rFont val="Calibri"/>
        <family val="2"/>
      </rPr>
      <t>(w_ct_m_ftbcod_payment)</t>
    </r>
  </si>
  <si>
    <t>2-Forthcoming Payments/3-Payment Processing tabs, double click case</t>
  </si>
  <si>
    <r>
      <t xml:space="preserve">Import Claim Schedule File (Select button) </t>
    </r>
    <r>
      <rPr>
        <sz val="11"/>
        <color theme="1"/>
        <rFont val="Calibri"/>
        <family val="2"/>
      </rPr>
      <t>(w_ct_r_ftbcod_import_cs)</t>
    </r>
  </si>
  <si>
    <t>Launches Select File dialog box</t>
  </si>
  <si>
    <r>
      <rPr>
        <i/>
        <sz val="11"/>
        <color theme="1"/>
        <rFont val="Calibri"/>
        <family val="2"/>
      </rPr>
      <t>Delete Claim Schedule File</t>
    </r>
    <r>
      <rPr>
        <sz val="11"/>
        <color theme="1"/>
        <rFont val="Calibri"/>
        <family val="2"/>
      </rPr>
      <t xml:space="preserve"> button (1-Claim Schedule List tab)</t>
    </r>
  </si>
  <si>
    <t>Not on Vision Modules list; Delete a Claim Schedule message appears (Are you sure to delete Claim Schedule= [Claim Schedule] OK/Cancel)</t>
  </si>
  <si>
    <r>
      <rPr>
        <i/>
        <sz val="11"/>
        <color theme="1"/>
        <rFont val="Calibri"/>
        <family val="2"/>
      </rPr>
      <t xml:space="preserve">Save As </t>
    </r>
    <r>
      <rPr>
        <sz val="11"/>
        <color theme="1"/>
        <rFont val="Calibri"/>
        <family val="2"/>
      </rPr>
      <t>button (1-Claim Schedule List tab)</t>
    </r>
  </si>
  <si>
    <r>
      <rPr>
        <i/>
        <sz val="11"/>
        <color theme="1"/>
        <rFont val="Calibri"/>
        <family val="2"/>
      </rPr>
      <t xml:space="preserve">Print </t>
    </r>
    <r>
      <rPr>
        <sz val="11"/>
        <color theme="1"/>
        <rFont val="Calibri"/>
        <family val="2"/>
      </rPr>
      <t>button (1-Claim Schedule List tab)</t>
    </r>
  </si>
  <si>
    <t>Not on Vision Modules list; Print dialog box appears</t>
  </si>
  <si>
    <r>
      <rPr>
        <i/>
        <sz val="11"/>
        <color theme="1"/>
        <rFont val="Calibri"/>
        <family val="2"/>
      </rPr>
      <t>Search</t>
    </r>
    <r>
      <rPr>
        <sz val="11"/>
        <color theme="1"/>
        <rFont val="Calibri"/>
        <family val="2"/>
      </rPr>
      <t xml:space="preserve"> button (2-Forthcoming Payments tab)</t>
    </r>
  </si>
  <si>
    <t>Not on Vision Modules list; appears to retrieve data after user enters Claim Schedule/Court Location</t>
  </si>
  <si>
    <r>
      <rPr>
        <i/>
        <sz val="11"/>
        <color theme="1"/>
        <rFont val="Calibri"/>
        <family val="2"/>
      </rPr>
      <t>Process Forthcoming</t>
    </r>
    <r>
      <rPr>
        <sz val="11"/>
        <color theme="1"/>
        <rFont val="Calibri"/>
        <family val="2"/>
      </rPr>
      <t xml:space="preserve"> button (2-Forthcoming Payments tab)</t>
    </r>
  </si>
  <si>
    <r>
      <rPr>
        <i/>
        <sz val="11"/>
        <color theme="1"/>
        <rFont val="Calibri"/>
        <family val="2"/>
      </rPr>
      <t xml:space="preserve">Save </t>
    </r>
    <r>
      <rPr>
        <sz val="11"/>
        <color theme="1"/>
        <rFont val="Calibri"/>
        <family val="2"/>
      </rPr>
      <t>button (2-Forthcoming Payments tab)</t>
    </r>
  </si>
  <si>
    <r>
      <rPr>
        <i/>
        <sz val="11"/>
        <color theme="1"/>
        <rFont val="Calibri"/>
        <family val="2"/>
      </rPr>
      <t xml:space="preserve">Save As </t>
    </r>
    <r>
      <rPr>
        <sz val="11"/>
        <color theme="1"/>
        <rFont val="Calibri"/>
        <family val="2"/>
      </rPr>
      <t>button (2-Forthcoming Payments tab)</t>
    </r>
  </si>
  <si>
    <r>
      <rPr>
        <i/>
        <sz val="11"/>
        <color theme="1"/>
        <rFont val="Calibri"/>
        <family val="2"/>
      </rPr>
      <t xml:space="preserve">Print </t>
    </r>
    <r>
      <rPr>
        <sz val="11"/>
        <color theme="1"/>
        <rFont val="Calibri"/>
        <family val="2"/>
      </rPr>
      <t>button (2-Forthcoming Payments tab)</t>
    </r>
  </si>
  <si>
    <r>
      <rPr>
        <i/>
        <sz val="11"/>
        <color theme="1"/>
        <rFont val="Calibri"/>
        <family val="2"/>
      </rPr>
      <t>Process Payment</t>
    </r>
    <r>
      <rPr>
        <sz val="11"/>
        <color theme="1"/>
        <rFont val="Calibri"/>
        <family val="2"/>
      </rPr>
      <t xml:space="preserve"> button (3-Payment Processing tab)</t>
    </r>
  </si>
  <si>
    <r>
      <rPr>
        <i/>
        <sz val="11"/>
        <color theme="1"/>
        <rFont val="Calibri"/>
        <family val="2"/>
      </rPr>
      <t xml:space="preserve">Save </t>
    </r>
    <r>
      <rPr>
        <sz val="11"/>
        <color theme="1"/>
        <rFont val="Calibri"/>
        <family val="2"/>
      </rPr>
      <t>button (3-Payment Processing tab)</t>
    </r>
  </si>
  <si>
    <r>
      <rPr>
        <i/>
        <sz val="11"/>
        <color theme="1"/>
        <rFont val="Calibri"/>
        <family val="2"/>
      </rPr>
      <t xml:space="preserve">Save As </t>
    </r>
    <r>
      <rPr>
        <sz val="11"/>
        <color theme="1"/>
        <rFont val="Calibri"/>
        <family val="2"/>
      </rPr>
      <t>button (3-Payment Processing tab)</t>
    </r>
  </si>
  <si>
    <r>
      <rPr>
        <i/>
        <sz val="11"/>
        <color theme="1"/>
        <rFont val="Calibri"/>
        <family val="2"/>
      </rPr>
      <t xml:space="preserve">Print </t>
    </r>
    <r>
      <rPr>
        <sz val="11"/>
        <color theme="1"/>
        <rFont val="Calibri"/>
        <family val="2"/>
      </rPr>
      <t>button (3-Payment Processing tab)</t>
    </r>
  </si>
  <si>
    <r>
      <t xml:space="preserve">FTBTI Interface </t>
    </r>
    <r>
      <rPr>
        <sz val="11"/>
        <color theme="1"/>
        <rFont val="Calibri"/>
        <family val="2"/>
      </rPr>
      <t>(w_ct_m_coll_ftbti_interface)</t>
    </r>
  </si>
  <si>
    <r>
      <rPr>
        <i/>
        <sz val="11"/>
        <color theme="1"/>
        <rFont val="Calibri"/>
        <family val="2"/>
      </rPr>
      <t>Search</t>
    </r>
    <r>
      <rPr>
        <sz val="11"/>
        <color theme="1"/>
        <rFont val="Calibri"/>
        <family val="2"/>
      </rPr>
      <t xml:space="preserve"> button (1-Account Modifications tab)</t>
    </r>
  </si>
  <si>
    <r>
      <rPr>
        <i/>
        <sz val="11"/>
        <color theme="1"/>
        <rFont val="Calibri"/>
        <family val="2"/>
      </rPr>
      <t xml:space="preserve">Generate Modification File </t>
    </r>
    <r>
      <rPr>
        <sz val="11"/>
        <color theme="1"/>
        <rFont val="Calibri"/>
        <family val="2"/>
      </rPr>
      <t>button (1-Account Modifications tab)</t>
    </r>
  </si>
  <si>
    <r>
      <rPr>
        <i/>
        <sz val="11"/>
        <color theme="1"/>
        <rFont val="Calibri"/>
        <family val="2"/>
      </rPr>
      <t xml:space="preserve">Generate Annual Listing File </t>
    </r>
    <r>
      <rPr>
        <sz val="11"/>
        <color theme="1"/>
        <rFont val="Calibri"/>
        <family val="2"/>
      </rPr>
      <t>button (2-Annual Listing tab)</t>
    </r>
  </si>
  <si>
    <r>
      <rPr>
        <i/>
        <sz val="11"/>
        <color theme="1"/>
        <rFont val="Calibri"/>
        <family val="2"/>
      </rPr>
      <t>Search</t>
    </r>
    <r>
      <rPr>
        <sz val="11"/>
        <color theme="1"/>
        <rFont val="Calibri"/>
        <family val="2"/>
      </rPr>
      <t xml:space="preserve"> button (3-FTBTI Monthly Case Payments)</t>
    </r>
  </si>
  <si>
    <r>
      <rPr>
        <i/>
        <sz val="11"/>
        <color theme="1"/>
        <rFont val="Calibri"/>
        <family val="2"/>
      </rPr>
      <t xml:space="preserve">Save As </t>
    </r>
    <r>
      <rPr>
        <sz val="11"/>
        <color theme="1"/>
        <rFont val="Calibri"/>
        <family val="2"/>
      </rPr>
      <t>button (3-FTBTI Monthly Case Payments)</t>
    </r>
  </si>
  <si>
    <r>
      <rPr>
        <i/>
        <sz val="11"/>
        <color theme="1"/>
        <rFont val="Calibri"/>
        <family val="2"/>
      </rPr>
      <t xml:space="preserve">Print </t>
    </r>
    <r>
      <rPr>
        <sz val="11"/>
        <color theme="1"/>
        <rFont val="Calibri"/>
        <family val="2"/>
      </rPr>
      <t>button (3-FTBTI Monthly Case Payments)</t>
    </r>
  </si>
  <si>
    <r>
      <t xml:space="preserve">FTBTI Payment Processor </t>
    </r>
    <r>
      <rPr>
        <sz val="11"/>
        <color theme="1"/>
        <rFont val="Calibri"/>
        <family val="2"/>
      </rPr>
      <t>(w_ct_m_ftbti_payment)</t>
    </r>
  </si>
  <si>
    <r>
      <rPr>
        <b/>
        <sz val="11"/>
        <rFont val="Calibri"/>
        <family val="2"/>
      </rPr>
      <t xml:space="preserve">List Search </t>
    </r>
    <r>
      <rPr>
        <sz val="11"/>
        <rFont val="Calibri"/>
        <family val="2"/>
      </rPr>
      <t>(w_ct_r_cmmn_list_search)</t>
    </r>
  </si>
  <si>
    <r>
      <t xml:space="preserve">Is this the </t>
    </r>
    <r>
      <rPr>
        <i/>
        <sz val="11"/>
        <color theme="1"/>
        <rFont val="Calibri"/>
        <family val="2"/>
      </rPr>
      <t xml:space="preserve">Search </t>
    </r>
    <r>
      <rPr>
        <sz val="11"/>
        <color theme="1"/>
        <rFont val="Calibri"/>
        <family val="2"/>
      </rPr>
      <t>button on tab 2,3?</t>
    </r>
  </si>
  <si>
    <r>
      <t xml:space="preserve">Import Claim Schedule File </t>
    </r>
    <r>
      <rPr>
        <sz val="11"/>
        <rFont val="Calibri"/>
        <family val="2"/>
      </rPr>
      <t>button (1-Claim Schedule List tab)</t>
    </r>
  </si>
  <si>
    <t>Not on Vision Modules list; File Search window appears with Ok/Cancel buttons</t>
  </si>
  <si>
    <t>Not on Vision Modules list; appears to retrieve data after user enters Claim Schedule/Files</t>
  </si>
  <si>
    <r>
      <rPr>
        <i/>
        <sz val="11"/>
        <color theme="1"/>
        <rFont val="Calibri"/>
        <family val="2"/>
      </rPr>
      <t xml:space="preserve">Select All Manual </t>
    </r>
    <r>
      <rPr>
        <sz val="11"/>
        <color theme="1"/>
        <rFont val="Calibri"/>
        <family val="2"/>
      </rPr>
      <t>button (2-Forthcoming Payments tab)</t>
    </r>
  </si>
  <si>
    <r>
      <rPr>
        <i/>
        <sz val="11"/>
        <color theme="1"/>
        <rFont val="Calibri"/>
        <family val="2"/>
      </rPr>
      <t xml:space="preserve">Select All Manual </t>
    </r>
    <r>
      <rPr>
        <sz val="11"/>
        <color theme="1"/>
        <rFont val="Calibri"/>
        <family val="2"/>
      </rPr>
      <t>button (3-Payment Processing tab)</t>
    </r>
  </si>
  <si>
    <r>
      <t xml:space="preserve">OCV Payment Processor </t>
    </r>
    <r>
      <rPr>
        <sz val="11"/>
        <color theme="1"/>
        <rFont val="Calibri"/>
        <family val="2"/>
      </rPr>
      <t>(w_ct_m_ocv_payment)</t>
    </r>
  </si>
  <si>
    <r>
      <rPr>
        <i/>
        <sz val="11"/>
        <color theme="1"/>
        <rFont val="Calibri"/>
        <family val="2"/>
      </rPr>
      <t>Search</t>
    </r>
    <r>
      <rPr>
        <sz val="11"/>
        <color theme="1"/>
        <rFont val="Calibri"/>
        <family val="2"/>
      </rPr>
      <t xml:space="preserve"> button (1-Claim Schedule tab)</t>
    </r>
  </si>
  <si>
    <r>
      <rPr>
        <i/>
        <sz val="11"/>
        <color theme="1"/>
        <rFont val="Calibri"/>
        <family val="2"/>
      </rPr>
      <t xml:space="preserve">Open </t>
    </r>
    <r>
      <rPr>
        <sz val="11"/>
        <color theme="1"/>
        <rFont val="Calibri"/>
        <family val="2"/>
      </rPr>
      <t>button (1-Claim Schedule tab)</t>
    </r>
  </si>
  <si>
    <t xml:space="preserve">Moves user to 2-Forthcoming Payments tab </t>
  </si>
  <si>
    <r>
      <rPr>
        <i/>
        <sz val="11"/>
        <color theme="1"/>
        <rFont val="Calibri"/>
        <family val="2"/>
      </rPr>
      <t xml:space="preserve">Save As </t>
    </r>
    <r>
      <rPr>
        <sz val="11"/>
        <color theme="1"/>
        <rFont val="Calibri"/>
        <family val="2"/>
      </rPr>
      <t>button (1-Claim Schedule tab)</t>
    </r>
  </si>
  <si>
    <r>
      <rPr>
        <i/>
        <sz val="11"/>
        <color theme="1"/>
        <rFont val="Calibri"/>
        <family val="2"/>
      </rPr>
      <t xml:space="preserve">Print </t>
    </r>
    <r>
      <rPr>
        <sz val="11"/>
        <color theme="1"/>
        <rFont val="Calibri"/>
        <family val="2"/>
      </rPr>
      <t>button (1-Claim Schedule tab)</t>
    </r>
  </si>
  <si>
    <t>Process Forthcoming button (2-Forthcoming Payments tab)</t>
  </si>
  <si>
    <t>Select All Manual button (2-Forthcoming Payments tab)</t>
  </si>
  <si>
    <t>Save button (2-Forthcoming Payments tab)</t>
  </si>
  <si>
    <t>Save As button (2-Forthcoming Payments tab)</t>
  </si>
  <si>
    <t>Print button (2-Forthcoming Payments tab)</t>
  </si>
  <si>
    <t>Process Payment button (3-Payment Processing tab)</t>
  </si>
  <si>
    <t>Select All Manual button (3-Payment Processing tab)</t>
  </si>
  <si>
    <t>Save button (3-Payment Processing tab)</t>
  </si>
  <si>
    <t>Save As button (3-Payment Processing tab)</t>
  </si>
  <si>
    <t>Print button (3-Payment Processing tab)</t>
  </si>
  <si>
    <r>
      <t>OCV Return</t>
    </r>
    <r>
      <rPr>
        <sz val="11"/>
        <color theme="1"/>
        <rFont val="Calibri"/>
        <family val="2"/>
      </rPr>
      <t xml:space="preserve"> (w_ct_m_ocv_file_load)</t>
    </r>
  </si>
  <si>
    <t>Unable to validate; if similar to other windows, expect that Minutes open when case is double clicked</t>
  </si>
  <si>
    <r>
      <t xml:space="preserve">Select File </t>
    </r>
    <r>
      <rPr>
        <sz val="11"/>
        <color theme="1"/>
        <rFont val="Calibri"/>
        <family val="2"/>
      </rPr>
      <t>button (Return tab)</t>
    </r>
  </si>
  <si>
    <t>Not on Vision Modules list; Select OCV File dialog box opens</t>
  </si>
  <si>
    <r>
      <t xml:space="preserve">Export Result </t>
    </r>
    <r>
      <rPr>
        <sz val="11"/>
        <color theme="1"/>
        <rFont val="Calibri"/>
        <family val="2"/>
      </rPr>
      <t>button (Return tab)</t>
    </r>
  </si>
  <si>
    <r>
      <t xml:space="preserve">Process File </t>
    </r>
    <r>
      <rPr>
        <sz val="11"/>
        <color theme="1"/>
        <rFont val="Calibri"/>
        <family val="2"/>
      </rPr>
      <t>button (Return tab)</t>
    </r>
  </si>
  <si>
    <r>
      <t xml:space="preserve">Retrieve </t>
    </r>
    <r>
      <rPr>
        <sz val="11"/>
        <color theme="1"/>
        <rFont val="Calibri"/>
        <family val="2"/>
      </rPr>
      <t>button (Resubmit tab)</t>
    </r>
  </si>
  <si>
    <r>
      <t xml:space="preserve">Resubmit </t>
    </r>
    <r>
      <rPr>
        <sz val="11"/>
        <color theme="1"/>
        <rFont val="Calibri"/>
        <family val="2"/>
      </rPr>
      <t>button (Resubmit tab)</t>
    </r>
  </si>
  <si>
    <r>
      <t xml:space="preserve">Save Selected Cases </t>
    </r>
    <r>
      <rPr>
        <sz val="11"/>
        <color theme="1"/>
        <rFont val="Calibri"/>
        <family val="2"/>
      </rPr>
      <t>(Resubmit tab)</t>
    </r>
  </si>
  <si>
    <t>CONVERSION</t>
  </si>
  <si>
    <r>
      <t xml:space="preserve">Activity Augmentation </t>
    </r>
    <r>
      <rPr>
        <sz val="11"/>
        <color theme="1"/>
        <rFont val="Calibri"/>
        <family val="2"/>
      </rPr>
      <t>(w_ct_m_act_aug)</t>
    </r>
  </si>
  <si>
    <t>Unable to validate Menu item - not in use</t>
  </si>
  <si>
    <r>
      <t xml:space="preserve">Bail Sched Mnt </t>
    </r>
    <r>
      <rPr>
        <sz val="11"/>
        <color theme="1"/>
        <rFont val="Calibri"/>
        <family val="2"/>
      </rPr>
      <t>(w_ct_m_bail_sched_conv)</t>
    </r>
  </si>
  <si>
    <r>
      <t xml:space="preserve">Case Augmentation </t>
    </r>
    <r>
      <rPr>
        <sz val="11"/>
        <color theme="1"/>
        <rFont val="Calibri"/>
        <family val="2"/>
      </rPr>
      <t>(w_ct_m_case_aug)</t>
    </r>
  </si>
  <si>
    <r>
      <t xml:space="preserve">Case Status Maintenance </t>
    </r>
    <r>
      <rPr>
        <sz val="11"/>
        <color theme="1"/>
        <rFont val="Calibri"/>
        <family val="2"/>
      </rPr>
      <t>(w_ct_m_case_status_maint)</t>
    </r>
  </si>
  <si>
    <r>
      <t xml:space="preserve">Reports </t>
    </r>
    <r>
      <rPr>
        <sz val="11"/>
        <color theme="1"/>
        <rFont val="Calibri"/>
        <family val="2"/>
      </rPr>
      <t>(w_ct_r_report_builder_conv)</t>
    </r>
  </si>
  <si>
    <r>
      <t xml:space="preserve">Code Entries Xwalk </t>
    </r>
    <r>
      <rPr>
        <sz val="11"/>
        <color theme="1"/>
        <rFont val="Calibri"/>
        <family val="2"/>
      </rPr>
      <t>(w_ct_m_codetable_xwalk)</t>
    </r>
  </si>
  <si>
    <r>
      <t xml:space="preserve">Generic Code Xwalk </t>
    </r>
    <r>
      <rPr>
        <sz val="11"/>
        <color theme="1"/>
        <rFont val="Calibri"/>
        <family val="2"/>
      </rPr>
      <t>(w_ct_m_generic_codetable_xwalk)</t>
    </r>
  </si>
  <si>
    <r>
      <t xml:space="preserve">Generic Event ROC Xwalk </t>
    </r>
    <r>
      <rPr>
        <sz val="11"/>
        <color theme="1"/>
        <rFont val="Calibri"/>
        <family val="2"/>
      </rPr>
      <t>(w_ct_m_generic_event_roc_xwalk)</t>
    </r>
  </si>
  <si>
    <r>
      <t xml:space="preserve">Missing Complaint Augmentation </t>
    </r>
    <r>
      <rPr>
        <sz val="11"/>
        <color theme="1"/>
        <rFont val="Calibri"/>
        <family val="2"/>
      </rPr>
      <t>(w_ct_m_case_missing_complaint_aug)</t>
    </r>
  </si>
  <si>
    <r>
      <t xml:space="preserve">Agency Payment </t>
    </r>
    <r>
      <rPr>
        <sz val="11"/>
        <color theme="1"/>
        <rFont val="Calibri"/>
        <family val="2"/>
      </rPr>
      <t>(w_ct_m_agency_payment)</t>
    </r>
  </si>
  <si>
    <r>
      <t xml:space="preserve">Missing Complaint </t>
    </r>
    <r>
      <rPr>
        <sz val="11"/>
        <color theme="1"/>
        <rFont val="Calibri"/>
        <family val="2"/>
      </rPr>
      <t>(w_ct_m_case_missing_complaint)</t>
    </r>
  </si>
  <si>
    <r>
      <t xml:space="preserve">Person Maintenance </t>
    </r>
    <r>
      <rPr>
        <sz val="11"/>
        <color theme="1"/>
        <rFont val="Calibri"/>
        <family val="2"/>
      </rPr>
      <t>(w_ct_m_person_maint)</t>
    </r>
  </si>
  <si>
    <r>
      <t xml:space="preserve">Person Augmentation </t>
    </r>
    <r>
      <rPr>
        <sz val="11"/>
        <color theme="1"/>
        <rFont val="Calibri"/>
        <family val="2"/>
      </rPr>
      <t>(w_ct_m_pers_aug)</t>
    </r>
  </si>
  <si>
    <r>
      <t xml:space="preserve">Bail Maintenance </t>
    </r>
    <r>
      <rPr>
        <sz val="11"/>
        <color theme="1"/>
        <rFont val="Calibri"/>
        <family val="2"/>
      </rPr>
      <t>(w_ct_m_bail_maint)</t>
    </r>
  </si>
  <si>
    <r>
      <t>Person Link/Unlink</t>
    </r>
    <r>
      <rPr>
        <sz val="11"/>
        <color theme="1"/>
        <rFont val="Calibri"/>
        <family val="2"/>
      </rPr>
      <t xml:space="preserve"> (w_ct_m_person_link_unlink)</t>
    </r>
  </si>
  <si>
    <r>
      <t xml:space="preserve">Sentence Augmentation </t>
    </r>
    <r>
      <rPr>
        <sz val="11"/>
        <color theme="1"/>
        <rFont val="Calibri"/>
        <family val="2"/>
      </rPr>
      <t>(w_ct_m_sent_aug)</t>
    </r>
  </si>
  <si>
    <t>COUNTER</t>
  </si>
  <si>
    <r>
      <t>Defendant Select Window</t>
    </r>
    <r>
      <rPr>
        <sz val="11"/>
        <color theme="1"/>
        <rFont val="Calibri"/>
        <family val="2"/>
      </rPr>
      <t xml:space="preserve"> (w_ct_r_defendant_name)</t>
    </r>
  </si>
  <si>
    <r>
      <rPr>
        <sz val="11"/>
        <rFont val="Calibri"/>
        <family val="2"/>
      </rPr>
      <t xml:space="preserve">Launched from button in </t>
    </r>
    <r>
      <rPr>
        <i/>
        <sz val="11"/>
        <rFont val="Calibri"/>
        <family val="2"/>
      </rPr>
      <t xml:space="preserve">Cash Bail </t>
    </r>
    <r>
      <rPr>
        <sz val="11"/>
        <rFont val="Calibri"/>
        <family val="2"/>
      </rPr>
      <t>section (arrow buttons)</t>
    </r>
  </si>
  <si>
    <r>
      <t xml:space="preserve">Not on Vision Modules list; </t>
    </r>
    <r>
      <rPr>
        <i/>
        <sz val="11"/>
        <color theme="1"/>
        <rFont val="Calibri"/>
        <family val="2"/>
      </rPr>
      <t>Retrieve Case</t>
    </r>
    <r>
      <rPr>
        <sz val="11"/>
        <color theme="1"/>
        <rFont val="Calibri"/>
        <family val="2"/>
      </rPr>
      <t xml:space="preserve"> button</t>
    </r>
  </si>
  <si>
    <r>
      <t xml:space="preserve">Person Search </t>
    </r>
    <r>
      <rPr>
        <sz val="11"/>
        <color theme="1"/>
        <rFont val="Calibri"/>
        <family val="2"/>
      </rPr>
      <t>(w_ct_r_person_search)</t>
    </r>
  </si>
  <si>
    <r>
      <t xml:space="preserve">Not on Vision Modules list; </t>
    </r>
    <r>
      <rPr>
        <i/>
        <sz val="11"/>
        <color theme="1"/>
        <rFont val="Calibri"/>
        <family val="2"/>
      </rPr>
      <t xml:space="preserve">Missing Complaint </t>
    </r>
    <r>
      <rPr>
        <sz val="11"/>
        <color theme="1"/>
        <rFont val="Calibri"/>
        <family val="2"/>
      </rPr>
      <t>button</t>
    </r>
  </si>
  <si>
    <r>
      <rPr>
        <i/>
        <sz val="11"/>
        <color theme="1"/>
        <rFont val="Calibri"/>
        <family val="2"/>
      </rPr>
      <t>Unavailable Court Dates</t>
    </r>
    <r>
      <rPr>
        <sz val="11"/>
        <color theme="1"/>
        <rFont val="Calibri"/>
        <family val="2"/>
      </rPr>
      <t xml:space="preserve"> button (3-Release/Appearances tab)</t>
    </r>
  </si>
  <si>
    <t>Not on Vision Modules list; Calendar section "Unavailable Dates" button; displays Court Holiday / Cour Dark Days</t>
  </si>
  <si>
    <r>
      <rPr>
        <i/>
        <sz val="11"/>
        <color theme="1"/>
        <rFont val="Calibri"/>
        <family val="2"/>
      </rPr>
      <t>Case Dates</t>
    </r>
    <r>
      <rPr>
        <sz val="11"/>
        <color theme="1"/>
        <rFont val="Calibri"/>
        <family val="2"/>
      </rPr>
      <t xml:space="preserve"> button (3-Release/Appearances tab)</t>
    </r>
  </si>
  <si>
    <t>Not on Vision Modules list; Calendar section"Case Dates" button; displays other hearing dates for case</t>
  </si>
  <si>
    <r>
      <rPr>
        <i/>
        <sz val="11"/>
        <color theme="1"/>
        <rFont val="Calibri"/>
        <family val="2"/>
      </rPr>
      <t xml:space="preserve">Other Cases </t>
    </r>
    <r>
      <rPr>
        <sz val="11"/>
        <color theme="1"/>
        <rFont val="Calibri"/>
        <family val="2"/>
      </rPr>
      <t>button (3-Release/Appearances tab)</t>
    </r>
  </si>
  <si>
    <t>Not on Vision Modules list; Calendar section "Other Cases" button; displays other cases to calendar</t>
  </si>
  <si>
    <r>
      <t>Bail Bond Notice</t>
    </r>
    <r>
      <rPr>
        <sz val="11"/>
        <color theme="1"/>
        <rFont val="Calibri"/>
        <family val="2"/>
      </rPr>
      <t xml:space="preserve"> (w_ct_m_bail_bond_notice)</t>
    </r>
  </si>
  <si>
    <t>Double-click row to open</t>
  </si>
  <si>
    <r>
      <rPr>
        <i/>
        <sz val="11"/>
        <color theme="1"/>
        <rFont val="Calibri"/>
        <family val="2"/>
      </rPr>
      <t>Filter</t>
    </r>
    <r>
      <rPr>
        <sz val="11"/>
        <color theme="1"/>
        <rFont val="Calibri"/>
        <family val="2"/>
      </rPr>
      <t xml:space="preserve"> button</t>
    </r>
  </si>
  <si>
    <t>Not on Vision Module list; launches Filter window</t>
  </si>
  <si>
    <r>
      <rPr>
        <i/>
        <sz val="11"/>
        <color theme="1"/>
        <rFont val="Calibri"/>
        <family val="2"/>
      </rPr>
      <t xml:space="preserve">Reset Filter </t>
    </r>
    <r>
      <rPr>
        <sz val="11"/>
        <color theme="1"/>
        <rFont val="Calibri"/>
        <family val="2"/>
      </rPr>
      <t>button</t>
    </r>
  </si>
  <si>
    <t>Not on Vision Module list; clears filter(s) applied from Filter button</t>
  </si>
  <si>
    <t>Not on Vision Module list; retrieves data for selection</t>
  </si>
  <si>
    <r>
      <t>Bail Entry</t>
    </r>
    <r>
      <rPr>
        <sz val="11"/>
        <color theme="1"/>
        <rFont val="Calibri"/>
        <family val="2"/>
      </rPr>
      <t xml:space="preserve"> (w_ct_m_bail_maint)</t>
    </r>
  </si>
  <si>
    <t>Alt+Shift+B</t>
  </si>
  <si>
    <t>Not on Vision Module list but used in Window; launched when Bail Entry is openened</t>
  </si>
  <si>
    <r>
      <t xml:space="preserve">Not on Vision Module list but used in Window; launched from </t>
    </r>
    <r>
      <rPr>
        <i/>
        <sz val="11"/>
        <color theme="1"/>
        <rFont val="Calibri"/>
        <family val="2"/>
      </rPr>
      <t>Adv Search</t>
    </r>
    <r>
      <rPr>
        <sz val="11"/>
        <color theme="1"/>
        <rFont val="Calibri"/>
        <family val="2"/>
      </rPr>
      <t xml:space="preserve"> in </t>
    </r>
    <r>
      <rPr>
        <i/>
        <sz val="11"/>
        <color theme="1"/>
        <rFont val="Calibri"/>
        <family val="2"/>
      </rPr>
      <t>Simple Case Search</t>
    </r>
    <r>
      <rPr>
        <sz val="11"/>
        <color theme="1"/>
        <rFont val="Calibri"/>
        <family val="2"/>
      </rPr>
      <t xml:space="preserve"> window</t>
    </r>
  </si>
  <si>
    <t>Not on Vision Module list but used in Window (Insert/Add Row (1-Cash Bail))</t>
  </si>
  <si>
    <r>
      <t>Accept Payment</t>
    </r>
    <r>
      <rPr>
        <sz val="11"/>
        <color theme="1"/>
        <rFont val="Calibri"/>
        <family val="2"/>
      </rPr>
      <t xml:space="preserve"> (w_ct_r_payment)</t>
    </r>
  </si>
  <si>
    <r>
      <t xml:space="preserve">Not on Vision Module; launched from </t>
    </r>
    <r>
      <rPr>
        <i/>
        <sz val="11"/>
        <color theme="1"/>
        <rFont val="Calibri"/>
        <family val="2"/>
      </rPr>
      <t xml:space="preserve">Accept Pmt.. / Payment… </t>
    </r>
    <r>
      <rPr>
        <sz val="11"/>
        <color theme="1"/>
        <rFont val="Calibri"/>
        <family val="2"/>
      </rPr>
      <t>Buttons (1-Cash Bail tab, 2-Bail Bond tab)</t>
    </r>
  </si>
  <si>
    <r>
      <t xml:space="preserve">Notes </t>
    </r>
    <r>
      <rPr>
        <sz val="11"/>
        <color theme="1"/>
        <rFont val="Calibri"/>
        <family val="2"/>
      </rPr>
      <t>(w_ct_r_payment)</t>
    </r>
  </si>
  <si>
    <r>
      <rPr>
        <i/>
        <sz val="11"/>
        <color theme="1"/>
        <rFont val="Calibri"/>
        <family val="2"/>
      </rPr>
      <t xml:space="preserve">Post Bond </t>
    </r>
    <r>
      <rPr>
        <sz val="11"/>
        <color theme="1"/>
        <rFont val="Calibri"/>
        <family val="2"/>
      </rPr>
      <t>window (2-Bail Bond tab)</t>
    </r>
  </si>
  <si>
    <t xml:space="preserve"> </t>
  </si>
  <si>
    <t>Not on Vision Module; launched from Insert/Add Row (2-Bail Bond)</t>
  </si>
  <si>
    <t>Bondsman arrow button (2-Bail Bond tab)</t>
  </si>
  <si>
    <t>Not on Vision Module; launches Agency Unit Address List window</t>
  </si>
  <si>
    <t>Surety arrow button (2-Bail Bond tab)</t>
  </si>
  <si>
    <r>
      <t xml:space="preserve">Batch Payment Entry </t>
    </r>
    <r>
      <rPr>
        <sz val="11"/>
        <color theme="1"/>
        <rFont val="Calibri"/>
        <family val="2"/>
      </rPr>
      <t>(w_ct_m_cntr_batch_pmt)</t>
    </r>
  </si>
  <si>
    <r>
      <t xml:space="preserve">Defendant List </t>
    </r>
    <r>
      <rPr>
        <sz val="11"/>
        <color theme="1"/>
        <rFont val="Calibri"/>
        <family val="2"/>
      </rPr>
      <t>(w_ct_r_cntr_batch_pmt_def_list)</t>
    </r>
  </si>
  <si>
    <t>Launched after entering codefendant Case</t>
  </si>
  <si>
    <r>
      <t xml:space="preserve">Batch Payments on Hold </t>
    </r>
    <r>
      <rPr>
        <sz val="11"/>
        <color theme="1"/>
        <rFont val="Calibri"/>
        <family val="2"/>
      </rPr>
      <t>(w_ct_r_cntr_batch_pmt_on_hold)</t>
    </r>
  </si>
  <si>
    <t>On Vision Modules, unsure of how window is launched</t>
  </si>
  <si>
    <r>
      <t xml:space="preserve">Other Case Balances </t>
    </r>
    <r>
      <rPr>
        <sz val="11"/>
        <color theme="1"/>
        <rFont val="Calibri"/>
        <family val="2"/>
      </rPr>
      <t>(w_ct_r_cntr_case_balances)</t>
    </r>
  </si>
  <si>
    <t>On Vision Modules, launched after entering Case/Alloc Amt</t>
  </si>
  <si>
    <r>
      <t xml:space="preserve">Cashier Reconciliation </t>
    </r>
    <r>
      <rPr>
        <sz val="11"/>
        <color theme="1"/>
        <rFont val="Calibri"/>
        <family val="2"/>
      </rPr>
      <t>(w_ct_m_cashier_recon)</t>
    </r>
  </si>
  <si>
    <t>Alt+Shift+R</t>
  </si>
  <si>
    <t>Not on Vision Module list; Print dialog box opens</t>
  </si>
  <si>
    <r>
      <rPr>
        <i/>
        <sz val="11"/>
        <color theme="1"/>
        <rFont val="Calibri"/>
        <family val="2"/>
      </rPr>
      <t>OK</t>
    </r>
    <r>
      <rPr>
        <sz val="11"/>
        <color theme="1"/>
        <rFont val="Calibri"/>
        <family val="2"/>
      </rPr>
      <t xml:space="preserve"> button</t>
    </r>
  </si>
  <si>
    <t>Not on Vision Module list; reconciles cashier/displays error message; closing window also attempts reconciliation</t>
  </si>
  <si>
    <r>
      <rPr>
        <i/>
        <sz val="11"/>
        <color theme="1"/>
        <rFont val="Calibri"/>
        <family val="2"/>
      </rPr>
      <t>Cancel</t>
    </r>
    <r>
      <rPr>
        <sz val="11"/>
        <color theme="1"/>
        <rFont val="Calibri"/>
        <family val="2"/>
      </rPr>
      <t xml:space="preserve"> button</t>
    </r>
  </si>
  <si>
    <t>Not on Vision Module list; closes window</t>
  </si>
  <si>
    <r>
      <t xml:space="preserve">Counter Payment </t>
    </r>
    <r>
      <rPr>
        <sz val="11"/>
        <color theme="1"/>
        <rFont val="Calibri"/>
        <family val="2"/>
      </rPr>
      <t>(w_ct_m_counter)</t>
    </r>
  </si>
  <si>
    <t>Alt+Shift+C</t>
  </si>
  <si>
    <t>Not on Vision Module list but used in Window</t>
  </si>
  <si>
    <t>Arrow button by Address field</t>
  </si>
  <si>
    <r>
      <rPr>
        <b/>
        <sz val="11"/>
        <color theme="1"/>
        <rFont val="Calibri"/>
        <family val="2"/>
      </rPr>
      <t>Agreement To Pay and Forfeit Bail in Installment</t>
    </r>
    <r>
      <rPr>
        <sz val="11"/>
        <color theme="1"/>
        <rFont val="Calibri"/>
        <family val="2"/>
      </rPr>
      <t xml:space="preserve"> (w_ct_r_agree_pay_</t>
    </r>
    <r>
      <rPr>
        <sz val="11"/>
        <color rgb="FFFF0000"/>
        <rFont val="Calibri"/>
        <family val="2"/>
      </rPr>
      <t>bf</t>
    </r>
    <r>
      <rPr>
        <sz val="11"/>
        <color theme="1"/>
        <rFont val="Calibri"/>
        <family val="2"/>
      </rPr>
      <t>)</t>
    </r>
  </si>
  <si>
    <t>Is there a different window for TS payment plan?</t>
  </si>
  <si>
    <r>
      <rPr>
        <b/>
        <sz val="11"/>
        <color rgb="FFFF0000"/>
        <rFont val="Calibri"/>
        <family val="2"/>
      </rPr>
      <t>?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>(w_ct_r_case_amnesty_granted)</t>
    </r>
  </si>
  <si>
    <r>
      <rPr>
        <b/>
        <sz val="11"/>
        <color rgb="FFFF0000"/>
        <rFont val="Calibri"/>
        <family val="2"/>
      </rPr>
      <t>?</t>
    </r>
    <r>
      <rPr>
        <sz val="11"/>
        <color theme="1"/>
        <rFont val="Calibri"/>
        <family val="2"/>
      </rPr>
      <t xml:space="preserve"> (w_ct_r_cmmn_dw)</t>
    </r>
  </si>
  <si>
    <r>
      <rPr>
        <i/>
        <sz val="11"/>
        <color theme="1"/>
        <rFont val="Calibri"/>
        <family val="2"/>
      </rPr>
      <t>Unavailable Court Dates</t>
    </r>
    <r>
      <rPr>
        <sz val="11"/>
        <color theme="1"/>
        <rFont val="Calibri"/>
        <family val="2"/>
      </rPr>
      <t xml:space="preserve"> button (2-Calendar/Ext tab)</t>
    </r>
  </si>
  <si>
    <r>
      <rPr>
        <i/>
        <sz val="11"/>
        <color theme="1"/>
        <rFont val="Calibri"/>
        <family val="2"/>
      </rPr>
      <t>Case Dates</t>
    </r>
    <r>
      <rPr>
        <sz val="11"/>
        <color theme="1"/>
        <rFont val="Calibri"/>
        <family val="2"/>
      </rPr>
      <t xml:space="preserve"> button (2-Calendar/Ext tab)</t>
    </r>
  </si>
  <si>
    <r>
      <rPr>
        <i/>
        <sz val="11"/>
        <color theme="1"/>
        <rFont val="Calibri"/>
        <family val="2"/>
      </rPr>
      <t xml:space="preserve">Other Cases </t>
    </r>
    <r>
      <rPr>
        <sz val="11"/>
        <color theme="1"/>
        <rFont val="Calibri"/>
        <family val="2"/>
      </rPr>
      <t>button (2-Calendar/Ext tab)</t>
    </r>
  </si>
  <si>
    <r>
      <rPr>
        <i/>
        <sz val="11"/>
        <color theme="1"/>
        <rFont val="Calibri"/>
        <family val="2"/>
      </rPr>
      <t xml:space="preserve">Plea Taken </t>
    </r>
    <r>
      <rPr>
        <sz val="11"/>
        <color theme="1"/>
        <rFont val="Calibri"/>
        <family val="2"/>
      </rPr>
      <t>button (2-Calendar/Ext tab)</t>
    </r>
  </si>
  <si>
    <t>Not on Vision Modules list; launched from 3-Collections tab</t>
  </si>
  <si>
    <t>Alt+P</t>
  </si>
  <si>
    <r>
      <t xml:space="preserve">Multi-Case Payment </t>
    </r>
    <r>
      <rPr>
        <sz val="11"/>
        <color theme="1"/>
        <rFont val="Calibri"/>
        <family val="2"/>
      </rPr>
      <t>(w_ct_m_fscl_multi_case_payment)</t>
    </r>
  </si>
  <si>
    <t>Alt+Shift+P</t>
  </si>
  <si>
    <t>Not on Vision Module list but used in Window; launched when Multi-Case Payment is opened</t>
  </si>
  <si>
    <r>
      <t>Counter Payment</t>
    </r>
    <r>
      <rPr>
        <sz val="11"/>
        <color theme="1"/>
        <rFont val="Calibri"/>
        <family val="2"/>
      </rPr>
      <t xml:space="preserve"> (w_ct_m_counter)</t>
    </r>
  </si>
  <si>
    <t>Launched by double-click case</t>
  </si>
  <si>
    <t>Actions &gt; Accept Payment</t>
  </si>
  <si>
    <r>
      <t xml:space="preserve">Non-Case Payment </t>
    </r>
    <r>
      <rPr>
        <sz val="11"/>
        <color theme="1"/>
        <rFont val="Calibri"/>
        <family val="2"/>
      </rPr>
      <t>(w_ct_m_noncase_pymt)</t>
    </r>
  </si>
  <si>
    <t>Alt+Shift+W</t>
  </si>
  <si>
    <r>
      <t xml:space="preserve">Accept Payment </t>
    </r>
    <r>
      <rPr>
        <sz val="11"/>
        <color theme="1"/>
        <rFont val="Calibri"/>
        <family val="2"/>
      </rPr>
      <t>(w_ct_r_payment)</t>
    </r>
  </si>
  <si>
    <r>
      <t xml:space="preserve">Open Cashier Session </t>
    </r>
    <r>
      <rPr>
        <sz val="11"/>
        <color theme="1"/>
        <rFont val="Calibri"/>
        <family val="2"/>
      </rPr>
      <t>(w_ct_m_cashier_open_session)</t>
    </r>
  </si>
  <si>
    <t>Alt+Shift+O</t>
  </si>
  <si>
    <r>
      <t>TS Completion</t>
    </r>
    <r>
      <rPr>
        <sz val="11"/>
        <color theme="1"/>
        <rFont val="Calibri"/>
        <family val="2"/>
      </rPr>
      <t xml:space="preserve"> (w_ct_m_mark_ts_complete)</t>
    </r>
  </si>
  <si>
    <r>
      <t xml:space="preserve">Defendant Select Window </t>
    </r>
    <r>
      <rPr>
        <sz val="11"/>
        <color theme="1"/>
        <rFont val="Calibri"/>
        <family val="2"/>
      </rPr>
      <t>(w_ct_r_defendant_name)</t>
    </r>
  </si>
  <si>
    <t>Launched after entering codefendant Case Nbr</t>
  </si>
  <si>
    <r>
      <t xml:space="preserve">Victim Restitution Notice </t>
    </r>
    <r>
      <rPr>
        <sz val="11"/>
        <color theme="1"/>
        <rFont val="Calibri"/>
        <family val="2"/>
      </rPr>
      <t>(w_ct_m_vr_notice)</t>
    </r>
  </si>
  <si>
    <t>COURTROOM</t>
  </si>
  <si>
    <r>
      <t xml:space="preserve">Admin Minutes Entry </t>
    </r>
    <r>
      <rPr>
        <sz val="11"/>
        <color theme="1"/>
        <rFont val="Calibri"/>
        <family val="2"/>
      </rPr>
      <t>(w_ct_courtroom)</t>
    </r>
  </si>
  <si>
    <t>Alt+Shift+A</t>
  </si>
  <si>
    <t>Actions &gt; Open Case</t>
  </si>
  <si>
    <r>
      <rPr>
        <b/>
        <sz val="11"/>
        <color theme="1"/>
        <rFont val="Calibri"/>
        <family val="2"/>
      </rPr>
      <t>Docket Code Help (Admin)</t>
    </r>
    <r>
      <rPr>
        <sz val="11"/>
        <color theme="1"/>
        <rFont val="Calibri"/>
        <family val="2"/>
      </rPr>
      <t xml:space="preserve"> (w_ct_doc_help_rsp)</t>
    </r>
  </si>
  <si>
    <t>Actions &gt; Docket Lookup</t>
  </si>
  <si>
    <t>Actions &gt; Print Imaging Barcode Sheet</t>
  </si>
  <si>
    <t>Action &gt; Multicase Entry</t>
  </si>
  <si>
    <t>Shift+F3</t>
  </si>
  <si>
    <r>
      <t xml:space="preserve">Not on Vision Module list; launches </t>
    </r>
    <r>
      <rPr>
        <i/>
        <sz val="11"/>
        <color theme="1"/>
        <rFont val="Calibri"/>
        <family val="2"/>
      </rPr>
      <t xml:space="preserve">Multi-Case Update Assistant </t>
    </r>
    <r>
      <rPr>
        <sz val="11"/>
        <color theme="1"/>
        <rFont val="Calibri"/>
        <family val="2"/>
      </rPr>
      <t>window</t>
    </r>
  </si>
  <si>
    <t>Action &gt; Retrieve Case</t>
  </si>
  <si>
    <t>Shift+F4</t>
  </si>
  <si>
    <r>
      <t xml:space="preserve">Not on Vision Module list; </t>
    </r>
    <r>
      <rPr>
        <i/>
        <sz val="11"/>
        <color theme="1"/>
        <rFont val="Calibri"/>
        <family val="2"/>
      </rPr>
      <t>Docket Entry Save existing entries before retrieving? [Yes/No]</t>
    </r>
    <r>
      <rPr>
        <sz val="11"/>
        <color theme="1"/>
        <rFont val="Calibri"/>
        <family val="2"/>
      </rPr>
      <t xml:space="preserve">; retrieves previous Minute entries or displays </t>
    </r>
    <r>
      <rPr>
        <i/>
        <sz val="11"/>
        <color theme="1"/>
        <rFont val="Calibri"/>
        <family val="2"/>
      </rPr>
      <t>Information message No prior docket entries found for this case for [date]</t>
    </r>
  </si>
  <si>
    <t>Action &gt; Refresh Docket List</t>
  </si>
  <si>
    <t>Not on Vision Module list; refreshes docket codes (backend)</t>
  </si>
  <si>
    <r>
      <rPr>
        <i/>
        <sz val="11"/>
        <color theme="1"/>
        <rFont val="Calibri"/>
        <family val="2"/>
      </rPr>
      <t xml:space="preserve">Action &gt; Courtroom Print </t>
    </r>
    <r>
      <rPr>
        <sz val="11"/>
        <color theme="1"/>
        <rFont val="Calibri"/>
        <family val="2"/>
      </rPr>
      <t>/ Close Admin Minutes Entry</t>
    </r>
  </si>
  <si>
    <r>
      <t>Not on Vision Module list; launches</t>
    </r>
    <r>
      <rPr>
        <i/>
        <sz val="11"/>
        <color theme="1"/>
        <rFont val="Calibri"/>
        <family val="2"/>
      </rPr>
      <t xml:space="preserve"> Courtroom Print </t>
    </r>
    <r>
      <rPr>
        <sz val="11"/>
        <color theme="1"/>
        <rFont val="Calibri"/>
        <family val="2"/>
      </rPr>
      <t>window</t>
    </r>
  </si>
  <si>
    <t>Action &gt; Recalc</t>
  </si>
  <si>
    <t>Not on Vision Module list; reclac case (backend)</t>
  </si>
  <si>
    <t>Extended Text Entry</t>
  </si>
  <si>
    <t>Ctrl+Alt+T</t>
  </si>
  <si>
    <r>
      <t xml:space="preserve">Not on Vision Module list; launches </t>
    </r>
    <r>
      <rPr>
        <i/>
        <sz val="11"/>
        <color theme="1"/>
        <rFont val="Calibri"/>
        <family val="2"/>
      </rPr>
      <t>Extended Text Entry</t>
    </r>
  </si>
  <si>
    <t>Not on Vision Module list; launches Multi-Case Update Assistant window</t>
  </si>
  <si>
    <t>Not on Vision Module list; Docket Entry Save existing entries before retrieving? [Yes/No]; retrieves previous Minute entries or displays Information message No prior docket entries found for this case for [date]</t>
  </si>
  <si>
    <t>Action &gt; Exhibit Assistant</t>
  </si>
  <si>
    <t>Not on Vision Module list; unsure of functionality</t>
  </si>
  <si>
    <r>
      <rPr>
        <i/>
        <sz val="11"/>
        <color theme="1"/>
        <rFont val="Calibri"/>
        <family val="2"/>
      </rPr>
      <t>Action &gt; Courtroom Print</t>
    </r>
    <r>
      <rPr>
        <sz val="11"/>
        <color theme="1"/>
        <rFont val="Calibri"/>
        <family val="2"/>
      </rPr>
      <t xml:space="preserve"> / Close Courtroom</t>
    </r>
  </si>
  <si>
    <r>
      <t>Not on Vision Module list; launches</t>
    </r>
    <r>
      <rPr>
        <i/>
        <sz val="11"/>
        <color theme="1"/>
        <rFont val="Calibri"/>
        <family val="2"/>
      </rPr>
      <t xml:space="preserve"> Extended Text Entry</t>
    </r>
  </si>
  <si>
    <r>
      <t>Courtroom Setup</t>
    </r>
    <r>
      <rPr>
        <sz val="11"/>
        <color theme="1"/>
        <rFont val="Calibri"/>
        <family val="2"/>
      </rPr>
      <t xml:space="preserve"> (w_ct_m_ctrs_courtroom_setup)</t>
    </r>
  </si>
  <si>
    <r>
      <t xml:space="preserve">Generic Notice Reporting (Minutes)
</t>
    </r>
    <r>
      <rPr>
        <sz val="11"/>
        <color theme="1"/>
        <rFont val="Calibri"/>
        <family val="2"/>
      </rPr>
      <t>(w_ct_m_docket_reporting)</t>
    </r>
  </si>
  <si>
    <t>Alt+Shift+M</t>
  </si>
  <si>
    <r>
      <t xml:space="preserve">Docket Code Maintenance
</t>
    </r>
    <r>
      <rPr>
        <sz val="11"/>
        <color theme="1"/>
        <rFont val="Calibri"/>
        <family val="2"/>
      </rPr>
      <t>(w_ct_m_docket_code_maint)</t>
    </r>
  </si>
  <si>
    <r>
      <rPr>
        <b/>
        <sz val="11"/>
        <color theme="1"/>
        <rFont val="Calibri"/>
        <family val="2"/>
      </rPr>
      <t>Select/View Image</t>
    </r>
    <r>
      <rPr>
        <sz val="11"/>
        <color theme="1"/>
        <rFont val="Calibri"/>
        <family val="2"/>
      </rPr>
      <t xml:space="preserve"> (w_ct_c_pdf_viewer)</t>
    </r>
  </si>
  <si>
    <t>Image</t>
  </si>
  <si>
    <r>
      <rPr>
        <b/>
        <sz val="11"/>
        <color theme="1"/>
        <rFont val="Calibri"/>
        <family val="2"/>
      </rPr>
      <t xml:space="preserve">Image Viewer </t>
    </r>
    <r>
      <rPr>
        <sz val="11"/>
        <color theme="1"/>
        <rFont val="Calibri"/>
        <family val="2"/>
      </rPr>
      <t>(w_ct_m_image_viewer)</t>
    </r>
  </si>
  <si>
    <t>Print Preview (Docket Category - Minute Order)</t>
  </si>
  <si>
    <r>
      <rPr>
        <i/>
        <sz val="11"/>
        <color theme="1"/>
        <rFont val="Calibri"/>
        <family val="2"/>
      </rPr>
      <t xml:space="preserve">CIS, Minutes &amp; Other cases </t>
    </r>
    <r>
      <rPr>
        <sz val="11"/>
        <color theme="1"/>
        <rFont val="Calibri"/>
        <family val="2"/>
      </rPr>
      <t>button</t>
    </r>
  </si>
  <si>
    <t>Not on Vision Module list; Prints to Vision Print Setup printer</t>
  </si>
  <si>
    <r>
      <rPr>
        <i/>
        <sz val="11"/>
        <color theme="1"/>
        <rFont val="Calibri"/>
        <family val="2"/>
      </rPr>
      <t xml:space="preserve">CIS Sheets </t>
    </r>
    <r>
      <rPr>
        <sz val="11"/>
        <color theme="1"/>
        <rFont val="Calibri"/>
        <family val="2"/>
      </rPr>
      <t>button</t>
    </r>
  </si>
  <si>
    <r>
      <rPr>
        <i/>
        <sz val="11"/>
        <color theme="1"/>
        <rFont val="Calibri"/>
        <family val="2"/>
      </rPr>
      <t>Magnifying Glass</t>
    </r>
    <r>
      <rPr>
        <sz val="11"/>
        <color theme="1"/>
        <rFont val="Calibri"/>
        <family val="2"/>
      </rPr>
      <t xml:space="preserve"> button</t>
    </r>
  </si>
  <si>
    <t>Not on Vision Module list; Find dialog box</t>
  </si>
  <si>
    <r>
      <rPr>
        <b/>
        <sz val="11"/>
        <color theme="1"/>
        <rFont val="Calibri"/>
        <family val="2"/>
      </rPr>
      <t>MOCS Multi Case Entry</t>
    </r>
    <r>
      <rPr>
        <sz val="11"/>
        <color theme="1"/>
        <rFont val="Calibri"/>
        <family val="2"/>
      </rPr>
      <t xml:space="preserve"> (w_ct_r_mocs_multi)</t>
    </r>
  </si>
  <si>
    <t>Shift+F9</t>
  </si>
  <si>
    <r>
      <t>Docket Selection for Case</t>
    </r>
    <r>
      <rPr>
        <sz val="11"/>
        <color theme="1"/>
        <rFont val="Calibri"/>
        <family val="2"/>
      </rPr>
      <t xml:space="preserve"> (w_ct_r_mocs_dkt_entry)</t>
    </r>
  </si>
  <si>
    <t>Applies for all checkboxes in MOCS (e.g., Appear, Advise, etc.)</t>
  </si>
  <si>
    <t>EXHIBITS</t>
  </si>
  <si>
    <r>
      <rPr>
        <b/>
        <sz val="11"/>
        <color theme="1"/>
        <rFont val="Calibri"/>
        <family val="2"/>
      </rPr>
      <t xml:space="preserve">Exhibit List </t>
    </r>
    <r>
      <rPr>
        <sz val="11"/>
        <color theme="1"/>
        <rFont val="Calibri"/>
        <family val="2"/>
      </rPr>
      <t>(w_ct_m_exhibit_list)</t>
    </r>
  </si>
  <si>
    <r>
      <rPr>
        <b/>
        <sz val="11"/>
        <color theme="1"/>
        <rFont val="Calibri"/>
        <family val="2"/>
      </rPr>
      <t>Exhibit List Search</t>
    </r>
    <r>
      <rPr>
        <sz val="11"/>
        <color theme="1"/>
        <rFont val="Calibri"/>
        <family val="2"/>
      </rPr>
      <t xml:space="preserve"> (w_ct_r_exhibit_list_case_search)</t>
    </r>
  </si>
  <si>
    <t>Not on latest Vision Modules list;</t>
  </si>
  <si>
    <r>
      <rPr>
        <i/>
        <sz val="11"/>
        <color theme="1"/>
        <rFont val="Calibri"/>
        <family val="2"/>
      </rPr>
      <t xml:space="preserve">Locate all Exhibits to Custodian </t>
    </r>
    <r>
      <rPr>
        <sz val="11"/>
        <color theme="1"/>
        <rFont val="Calibri"/>
        <family val="2"/>
      </rPr>
      <t>button</t>
    </r>
  </si>
  <si>
    <r>
      <rPr>
        <i/>
        <sz val="11"/>
        <color theme="1"/>
        <rFont val="Calibri"/>
        <family val="2"/>
      </rPr>
      <t xml:space="preserve">Exhibit History </t>
    </r>
    <r>
      <rPr>
        <sz val="11"/>
        <color theme="1"/>
        <rFont val="Calibri"/>
        <family val="2"/>
      </rPr>
      <t>window</t>
    </r>
  </si>
  <si>
    <t>Not on Vision Modules list; launched by clicking row under exhibit section (below header)</t>
  </si>
  <si>
    <r>
      <rPr>
        <b/>
        <sz val="11"/>
        <color theme="1"/>
        <rFont val="Calibri"/>
        <family val="2"/>
      </rPr>
      <t>Exhibit Maintenance</t>
    </r>
    <r>
      <rPr>
        <sz val="11"/>
        <color theme="1"/>
        <rFont val="Calibri"/>
        <family val="2"/>
      </rPr>
      <t xml:space="preserve"> (w_ct_m_exhibit_maintenance)</t>
    </r>
  </si>
  <si>
    <t>Binocular button</t>
  </si>
  <si>
    <r>
      <t xml:space="preserve">New Exhibit Hearing List window </t>
    </r>
    <r>
      <rPr>
        <sz val="11"/>
        <color theme="1"/>
        <rFont val="Calibri"/>
        <family val="2"/>
      </rPr>
      <t>w_ct_m_exhibit_new_hearing)</t>
    </r>
  </si>
  <si>
    <r>
      <t xml:space="preserve">New List </t>
    </r>
    <r>
      <rPr>
        <sz val="11"/>
        <color theme="1"/>
        <rFont val="Calibri"/>
        <family val="2"/>
      </rPr>
      <t>button</t>
    </r>
  </si>
  <si>
    <r>
      <rPr>
        <b/>
        <sz val="11"/>
        <color theme="1"/>
        <rFont val="Calibri"/>
        <family val="2"/>
      </rPr>
      <t>Exhibit Management/Exhibit Management Search</t>
    </r>
    <r>
      <rPr>
        <sz val="11"/>
        <color theme="1"/>
        <rFont val="Calibri"/>
        <family val="2"/>
      </rPr>
      <t xml:space="preserve"> (w_ct_m_exhibit_management_srch)</t>
    </r>
  </si>
  <si>
    <r>
      <t xml:space="preserve">Change Alll: </t>
    </r>
    <r>
      <rPr>
        <i/>
        <sz val="11"/>
        <color theme="1"/>
        <rFont val="Calibri"/>
        <family val="2"/>
      </rPr>
      <t>Main Location, Eligibility, Exhibit Status</t>
    </r>
    <r>
      <rPr>
        <sz val="11"/>
        <color theme="1"/>
        <rFont val="Calibri"/>
        <family val="2"/>
      </rPr>
      <t xml:space="preserve"> buttons</t>
    </r>
  </si>
  <si>
    <t>Not on Vision Modules list; updates corresponding field for all exhibits</t>
  </si>
  <si>
    <r>
      <rPr>
        <i/>
        <sz val="11"/>
        <color theme="1"/>
        <rFont val="Calibri"/>
        <family val="2"/>
      </rPr>
      <t xml:space="preserve">Note </t>
    </r>
    <r>
      <rPr>
        <sz val="11"/>
        <color theme="1"/>
        <rFont val="Calibri"/>
        <family val="2"/>
      </rPr>
      <t>icon button</t>
    </r>
  </si>
  <si>
    <r>
      <t xml:space="preserve">Not on Vision Modules list; launches </t>
    </r>
    <r>
      <rPr>
        <i/>
        <sz val="11"/>
        <color theme="1"/>
        <rFont val="Calibri"/>
        <family val="2"/>
      </rPr>
      <t xml:space="preserve">Notes </t>
    </r>
    <r>
      <rPr>
        <sz val="11"/>
        <color theme="1"/>
        <rFont val="Calibri"/>
        <family val="2"/>
      </rPr>
      <t>window</t>
    </r>
  </si>
  <si>
    <r>
      <rPr>
        <i/>
        <sz val="11"/>
        <color theme="1"/>
        <rFont val="Calibri"/>
        <family val="2"/>
      </rPr>
      <t xml:space="preserve">Notice </t>
    </r>
    <r>
      <rPr>
        <sz val="11"/>
        <color theme="1"/>
        <rFont val="Calibri"/>
        <family val="2"/>
      </rPr>
      <t>button</t>
    </r>
  </si>
  <si>
    <r>
      <t xml:space="preserve">Not on Vision Modules list; launches </t>
    </r>
    <r>
      <rPr>
        <i/>
        <sz val="11"/>
        <color theme="1"/>
        <rFont val="Calibri"/>
        <family val="2"/>
      </rPr>
      <t>Exhibit Notice</t>
    </r>
    <r>
      <rPr>
        <sz val="11"/>
        <color theme="1"/>
        <rFont val="Calibri"/>
        <family val="2"/>
      </rPr>
      <t xml:space="preserve"> window</t>
    </r>
  </si>
  <si>
    <r>
      <rPr>
        <i/>
        <sz val="11"/>
        <color theme="1"/>
        <rFont val="Calibri"/>
        <family val="2"/>
      </rPr>
      <t xml:space="preserve">Save &amp; Print Notice </t>
    </r>
    <r>
      <rPr>
        <sz val="11"/>
        <color theme="1"/>
        <rFont val="Calibri"/>
        <family val="2"/>
      </rPr>
      <t>button</t>
    </r>
  </si>
  <si>
    <r>
      <t xml:space="preserve">Not on Vision Modules list; located on </t>
    </r>
    <r>
      <rPr>
        <i/>
        <sz val="11"/>
        <color theme="1"/>
        <rFont val="Calibri"/>
        <family val="2"/>
      </rPr>
      <t>Exhibit Notice</t>
    </r>
    <r>
      <rPr>
        <sz val="11"/>
        <color theme="1"/>
        <rFont val="Calibri"/>
        <family val="2"/>
      </rPr>
      <t xml:space="preserve"> window, launches Save Print Output As window</t>
    </r>
  </si>
  <si>
    <t>FISCAL</t>
  </si>
  <si>
    <r>
      <t>Bail Maintenance</t>
    </r>
    <r>
      <rPr>
        <sz val="11"/>
        <color theme="1"/>
        <rFont val="Calibri"/>
        <family val="2"/>
      </rPr>
      <t xml:space="preserve"> (w_ct_m_bail_maint)</t>
    </r>
  </si>
  <si>
    <t>Not on Vision Modules list but used in window</t>
  </si>
  <si>
    <r>
      <rPr>
        <b/>
        <sz val="11"/>
        <color theme="1"/>
        <rFont val="Calibri"/>
        <family val="2"/>
      </rPr>
      <t xml:space="preserve">Person Search </t>
    </r>
    <r>
      <rPr>
        <sz val="11"/>
        <color theme="1"/>
        <rFont val="Calibri"/>
        <family val="2"/>
      </rPr>
      <t>(w_ct_r_person_search)</t>
    </r>
  </si>
  <si>
    <t>Not on Vision Modules list but used in window; launched from person icon button (next to Depositor arrow button)</t>
  </si>
  <si>
    <t>Not on Vision Modules list but used in window; launched from Depositor or Address arrow button (1-Cash Bail tab)</t>
  </si>
  <si>
    <t>Not on Vision Module list; launched from Insert/Add Row (2-Bail Bond)</t>
  </si>
  <si>
    <t>Not on Vision Module list; launches Agency Unit Address List window</t>
  </si>
  <si>
    <r>
      <t xml:space="preserve">Case Distribution Override </t>
    </r>
    <r>
      <rPr>
        <sz val="11"/>
        <color theme="1"/>
        <rFont val="Calibri"/>
        <family val="2"/>
      </rPr>
      <t>(w_ct_m_fscl_dist_override)</t>
    </r>
  </si>
  <si>
    <r>
      <t>Case Payment History</t>
    </r>
    <r>
      <rPr>
        <sz val="11"/>
        <color theme="1"/>
        <rFont val="Calibri"/>
        <family val="2"/>
      </rPr>
      <t xml:space="preserve"> (w_ct_m_fscl_payment_hist)</t>
    </r>
  </si>
  <si>
    <t>Not on Vision Modules list but used in window; launched from binocular icon</t>
  </si>
  <si>
    <t>Remittance Distribution window</t>
  </si>
  <si>
    <r>
      <t xml:space="preserve">Not on Vision Modules list; launched from </t>
    </r>
    <r>
      <rPr>
        <i/>
        <sz val="11"/>
        <color theme="1"/>
        <rFont val="Calibri"/>
        <family val="2"/>
      </rPr>
      <t>Select</t>
    </r>
    <r>
      <rPr>
        <sz val="11"/>
        <color theme="1"/>
        <rFont val="Calibri"/>
        <family val="2"/>
      </rPr>
      <t xml:space="preserve"> button / double-click receipt</t>
    </r>
  </si>
  <si>
    <r>
      <rPr>
        <i/>
        <sz val="11"/>
        <color theme="1"/>
        <rFont val="Calibri"/>
        <family val="2"/>
      </rPr>
      <t xml:space="preserve">Reset Remit </t>
    </r>
    <r>
      <rPr>
        <sz val="11"/>
        <color theme="1"/>
        <rFont val="Calibri"/>
        <family val="2"/>
      </rPr>
      <t>button</t>
    </r>
  </si>
  <si>
    <r>
      <t xml:space="preserve">Not on Vision Modules list; launched from </t>
    </r>
    <r>
      <rPr>
        <i/>
        <sz val="11"/>
        <color theme="1"/>
        <rFont val="Calibri"/>
        <family val="2"/>
      </rPr>
      <t xml:space="preserve">Remittance Distribution </t>
    </r>
    <r>
      <rPr>
        <sz val="11"/>
        <color theme="1"/>
        <rFont val="Calibri"/>
        <family val="2"/>
      </rPr>
      <t>window</t>
    </r>
  </si>
  <si>
    <r>
      <t xml:space="preserve">Check Approval </t>
    </r>
    <r>
      <rPr>
        <sz val="11"/>
        <color theme="1"/>
        <rFont val="Calibri"/>
        <family val="2"/>
      </rPr>
      <t>(w_ct_m_fscl_chk_apprv)</t>
    </r>
  </si>
  <si>
    <r>
      <t xml:space="preserve">Print Checks </t>
    </r>
    <r>
      <rPr>
        <sz val="11"/>
        <color theme="1"/>
        <rFont val="Calibri"/>
        <family val="2"/>
      </rPr>
      <t>(w_ct_r_fscl_prnt_chks)</t>
    </r>
  </si>
  <si>
    <r>
      <t xml:space="preserve">Print Checks </t>
    </r>
    <r>
      <rPr>
        <sz val="11"/>
        <color theme="1"/>
        <rFont val="Calibri"/>
        <family val="2"/>
      </rPr>
      <t>button</t>
    </r>
  </si>
  <si>
    <r>
      <t xml:space="preserve">Specify Check Number </t>
    </r>
    <r>
      <rPr>
        <sz val="11"/>
        <color theme="1"/>
        <rFont val="Calibri"/>
        <family val="2"/>
      </rPr>
      <t>(w_ct_r_fscl_chk_nbr)</t>
    </r>
  </si>
  <si>
    <t>Not sure how window is launched</t>
  </si>
  <si>
    <r>
      <t xml:space="preserve">Not on Vision Modules List; launched by </t>
    </r>
    <r>
      <rPr>
        <i/>
        <sz val="11"/>
        <color theme="1"/>
        <rFont val="Calibri"/>
        <family val="2"/>
      </rPr>
      <t>Counter Check</t>
    </r>
    <r>
      <rPr>
        <sz val="11"/>
        <color theme="1"/>
        <rFont val="Calibri"/>
        <family val="2"/>
      </rPr>
      <t xml:space="preserve"> button</t>
    </r>
  </si>
  <si>
    <r>
      <rPr>
        <i/>
        <sz val="11"/>
        <color theme="1"/>
        <rFont val="Calibri"/>
        <family val="2"/>
      </rPr>
      <t xml:space="preserve">Print List </t>
    </r>
    <r>
      <rPr>
        <sz val="11"/>
        <color theme="1"/>
        <rFont val="Calibri"/>
        <family val="2"/>
      </rPr>
      <t>button</t>
    </r>
  </si>
  <si>
    <t>Not on Vision Modules List; launches Print dialog box</t>
  </si>
  <si>
    <t>Not on Vision Modules List; launches Save As dialog box</t>
  </si>
  <si>
    <t>Note icon button</t>
  </si>
  <si>
    <r>
      <t xml:space="preserve">Not on Vision Modules List; launches </t>
    </r>
    <r>
      <rPr>
        <i/>
        <sz val="11"/>
        <color theme="1"/>
        <rFont val="Calibri"/>
        <family val="2"/>
      </rPr>
      <t xml:space="preserve">Notes </t>
    </r>
    <r>
      <rPr>
        <sz val="11"/>
        <color theme="1"/>
        <rFont val="Calibri"/>
        <family val="2"/>
      </rPr>
      <t>window</t>
    </r>
  </si>
  <si>
    <r>
      <t xml:space="preserve">Check Maintenance </t>
    </r>
    <r>
      <rPr>
        <sz val="11"/>
        <color theme="1"/>
        <rFont val="Calibri"/>
        <family val="2"/>
      </rPr>
      <t>(w_ct_m_fscl_chk_maint)</t>
    </r>
  </si>
  <si>
    <t>Notes button</t>
  </si>
  <si>
    <r>
      <t xml:space="preserve">Fiscal Case Analysis </t>
    </r>
    <r>
      <rPr>
        <sz val="11"/>
        <color theme="1"/>
        <rFont val="Calibri"/>
        <family val="2"/>
      </rPr>
      <t>(w_ct_m_fiscal_case_analysis)</t>
    </r>
  </si>
  <si>
    <t>Binocular icon</t>
  </si>
  <si>
    <t>Double-click violation row</t>
  </si>
  <si>
    <r>
      <rPr>
        <i/>
        <sz val="11"/>
        <color theme="1"/>
        <rFont val="Calibri"/>
        <family val="2"/>
      </rPr>
      <t xml:space="preserve">Refresh </t>
    </r>
    <r>
      <rPr>
        <sz val="11"/>
        <color theme="1"/>
        <rFont val="Calibri"/>
        <family val="2"/>
      </rPr>
      <t>button</t>
    </r>
  </si>
  <si>
    <t>Not on Vision Modules list; unsure of functionality - Vision froze when testing</t>
  </si>
  <si>
    <t>Not on Vision Modules list; launched from Select button / double-click receipt (Case Payment History section)</t>
  </si>
  <si>
    <r>
      <rPr>
        <i/>
        <sz val="11"/>
        <color theme="1"/>
        <rFont val="Calibri"/>
        <family val="2"/>
      </rPr>
      <t>Unlock all / Lock all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buttons</t>
    </r>
  </si>
  <si>
    <t>Not on Vision Modules list; Case Payment History section locks/unlocks remittances</t>
  </si>
  <si>
    <r>
      <rPr>
        <i/>
        <sz val="11"/>
        <color theme="1"/>
        <rFont val="Calibri"/>
        <family val="2"/>
      </rPr>
      <t>Process</t>
    </r>
    <r>
      <rPr>
        <sz val="11"/>
        <color theme="1"/>
        <rFont val="Calibri"/>
        <family val="2"/>
      </rPr>
      <t xml:space="preserve"> button</t>
    </r>
  </si>
  <si>
    <t>Not on Vision Modules list; saves docket code to case</t>
  </si>
  <si>
    <r>
      <rPr>
        <i/>
        <sz val="11"/>
        <color theme="1"/>
        <rFont val="Calibri"/>
        <family val="2"/>
      </rPr>
      <t>Recalc</t>
    </r>
    <r>
      <rPr>
        <sz val="11"/>
        <color theme="1"/>
        <rFont val="Calibri"/>
        <family val="2"/>
      </rPr>
      <t xml:space="preserve"> button</t>
    </r>
  </si>
  <si>
    <t>Not on Vision Modules list; recalc case (backend)</t>
  </si>
  <si>
    <r>
      <t>Fiscal Reports</t>
    </r>
    <r>
      <rPr>
        <sz val="11"/>
        <color theme="1"/>
        <rFont val="Calibri"/>
        <family val="2"/>
      </rPr>
      <t xml:space="preserve"> (w_ct_m_report_select)</t>
    </r>
  </si>
  <si>
    <r>
      <t xml:space="preserve">Reports </t>
    </r>
    <r>
      <rPr>
        <sz val="11"/>
        <color theme="1"/>
        <rFont val="Calibri"/>
        <family val="2"/>
      </rPr>
      <t>(w_ct_r_report_builder)</t>
    </r>
  </si>
  <si>
    <r>
      <rPr>
        <i/>
        <sz val="11"/>
        <color rgb="FFFF0000"/>
        <rFont val="Calibri"/>
        <family val="2"/>
      </rPr>
      <t>Select</t>
    </r>
    <r>
      <rPr>
        <sz val="11"/>
        <color rgb="FFFF0000"/>
        <rFont val="Calibri"/>
        <family val="2"/>
      </rPr>
      <t xml:space="preserve"> button?</t>
    </r>
  </si>
  <si>
    <r>
      <t xml:space="preserve">Misapplications/Voids </t>
    </r>
    <r>
      <rPr>
        <sz val="11"/>
        <color theme="1"/>
        <rFont val="Calibri"/>
        <family val="2"/>
      </rPr>
      <t>(w_ct_m_fscl_pmt_misapp_void)</t>
    </r>
  </si>
  <si>
    <r>
      <rPr>
        <b/>
        <sz val="11"/>
        <color rgb="FFFF0000"/>
        <rFont val="Calibri"/>
        <family val="2"/>
      </rPr>
      <t>?</t>
    </r>
    <r>
      <rPr>
        <sz val="11"/>
        <color theme="1"/>
        <rFont val="Calibri"/>
        <family val="2"/>
      </rPr>
      <t xml:space="preserve"> (w_ct_r_fiscal_batch_cases)</t>
    </r>
  </si>
  <si>
    <r>
      <rPr>
        <i/>
        <sz val="11"/>
        <color theme="1"/>
        <rFont val="Calibri"/>
        <family val="2"/>
      </rPr>
      <t xml:space="preserve">Void Reason Notes </t>
    </r>
    <r>
      <rPr>
        <sz val="11"/>
        <color theme="1"/>
        <rFont val="Calibri"/>
        <family val="2"/>
      </rPr>
      <t>window</t>
    </r>
  </si>
  <si>
    <r>
      <t xml:space="preserve">Not on Vision Modules list; launched from </t>
    </r>
    <r>
      <rPr>
        <i/>
        <sz val="11"/>
        <color theme="1"/>
        <rFont val="Calibri"/>
        <family val="2"/>
      </rPr>
      <t>Void</t>
    </r>
    <r>
      <rPr>
        <sz val="11"/>
        <color theme="1"/>
        <rFont val="Calibri"/>
        <family val="2"/>
      </rPr>
      <t xml:space="preserve"> button; displays </t>
    </r>
    <r>
      <rPr>
        <i/>
        <sz val="11"/>
        <color theme="1"/>
        <rFont val="Calibri"/>
        <family val="2"/>
      </rPr>
      <t>Confirmation - The Seelected Remittance will be Voided. Is this correct? Yes/No</t>
    </r>
  </si>
  <si>
    <t>Reapplication Confirmation window</t>
  </si>
  <si>
    <r>
      <t xml:space="preserve">Not on Vision Modules list; launched from </t>
    </r>
    <r>
      <rPr>
        <i/>
        <sz val="11"/>
        <color theme="1"/>
        <rFont val="Calibri"/>
        <family val="2"/>
      </rPr>
      <t xml:space="preserve">Misapply </t>
    </r>
    <r>
      <rPr>
        <sz val="11"/>
        <color theme="1"/>
        <rFont val="Calibri"/>
        <family val="2"/>
      </rPr>
      <t xml:space="preserve">button
Displays message: </t>
    </r>
    <r>
      <rPr>
        <i/>
        <sz val="11"/>
        <color theme="1"/>
        <rFont val="Calibri"/>
        <family val="2"/>
      </rPr>
      <t xml:space="preserve">Misapplication The Selected Remittance will be Misapplied. Please Select the Case and Defendant to which the Remittance should be Applied. OK/Cancel
</t>
    </r>
    <r>
      <rPr>
        <sz val="11"/>
        <color theme="1"/>
        <rFont val="Calibri"/>
        <family val="2"/>
      </rPr>
      <t xml:space="preserve">OK &gt; </t>
    </r>
    <r>
      <rPr>
        <i/>
        <sz val="11"/>
        <color theme="1"/>
        <rFont val="Calibri"/>
        <family val="2"/>
      </rPr>
      <t xml:space="preserve">Case Search </t>
    </r>
    <r>
      <rPr>
        <sz val="11"/>
        <color theme="1"/>
        <rFont val="Calibri"/>
        <family val="2"/>
      </rPr>
      <t xml:space="preserve">window &gt; </t>
    </r>
    <r>
      <rPr>
        <i/>
        <sz val="11"/>
        <color theme="1"/>
        <rFont val="Calibri"/>
        <family val="2"/>
      </rPr>
      <t xml:space="preserve">Reapplication Confirmation </t>
    </r>
    <r>
      <rPr>
        <sz val="11"/>
        <color theme="1"/>
        <rFont val="Calibri"/>
        <family val="2"/>
      </rPr>
      <t>window</t>
    </r>
  </si>
  <si>
    <r>
      <rPr>
        <i/>
        <sz val="11"/>
        <color theme="1"/>
        <rFont val="Calibri"/>
        <family val="2"/>
      </rPr>
      <t>Reapplication Confirmation</t>
    </r>
    <r>
      <rPr>
        <sz val="11"/>
        <color theme="1"/>
        <rFont val="Calibri"/>
        <family val="2"/>
      </rPr>
      <t xml:space="preserve"> window</t>
    </r>
  </si>
  <si>
    <t>Not on Vision Modules list; window contains OK, Cancel, Queue, and Search Buttons</t>
  </si>
  <si>
    <r>
      <rPr>
        <i/>
        <sz val="11"/>
        <color theme="1"/>
        <rFont val="Calibri"/>
        <family val="2"/>
      </rPr>
      <t>OK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>Reapplication Confirmation</t>
    </r>
    <r>
      <rPr>
        <sz val="11"/>
        <color theme="1"/>
        <rFont val="Calibri"/>
        <family val="2"/>
      </rPr>
      <t xml:space="preserve"> window)</t>
    </r>
  </si>
  <si>
    <r>
      <t xml:space="preserve">Not on Vision Modules list; reapplies remit to case / defendant displayed in </t>
    </r>
    <r>
      <rPr>
        <i/>
        <sz val="11"/>
        <color theme="1"/>
        <rFont val="Calibri"/>
        <family val="2"/>
      </rPr>
      <t xml:space="preserve">Reapplication Confirmation </t>
    </r>
    <r>
      <rPr>
        <sz val="11"/>
        <color theme="1"/>
        <rFont val="Calibri"/>
        <family val="2"/>
      </rPr>
      <t>window</t>
    </r>
  </si>
  <si>
    <r>
      <rPr>
        <i/>
        <sz val="11"/>
        <color theme="1"/>
        <rFont val="Calibri"/>
        <family val="2"/>
      </rPr>
      <t>Cancel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>Reapplication Confirmation</t>
    </r>
    <r>
      <rPr>
        <sz val="11"/>
        <color theme="1"/>
        <rFont val="Calibri"/>
        <family val="2"/>
      </rPr>
      <t xml:space="preserve"> window)</t>
    </r>
  </si>
  <si>
    <r>
      <t xml:space="preserve">Not on Vision Modules list; closes </t>
    </r>
    <r>
      <rPr>
        <i/>
        <sz val="11"/>
        <color theme="1"/>
        <rFont val="Calibri"/>
        <family val="2"/>
      </rPr>
      <t xml:space="preserve">Reapplication Confirmation </t>
    </r>
    <r>
      <rPr>
        <sz val="11"/>
        <color theme="1"/>
        <rFont val="Calibri"/>
        <family val="2"/>
      </rPr>
      <t>window</t>
    </r>
  </si>
  <si>
    <r>
      <rPr>
        <i/>
        <sz val="11"/>
        <color theme="1"/>
        <rFont val="Calibri"/>
        <family val="2"/>
      </rPr>
      <t>Queue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>Reapplication Confirmation</t>
    </r>
    <r>
      <rPr>
        <sz val="11"/>
        <color theme="1"/>
        <rFont val="Calibri"/>
        <family val="2"/>
      </rPr>
      <t xml:space="preserve"> window)</t>
    </r>
  </si>
  <si>
    <t>Not on Vision Modules list; unsure of functionality</t>
  </si>
  <si>
    <r>
      <rPr>
        <i/>
        <sz val="11"/>
        <color theme="1"/>
        <rFont val="Calibri"/>
        <family val="2"/>
      </rPr>
      <t>Search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>Reapplication Confirmation</t>
    </r>
    <r>
      <rPr>
        <sz val="11"/>
        <color theme="1"/>
        <rFont val="Calibri"/>
        <family val="2"/>
      </rPr>
      <t xml:space="preserve"> window)</t>
    </r>
  </si>
  <si>
    <r>
      <t>Not on Vision Modules list; launches</t>
    </r>
    <r>
      <rPr>
        <i/>
        <sz val="11"/>
        <color theme="1"/>
        <rFont val="Calibri"/>
        <family val="2"/>
      </rPr>
      <t xml:space="preserve"> Case Search </t>
    </r>
    <r>
      <rPr>
        <sz val="11"/>
        <color theme="1"/>
        <rFont val="Calibri"/>
        <family val="2"/>
      </rPr>
      <t>window</t>
    </r>
  </si>
  <si>
    <r>
      <rPr>
        <i/>
        <sz val="11"/>
        <color theme="1"/>
        <rFont val="Calibri"/>
        <family val="2"/>
      </rPr>
      <t>Notes</t>
    </r>
    <r>
      <rPr>
        <sz val="11"/>
        <color theme="1"/>
        <rFont val="Calibri"/>
        <family val="2"/>
      </rPr>
      <t xml:space="preserve"> button</t>
    </r>
  </si>
  <si>
    <r>
      <t>Reapply Payment</t>
    </r>
    <r>
      <rPr>
        <sz val="11"/>
        <color theme="1"/>
        <rFont val="Calibri"/>
        <family val="2"/>
      </rPr>
      <t xml:space="preserve"> (w_ct_m_fscl_reapp_remit)</t>
    </r>
  </si>
  <si>
    <r>
      <t xml:space="preserve">Reversals </t>
    </r>
    <r>
      <rPr>
        <sz val="11"/>
        <color theme="1"/>
        <rFont val="Calibri"/>
        <family val="2"/>
      </rPr>
      <t>(w_ct_m_fscl_pmt_reversals)</t>
    </r>
  </si>
  <si>
    <r>
      <rPr>
        <b/>
        <sz val="11"/>
        <color rgb="FFFF0000"/>
        <rFont val="Calibri"/>
        <family val="2"/>
      </rPr>
      <t>?</t>
    </r>
    <r>
      <rPr>
        <sz val="11"/>
        <color theme="1"/>
        <rFont val="Calibri"/>
        <family val="2"/>
      </rPr>
      <t xml:space="preserve"> (w_ct_r_fiscal_multi_cases_reversal)</t>
    </r>
  </si>
  <si>
    <r>
      <t xml:space="preserve">Satellite Payment Approval </t>
    </r>
    <r>
      <rPr>
        <sz val="11"/>
        <color theme="1"/>
        <rFont val="Calibri"/>
        <family val="2"/>
      </rPr>
      <t>(w_ct_m_fscl_sat_pmt_apprv)</t>
    </r>
  </si>
  <si>
    <r>
      <t xml:space="preserve">Victim Restitution Approval </t>
    </r>
    <r>
      <rPr>
        <sz val="11"/>
        <color theme="1"/>
        <rFont val="Calibri"/>
        <family val="2"/>
      </rPr>
      <t>(w_ct_m_fscl_vr_apprv)</t>
    </r>
  </si>
  <si>
    <r>
      <rPr>
        <i/>
        <sz val="11"/>
        <color theme="1"/>
        <rFont val="Calibri"/>
        <family val="2"/>
      </rPr>
      <t xml:space="preserve">Search </t>
    </r>
    <r>
      <rPr>
        <sz val="11"/>
        <color theme="1"/>
        <rFont val="Calibri"/>
        <family val="2"/>
      </rPr>
      <t>button</t>
    </r>
  </si>
  <si>
    <t>Not on Vision Modules list; retrieves cases when search parameters used in header</t>
  </si>
  <si>
    <r>
      <rPr>
        <i/>
        <sz val="11"/>
        <color theme="1"/>
        <rFont val="Calibri"/>
        <family val="2"/>
      </rPr>
      <t xml:space="preserve">Reset </t>
    </r>
    <r>
      <rPr>
        <sz val="11"/>
        <color theme="1"/>
        <rFont val="Calibri"/>
        <family val="2"/>
      </rPr>
      <t>button</t>
    </r>
  </si>
  <si>
    <t>Not on Vision Modules list; clears data and search results in search parameters entered in header</t>
  </si>
  <si>
    <r>
      <rPr>
        <i/>
        <sz val="11"/>
        <color theme="1"/>
        <rFont val="Calibri"/>
        <family val="2"/>
      </rPr>
      <t xml:space="preserve">Approve </t>
    </r>
    <r>
      <rPr>
        <sz val="11"/>
        <color theme="1"/>
        <rFont val="Calibri"/>
        <family val="2"/>
      </rPr>
      <t>button</t>
    </r>
  </si>
  <si>
    <t>Not on Vision Modules list; select case and message displays: you have successfully approved the selected items</t>
  </si>
  <si>
    <r>
      <rPr>
        <i/>
        <sz val="11"/>
        <color theme="1"/>
        <rFont val="Calibri"/>
        <family val="2"/>
      </rPr>
      <t xml:space="preserve">Select All </t>
    </r>
    <r>
      <rPr>
        <sz val="11"/>
        <color theme="1"/>
        <rFont val="Calibri"/>
        <family val="2"/>
      </rPr>
      <t>button</t>
    </r>
  </si>
  <si>
    <r>
      <t xml:space="preserve">Not on Vision Modules list; checks all cases/checkboxes under Approve column; button updates to </t>
    </r>
    <r>
      <rPr>
        <i/>
        <sz val="11"/>
        <color theme="1"/>
        <rFont val="Calibri"/>
        <family val="2"/>
      </rPr>
      <t>Unselect All</t>
    </r>
  </si>
  <si>
    <r>
      <t>Not on Vision Modules list;</t>
    </r>
    <r>
      <rPr>
        <i/>
        <sz val="11"/>
        <color theme="1"/>
        <rFont val="Calibri"/>
        <family val="2"/>
      </rPr>
      <t xml:space="preserve"> Save As</t>
    </r>
    <r>
      <rPr>
        <sz val="11"/>
        <color theme="1"/>
        <rFont val="Calibri"/>
        <family val="2"/>
      </rPr>
      <t xml:space="preserve"> dialog window opens</t>
    </r>
  </si>
  <si>
    <r>
      <t xml:space="preserve">Not on Vision Modules list; </t>
    </r>
    <r>
      <rPr>
        <i/>
        <sz val="11"/>
        <color theme="1"/>
        <rFont val="Calibri"/>
        <family val="2"/>
      </rPr>
      <t>Print</t>
    </r>
    <r>
      <rPr>
        <sz val="11"/>
        <color theme="1"/>
        <rFont val="Calibri"/>
        <family val="2"/>
      </rPr>
      <t xml:space="preserve"> dialog window opens</t>
    </r>
  </si>
  <si>
    <r>
      <t xml:space="preserve">Summary Judgment </t>
    </r>
    <r>
      <rPr>
        <sz val="11"/>
        <color theme="1"/>
        <rFont val="Calibri"/>
        <family val="2"/>
      </rPr>
      <t>(w_ct_m_summary_judgement)</t>
    </r>
  </si>
  <si>
    <t>Export to Excel</t>
  </si>
  <si>
    <t>Generate Notices</t>
  </si>
  <si>
    <t>Generate Memo</t>
  </si>
  <si>
    <t>FISCAL MAINTENANCE</t>
  </si>
  <si>
    <r>
      <t xml:space="preserve">Bail Distribution Schedule </t>
    </r>
    <r>
      <rPr>
        <sz val="11"/>
        <color theme="1"/>
        <rFont val="Calibri"/>
        <family val="2"/>
      </rPr>
      <t>(w_ct_m_fscl_bail_dist_sched)</t>
    </r>
  </si>
  <si>
    <r>
      <rPr>
        <i/>
        <sz val="11"/>
        <color theme="1"/>
        <rFont val="Calibri"/>
        <family val="2"/>
      </rPr>
      <t xml:space="preserve">New </t>
    </r>
    <r>
      <rPr>
        <sz val="11"/>
        <color theme="1"/>
        <rFont val="Calibri"/>
        <family val="2"/>
      </rPr>
      <t>button</t>
    </r>
  </si>
  <si>
    <t>Not on Vision Module list; adds blank new row</t>
  </si>
  <si>
    <r>
      <rPr>
        <i/>
        <sz val="11"/>
        <color theme="1"/>
        <rFont val="Calibri"/>
        <family val="2"/>
      </rPr>
      <t xml:space="preserve">Copy </t>
    </r>
    <r>
      <rPr>
        <sz val="11"/>
        <color theme="1"/>
        <rFont val="Calibri"/>
        <family val="2"/>
      </rPr>
      <t>button</t>
    </r>
  </si>
  <si>
    <t>Not on Vision Module list; adds copy of selected row</t>
  </si>
  <si>
    <r>
      <t xml:space="preserve">Filter </t>
    </r>
    <r>
      <rPr>
        <sz val="11"/>
        <color theme="1"/>
        <rFont val="Calibri"/>
        <family val="2"/>
      </rPr>
      <t>button</t>
    </r>
  </si>
  <si>
    <r>
      <t xml:space="preserve">Not on Vision Module list; launches </t>
    </r>
    <r>
      <rPr>
        <i/>
        <sz val="11"/>
        <color theme="1"/>
        <rFont val="Calibri"/>
        <family val="2"/>
      </rPr>
      <t>Specify Filter</t>
    </r>
    <r>
      <rPr>
        <sz val="11"/>
        <color theme="1"/>
        <rFont val="Calibri"/>
        <family val="2"/>
      </rPr>
      <t xml:space="preserve"> window</t>
    </r>
  </si>
  <si>
    <r>
      <t xml:space="preserve">Add </t>
    </r>
    <r>
      <rPr>
        <sz val="11"/>
        <color theme="1"/>
        <rFont val="Calibri"/>
        <family val="2"/>
      </rPr>
      <t>button</t>
    </r>
  </si>
  <si>
    <t>Not on Vision Module list; adds fund row</t>
  </si>
  <si>
    <r>
      <rPr>
        <i/>
        <sz val="11"/>
        <color theme="1"/>
        <rFont val="Calibri"/>
        <family val="2"/>
      </rPr>
      <t xml:space="preserve">Test </t>
    </r>
    <r>
      <rPr>
        <sz val="11"/>
        <color theme="1"/>
        <rFont val="Calibri"/>
        <family val="2"/>
      </rPr>
      <t>button</t>
    </r>
  </si>
  <si>
    <t>Not on Vision Module list; creates test distribution based on distribution configuration/Test Amt</t>
  </si>
  <si>
    <r>
      <t xml:space="preserve">Base Distribution Xref </t>
    </r>
    <r>
      <rPr>
        <sz val="11"/>
        <color theme="1"/>
        <rFont val="Calibri"/>
        <family val="2"/>
      </rPr>
      <t>(w_ct_m_fscl_base_dist_xref)</t>
    </r>
  </si>
  <si>
    <r>
      <t xml:space="preserve">Retrieve </t>
    </r>
    <r>
      <rPr>
        <sz val="11"/>
        <color theme="1"/>
        <rFont val="Calibri"/>
        <family val="2"/>
      </rPr>
      <t>button</t>
    </r>
  </si>
  <si>
    <t>Not on Vision Module list; retrieves data after Cross-Reference Type selected</t>
  </si>
  <si>
    <r>
      <rPr>
        <i/>
        <sz val="11"/>
        <color theme="1"/>
        <rFont val="Calibri"/>
        <family val="2"/>
      </rPr>
      <t xml:space="preserve">Cancel </t>
    </r>
    <r>
      <rPr>
        <sz val="11"/>
        <color theme="1"/>
        <rFont val="Calibri"/>
        <family val="2"/>
      </rPr>
      <t>button</t>
    </r>
  </si>
  <si>
    <r>
      <t xml:space="preserve">Bondsman / Surety </t>
    </r>
    <r>
      <rPr>
        <sz val="11"/>
        <color theme="1"/>
        <rFont val="Calibri"/>
        <family val="2"/>
      </rPr>
      <t>(w_ct_m_bondsman_surety)</t>
    </r>
  </si>
  <si>
    <r>
      <rPr>
        <i/>
        <sz val="11"/>
        <color theme="1"/>
        <rFont val="Calibri"/>
        <family val="2"/>
      </rPr>
      <t>Bondsman Surety Search</t>
    </r>
    <r>
      <rPr>
        <sz val="11"/>
        <color theme="1"/>
        <rFont val="Calibri"/>
        <family val="2"/>
      </rPr>
      <t xml:space="preserve"> window</t>
    </r>
  </si>
  <si>
    <t>Not on Vision Modules list; launched when opening window for first time</t>
  </si>
  <si>
    <r>
      <rPr>
        <i/>
        <sz val="11"/>
        <color theme="1"/>
        <rFont val="Calibri"/>
        <family val="2"/>
      </rPr>
      <t>Search</t>
    </r>
    <r>
      <rPr>
        <sz val="11"/>
        <color theme="1"/>
        <rFont val="Calibri"/>
        <family val="2"/>
      </rPr>
      <t xml:space="preserve"> button</t>
    </r>
  </si>
  <si>
    <r>
      <t xml:space="preserve">Not on Vision Modules list; displayed on </t>
    </r>
    <r>
      <rPr>
        <i/>
        <sz val="11"/>
        <color theme="1"/>
        <rFont val="Calibri"/>
        <family val="2"/>
      </rPr>
      <t>Bondsman Surety Search</t>
    </r>
    <r>
      <rPr>
        <sz val="11"/>
        <color theme="1"/>
        <rFont val="Calibri"/>
        <family val="2"/>
      </rPr>
      <t xml:space="preserve"> window - retreives data per Name input</t>
    </r>
  </si>
  <si>
    <r>
      <rPr>
        <i/>
        <sz val="11"/>
        <color theme="1"/>
        <rFont val="Calibri"/>
        <family val="2"/>
      </rPr>
      <t xml:space="preserve">Reset </t>
    </r>
    <r>
      <rPr>
        <sz val="11"/>
        <color theme="1"/>
        <rFont val="Calibri"/>
        <family val="2"/>
      </rPr>
      <t xml:space="preserve">button </t>
    </r>
  </si>
  <si>
    <r>
      <t xml:space="preserve">Not on Vision Modules list; displayed on </t>
    </r>
    <r>
      <rPr>
        <i/>
        <sz val="11"/>
        <color theme="1"/>
        <rFont val="Calibri"/>
        <family val="2"/>
      </rPr>
      <t>Bondsman Surety Search</t>
    </r>
    <r>
      <rPr>
        <sz val="11"/>
        <color theme="1"/>
        <rFont val="Calibri"/>
        <family val="2"/>
      </rPr>
      <t xml:space="preserve"> window - clears Name input and search results</t>
    </r>
  </si>
  <si>
    <r>
      <t xml:space="preserve">Not on Vision Modules list; displayed on </t>
    </r>
    <r>
      <rPr>
        <i/>
        <sz val="11"/>
        <color theme="1"/>
        <rFont val="Calibri"/>
        <family val="2"/>
      </rPr>
      <t>Bondsman Surety Search</t>
    </r>
    <r>
      <rPr>
        <sz val="11"/>
        <color theme="1"/>
        <rFont val="Calibri"/>
        <family val="2"/>
      </rPr>
      <t xml:space="preserve"> window - closes all </t>
    </r>
    <r>
      <rPr>
        <i/>
        <sz val="11"/>
        <color theme="1"/>
        <rFont val="Calibri"/>
        <family val="2"/>
      </rPr>
      <t>Bondsman/Surety</t>
    </r>
    <r>
      <rPr>
        <sz val="11"/>
        <color theme="1"/>
        <rFont val="Calibri"/>
        <family val="2"/>
      </rPr>
      <t xml:space="preserve"> windows</t>
    </r>
  </si>
  <si>
    <r>
      <t xml:space="preserve">Select </t>
    </r>
    <r>
      <rPr>
        <sz val="11"/>
        <color theme="1"/>
        <rFont val="Calibri"/>
        <family val="2"/>
      </rPr>
      <t>button</t>
    </r>
  </si>
  <si>
    <r>
      <t xml:space="preserve">Not on Vision Modules list; displayed on </t>
    </r>
    <r>
      <rPr>
        <i/>
        <sz val="11"/>
        <color theme="1"/>
        <rFont val="Calibri"/>
        <family val="2"/>
      </rPr>
      <t>Bondsman Surety Search</t>
    </r>
    <r>
      <rPr>
        <sz val="11"/>
        <color theme="1"/>
        <rFont val="Calibri"/>
        <family val="2"/>
      </rPr>
      <t xml:space="preserve"> window - enables when search results found, opens row in </t>
    </r>
    <r>
      <rPr>
        <i/>
        <sz val="11"/>
        <color theme="1"/>
        <rFont val="Calibri"/>
        <family val="2"/>
      </rPr>
      <t>Bondsman Surety</t>
    </r>
    <r>
      <rPr>
        <sz val="11"/>
        <color theme="1"/>
        <rFont val="Calibri"/>
        <family val="2"/>
      </rPr>
      <t xml:space="preserve"> window</t>
    </r>
  </si>
  <si>
    <r>
      <t xml:space="preserve">New </t>
    </r>
    <r>
      <rPr>
        <sz val="11"/>
        <color theme="1"/>
        <rFont val="Calibri"/>
        <family val="2"/>
      </rPr>
      <t>button</t>
    </r>
  </si>
  <si>
    <r>
      <t xml:space="preserve">Not on Vision Modules list; displayed on </t>
    </r>
    <r>
      <rPr>
        <i/>
        <sz val="11"/>
        <color theme="1"/>
        <rFont val="Calibri"/>
        <family val="2"/>
      </rPr>
      <t>Bondsman Surety Search</t>
    </r>
    <r>
      <rPr>
        <sz val="11"/>
        <color theme="1"/>
        <rFont val="Calibri"/>
        <family val="2"/>
      </rPr>
      <t xml:space="preserve"> window - opens row in </t>
    </r>
    <r>
      <rPr>
        <i/>
        <sz val="11"/>
        <color theme="1"/>
        <rFont val="Calibri"/>
        <family val="2"/>
      </rPr>
      <t>Bondsman Surety</t>
    </r>
    <r>
      <rPr>
        <sz val="11"/>
        <color theme="1"/>
        <rFont val="Calibri"/>
        <family val="2"/>
      </rPr>
      <t xml:space="preserve"> window as new agency for user to enter</t>
    </r>
  </si>
  <si>
    <r>
      <t xml:space="preserve">Chart of Accounts </t>
    </r>
    <r>
      <rPr>
        <sz val="11"/>
        <color theme="1"/>
        <rFont val="Calibri"/>
        <family val="2"/>
      </rPr>
      <t>(w_ct_m_fscl_chart_of_accts)</t>
    </r>
  </si>
  <si>
    <r>
      <rPr>
        <i/>
        <sz val="11"/>
        <color theme="1"/>
        <rFont val="Calibri"/>
        <family val="2"/>
      </rPr>
      <t>New</t>
    </r>
    <r>
      <rPr>
        <sz val="11"/>
        <color theme="1"/>
        <rFont val="Calibri"/>
        <family val="2"/>
      </rPr>
      <t xml:space="preserve"> button</t>
    </r>
  </si>
  <si>
    <t>Not in Vision Module list; adds blank row for new account</t>
  </si>
  <si>
    <r>
      <t xml:space="preserve">Check Maintenance </t>
    </r>
    <r>
      <rPr>
        <sz val="11"/>
        <color rgb="FFFF0000"/>
        <rFont val="Calibri"/>
        <family val="2"/>
      </rPr>
      <t>(duplicate)</t>
    </r>
  </si>
  <si>
    <r>
      <t xml:space="preserve">Cost of Collections </t>
    </r>
    <r>
      <rPr>
        <sz val="11"/>
        <color theme="1"/>
        <rFont val="Calibri"/>
        <family val="2"/>
      </rPr>
      <t>(w_ct_m_fscl_cost_of_collections)</t>
    </r>
  </si>
  <si>
    <r>
      <rPr>
        <i/>
        <sz val="11"/>
        <color theme="1"/>
        <rFont val="Calibri"/>
        <family val="2"/>
      </rPr>
      <t>Save</t>
    </r>
    <r>
      <rPr>
        <sz val="11"/>
        <color theme="1"/>
        <rFont val="Calibri"/>
        <family val="2"/>
      </rPr>
      <t xml:space="preserve"> button</t>
    </r>
  </si>
  <si>
    <t>Not on Vision Module list; saves update</t>
  </si>
  <si>
    <r>
      <rPr>
        <i/>
        <sz val="11"/>
        <color theme="1"/>
        <rFont val="Calibri"/>
        <family val="2"/>
      </rPr>
      <t>Close</t>
    </r>
    <r>
      <rPr>
        <sz val="11"/>
        <color theme="1"/>
        <rFont val="Calibri"/>
        <family val="2"/>
      </rPr>
      <t xml:space="preserve"> button</t>
    </r>
  </si>
  <si>
    <r>
      <t xml:space="preserve">Fee Distribution Schedule </t>
    </r>
    <r>
      <rPr>
        <sz val="11"/>
        <color theme="1"/>
        <rFont val="Calibri"/>
        <family val="2"/>
      </rPr>
      <t>(w_ct_m_fscl_fee_dist_sched)</t>
    </r>
  </si>
  <si>
    <r>
      <t>Fund Maintenance</t>
    </r>
    <r>
      <rPr>
        <sz val="11"/>
        <color theme="1"/>
        <rFont val="Calibri"/>
        <family val="2"/>
      </rPr>
      <t xml:space="preserve"> (w_ct_m_fscl_fund_maint)</t>
    </r>
  </si>
  <si>
    <r>
      <t xml:space="preserve">PA Distribution Mass Update </t>
    </r>
    <r>
      <rPr>
        <sz val="11"/>
        <color theme="1"/>
        <rFont val="Calibri"/>
        <family val="2"/>
      </rPr>
      <t>(w_ct_pa_dist_mass_update)</t>
    </r>
  </si>
  <si>
    <r>
      <rPr>
        <b/>
        <sz val="11"/>
        <color rgb="FFFF0000"/>
        <rFont val="Calibri"/>
        <family val="2"/>
      </rPr>
      <t>?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(w_ct_pa_dist_mass_update_prompt)</t>
    </r>
  </si>
  <si>
    <t>Not on Vision Module list; retrieves PA Distribution Schedule results</t>
  </si>
  <si>
    <t>Arrow button</t>
  </si>
  <si>
    <r>
      <t xml:space="preserve">Not on Vision Module list; moves </t>
    </r>
    <r>
      <rPr>
        <i/>
        <sz val="11"/>
        <color theme="1"/>
        <rFont val="Calibri"/>
        <family val="2"/>
      </rPr>
      <t xml:space="preserve">Current Distribution </t>
    </r>
    <r>
      <rPr>
        <sz val="11"/>
        <color theme="1"/>
        <rFont val="Calibri"/>
        <family val="2"/>
      </rPr>
      <t xml:space="preserve">rows to </t>
    </r>
    <r>
      <rPr>
        <i/>
        <sz val="11"/>
        <color theme="1"/>
        <rFont val="Calibri"/>
        <family val="2"/>
      </rPr>
      <t xml:space="preserve">Tobe Distribution </t>
    </r>
  </si>
  <si>
    <r>
      <rPr>
        <i/>
        <sz val="11"/>
        <color theme="1"/>
        <rFont val="Calibri"/>
        <family val="2"/>
      </rPr>
      <t xml:space="preserve">Apply </t>
    </r>
    <r>
      <rPr>
        <sz val="11"/>
        <color theme="1"/>
        <rFont val="Calibri"/>
        <family val="2"/>
      </rPr>
      <t>button</t>
    </r>
  </si>
  <si>
    <r>
      <rPr>
        <i/>
        <sz val="11"/>
        <color theme="1"/>
        <rFont val="Calibri"/>
        <family val="2"/>
      </rPr>
      <t xml:space="preserve">Export </t>
    </r>
    <r>
      <rPr>
        <sz val="11"/>
        <color theme="1"/>
        <rFont val="Calibri"/>
        <family val="2"/>
      </rPr>
      <t>button</t>
    </r>
  </si>
  <si>
    <r>
      <t xml:space="preserve">PA Distribution Schedule </t>
    </r>
    <r>
      <rPr>
        <sz val="11"/>
        <color theme="1"/>
        <rFont val="Calibri"/>
        <family val="2"/>
      </rPr>
      <t>(w_ct_m_fscl_pa_dist_sched)</t>
    </r>
  </si>
  <si>
    <r>
      <t xml:space="preserve">PA Distribution Xref </t>
    </r>
    <r>
      <rPr>
        <sz val="11"/>
        <color theme="1"/>
        <rFont val="Calibri"/>
        <family val="2"/>
      </rPr>
      <t>(w_ct_m_fscl_dist_xref)</t>
    </r>
  </si>
  <si>
    <r>
      <t xml:space="preserve">Special Distribution Schedule </t>
    </r>
    <r>
      <rPr>
        <sz val="11"/>
        <color theme="1"/>
        <rFont val="Calibri"/>
        <family val="2"/>
      </rPr>
      <t>(w_ct_m_fscl_spl_dist_sched)</t>
    </r>
  </si>
  <si>
    <r>
      <t xml:space="preserve">VR Distribution Schedule </t>
    </r>
    <r>
      <rPr>
        <sz val="11"/>
        <color theme="1"/>
        <rFont val="Calibri"/>
        <family val="2"/>
      </rPr>
      <t>(w_ct_m_fscl_vr_dist_sched)</t>
    </r>
  </si>
  <si>
    <t>INTERFACES</t>
  </si>
  <si>
    <r>
      <t>ATP Dashboard</t>
    </r>
    <r>
      <rPr>
        <sz val="11"/>
        <color theme="1"/>
        <rFont val="Calibri"/>
        <family val="2"/>
      </rPr>
      <t xml:space="preserve"> (w_ct_m_atp_dashboard)</t>
    </r>
  </si>
  <si>
    <r>
      <t xml:space="preserve">Minutes </t>
    </r>
    <r>
      <rPr>
        <sz val="11"/>
        <color theme="1"/>
        <rFont val="Calibri"/>
        <family val="2"/>
      </rPr>
      <t>(w_ct_m_docket_reporting)</t>
    </r>
  </si>
  <si>
    <t>Launched by double-clicking case row</t>
  </si>
  <si>
    <r>
      <rPr>
        <i/>
        <sz val="11"/>
        <color theme="1"/>
        <rFont val="Calibri"/>
        <family val="2"/>
      </rPr>
      <t xml:space="preserve">Retrieve </t>
    </r>
    <r>
      <rPr>
        <sz val="11"/>
        <color theme="1"/>
        <rFont val="Calibri"/>
        <family val="2"/>
      </rPr>
      <t>button (</t>
    </r>
    <r>
      <rPr>
        <i/>
        <sz val="11"/>
        <color theme="1"/>
        <rFont val="Calibri"/>
        <family val="2"/>
      </rPr>
      <t xml:space="preserve">Processed Actions </t>
    </r>
    <r>
      <rPr>
        <sz val="11"/>
        <color theme="1"/>
        <rFont val="Calibri"/>
        <family val="2"/>
      </rPr>
      <t>tab)</t>
    </r>
  </si>
  <si>
    <t>Not on Vision Modules list; retrieves data based on header parameters</t>
  </si>
  <si>
    <r>
      <rPr>
        <i/>
        <sz val="11"/>
        <color theme="1"/>
        <rFont val="Calibri"/>
        <family val="2"/>
      </rPr>
      <t xml:space="preserve">Refresh </t>
    </r>
    <r>
      <rPr>
        <sz val="11"/>
        <color theme="1"/>
        <rFont val="Calibri"/>
        <family val="2"/>
      </rPr>
      <t>button (</t>
    </r>
    <r>
      <rPr>
        <i/>
        <sz val="11"/>
        <color theme="1"/>
        <rFont val="Calibri"/>
        <family val="2"/>
      </rPr>
      <t>Pending Actions</t>
    </r>
    <r>
      <rPr>
        <sz val="11"/>
        <color theme="1"/>
        <rFont val="Calibri"/>
        <family val="2"/>
      </rPr>
      <t xml:space="preserve"> tab)</t>
    </r>
  </si>
  <si>
    <t>Not on Vision Modules list; refreshes data on tab</t>
  </si>
  <si>
    <r>
      <t>Check 21 - Collections</t>
    </r>
    <r>
      <rPr>
        <sz val="11"/>
        <color theme="1"/>
        <rFont val="Calibri"/>
        <family val="2"/>
      </rPr>
      <t xml:space="preserve"> (w_ct_m_check_21_interface)</t>
    </r>
  </si>
  <si>
    <t>Not in use</t>
  </si>
  <si>
    <r>
      <t>Check 21 - Operations</t>
    </r>
    <r>
      <rPr>
        <sz val="11"/>
        <color theme="1"/>
        <rFont val="Calibri"/>
        <family val="2"/>
      </rPr>
      <t xml:space="preserve"> (w_ct_m_check_21_interface)</t>
    </r>
  </si>
  <si>
    <r>
      <t xml:space="preserve">Check Auditor/Controller </t>
    </r>
    <r>
      <rPr>
        <sz val="11"/>
        <color theme="1"/>
        <rFont val="Calibri"/>
        <family val="2"/>
      </rPr>
      <t>(w_ct_m_fscl_audit_controller)</t>
    </r>
  </si>
  <si>
    <r>
      <rPr>
        <i/>
        <sz val="11"/>
        <color theme="1"/>
        <rFont val="Calibri"/>
        <family val="2"/>
      </rPr>
      <t>Run</t>
    </r>
    <r>
      <rPr>
        <sz val="11"/>
        <color theme="1"/>
        <rFont val="Calibri"/>
        <family val="2"/>
      </rPr>
      <t xml:space="preserve"> button (Row 1)</t>
    </r>
  </si>
  <si>
    <t xml:space="preserve">Not on Vision Modules list; generates .bat file to send to Auditor Controller </t>
  </si>
  <si>
    <r>
      <rPr>
        <i/>
        <sz val="11"/>
        <color theme="1"/>
        <rFont val="Calibri"/>
        <family val="2"/>
      </rPr>
      <t>Run</t>
    </r>
    <r>
      <rPr>
        <sz val="11"/>
        <color theme="1"/>
        <rFont val="Calibri"/>
        <family val="2"/>
      </rPr>
      <t xml:space="preserve"> button (Row 2)</t>
    </r>
  </si>
  <si>
    <t xml:space="preserve">Not on Vision Modules list; unsure of functionality (title notes 'Do not Use') </t>
  </si>
  <si>
    <r>
      <rPr>
        <i/>
        <sz val="11"/>
        <color theme="1"/>
        <rFont val="Calibri"/>
        <family val="2"/>
      </rPr>
      <t>Run</t>
    </r>
    <r>
      <rPr>
        <sz val="11"/>
        <color theme="1"/>
        <rFont val="Calibri"/>
        <family val="2"/>
      </rPr>
      <t xml:space="preserve"> button (Row 3)</t>
    </r>
  </si>
  <si>
    <t xml:space="preserve">Not on Vision Modules list; unsure of functionality (title notes 'Don't Use') </t>
  </si>
  <si>
    <r>
      <t xml:space="preserve">DMV Abstract on Demand </t>
    </r>
    <r>
      <rPr>
        <sz val="11"/>
        <color theme="1"/>
        <rFont val="Calibri"/>
        <family val="2"/>
      </rPr>
      <t>(w_ct_m_dmv_abstract_on_demand)</t>
    </r>
  </si>
  <si>
    <t>Not on Vision Modules list; launches from binocular icon</t>
  </si>
  <si>
    <r>
      <t xml:space="preserve">Not on Vision Modules list; launches from </t>
    </r>
    <r>
      <rPr>
        <i/>
        <sz val="11"/>
        <color theme="1"/>
        <rFont val="Calibri"/>
        <family val="2"/>
      </rPr>
      <t>Simple Case Search</t>
    </r>
    <r>
      <rPr>
        <sz val="11"/>
        <color theme="1"/>
        <rFont val="Calibri"/>
        <family val="2"/>
      </rPr>
      <t xml:space="preserve"> window</t>
    </r>
  </si>
  <si>
    <r>
      <t xml:space="preserve">Retrieve </t>
    </r>
    <r>
      <rPr>
        <sz val="11"/>
        <color theme="1"/>
        <rFont val="Calibri"/>
        <family val="2"/>
      </rPr>
      <t>button</t>
    </r>
    <r>
      <rPr>
        <i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(Search Criteria section)</t>
    </r>
  </si>
  <si>
    <t>Not on Vision Modules list; retrieves data</t>
  </si>
  <si>
    <r>
      <t xml:space="preserve">Process </t>
    </r>
    <r>
      <rPr>
        <sz val="11"/>
        <color theme="1"/>
        <rFont val="Calibri"/>
        <family val="2"/>
      </rPr>
      <t>button</t>
    </r>
    <r>
      <rPr>
        <i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(</t>
    </r>
    <r>
      <rPr>
        <i/>
        <sz val="11"/>
        <color theme="1"/>
        <rFont val="Calibri"/>
        <family val="2"/>
      </rPr>
      <t xml:space="preserve">Abstract </t>
    </r>
    <r>
      <rPr>
        <sz val="11"/>
        <color theme="1"/>
        <rFont val="Calibri"/>
        <family val="2"/>
      </rPr>
      <t>tab)</t>
    </r>
  </si>
  <si>
    <t>Not on Vision Modules list; generates DMV abstract</t>
  </si>
  <si>
    <r>
      <t xml:space="preserve">Save </t>
    </r>
    <r>
      <rPr>
        <sz val="11"/>
        <color theme="1"/>
        <rFont val="Calibri"/>
        <family val="2"/>
      </rPr>
      <t>buttons</t>
    </r>
    <r>
      <rPr>
        <i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(</t>
    </r>
    <r>
      <rPr>
        <i/>
        <sz val="11"/>
        <color theme="1"/>
        <rFont val="Calibri"/>
        <family val="2"/>
      </rPr>
      <t xml:space="preserve">Priors </t>
    </r>
    <r>
      <rPr>
        <sz val="11"/>
        <color theme="1"/>
        <rFont val="Calibri"/>
        <family val="2"/>
      </rPr>
      <t>tab)</t>
    </r>
  </si>
  <si>
    <t>Not on Vision Modules list; adds Case Level, Count Level, and/or Prior Cases for Public Case entered in Search Criteria section</t>
  </si>
  <si>
    <r>
      <t xml:space="preserve">Test Prior Eligibility </t>
    </r>
    <r>
      <rPr>
        <sz val="11"/>
        <color theme="1"/>
        <rFont val="Calibri"/>
        <family val="2"/>
      </rPr>
      <t>button</t>
    </r>
    <r>
      <rPr>
        <i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(</t>
    </r>
    <r>
      <rPr>
        <i/>
        <sz val="11"/>
        <color theme="1"/>
        <rFont val="Calibri"/>
        <family val="2"/>
      </rPr>
      <t xml:space="preserve">Priors </t>
    </r>
    <r>
      <rPr>
        <sz val="11"/>
        <color theme="1"/>
        <rFont val="Calibri"/>
        <family val="2"/>
      </rPr>
      <t>tab)</t>
    </r>
  </si>
  <si>
    <r>
      <t xml:space="preserve">ReCalc </t>
    </r>
    <r>
      <rPr>
        <sz val="11"/>
        <color theme="1"/>
        <rFont val="Calibri"/>
        <family val="2"/>
      </rPr>
      <t>button</t>
    </r>
    <r>
      <rPr>
        <i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(</t>
    </r>
    <r>
      <rPr>
        <i/>
        <sz val="11"/>
        <color theme="1"/>
        <rFont val="Calibri"/>
        <family val="2"/>
      </rPr>
      <t xml:space="preserve">Priors </t>
    </r>
    <r>
      <rPr>
        <sz val="11"/>
        <color theme="1"/>
        <rFont val="Calibri"/>
        <family val="2"/>
      </rPr>
      <t>tab)</t>
    </r>
  </si>
  <si>
    <t>Not on Vision Modules list; recalcs case</t>
  </si>
  <si>
    <r>
      <t xml:space="preserve">Close </t>
    </r>
    <r>
      <rPr>
        <sz val="11"/>
        <color theme="1"/>
        <rFont val="Calibri"/>
        <family val="2"/>
      </rPr>
      <t>button</t>
    </r>
  </si>
  <si>
    <r>
      <t xml:space="preserve">DMV Admin Transactions </t>
    </r>
    <r>
      <rPr>
        <sz val="11"/>
        <color theme="1"/>
        <rFont val="Calibri"/>
        <family val="2"/>
      </rPr>
      <t>(w_ct_m_dmv_admin_tran)</t>
    </r>
  </si>
  <si>
    <r>
      <t>DMV Error Maintenance</t>
    </r>
    <r>
      <rPr>
        <sz val="11"/>
        <color theme="1"/>
        <rFont val="Calibri"/>
        <family val="2"/>
      </rPr>
      <t xml:space="preserve"> (w_ct_m_dmv_abstract_maint)</t>
    </r>
  </si>
  <si>
    <r>
      <rPr>
        <i/>
        <sz val="11"/>
        <color theme="1"/>
        <rFont val="Calibri"/>
        <family val="2"/>
      </rPr>
      <t xml:space="preserve">Retrieve </t>
    </r>
    <r>
      <rPr>
        <sz val="11"/>
        <color theme="1"/>
        <rFont val="Calibri"/>
        <family val="2"/>
      </rPr>
      <t>buttons</t>
    </r>
  </si>
  <si>
    <t>Not on Vision Modules list; retrieves data based on corresponding tab</t>
  </si>
  <si>
    <r>
      <rPr>
        <i/>
        <sz val="11"/>
        <color theme="1"/>
        <rFont val="Calibri"/>
        <family val="2"/>
      </rPr>
      <t xml:space="preserve">Save As </t>
    </r>
    <r>
      <rPr>
        <sz val="11"/>
        <color theme="1"/>
        <rFont val="Calibri"/>
        <family val="2"/>
      </rPr>
      <t>buttons</t>
    </r>
  </si>
  <si>
    <r>
      <t xml:space="preserve">Not on Vision Modules list; launches </t>
    </r>
    <r>
      <rPr>
        <i/>
        <sz val="11"/>
        <color theme="1"/>
        <rFont val="Calibri"/>
        <family val="2"/>
      </rPr>
      <t>Save As</t>
    </r>
    <r>
      <rPr>
        <sz val="11"/>
        <color theme="1"/>
        <rFont val="Calibri"/>
        <family val="2"/>
      </rPr>
      <t xml:space="preserve"> dialog window</t>
    </r>
  </si>
  <si>
    <r>
      <t xml:space="preserve">DMV Error Cases Report </t>
    </r>
    <r>
      <rPr>
        <sz val="11"/>
        <color theme="1"/>
        <rFont val="Calibri"/>
        <family val="2"/>
      </rPr>
      <t>(w_ct_m_dmv_error_queue_mon)</t>
    </r>
  </si>
  <si>
    <r>
      <t xml:space="preserve">DMV Error Maintenance </t>
    </r>
    <r>
      <rPr>
        <sz val="11"/>
        <color theme="1"/>
        <rFont val="Calibri"/>
        <family val="2"/>
      </rPr>
      <t>(w_ct_m_dmv_abstract_maint)</t>
    </r>
  </si>
  <si>
    <r>
      <t xml:space="preserve">Not on Vision Module list; launched from double-click case in </t>
    </r>
    <r>
      <rPr>
        <i/>
        <sz val="11"/>
        <color theme="1"/>
        <rFont val="Calibri"/>
        <family val="2"/>
      </rPr>
      <t xml:space="preserve">DMV Error Cases Report </t>
    </r>
    <r>
      <rPr>
        <sz val="11"/>
        <color theme="1"/>
        <rFont val="Calibri"/>
        <family val="2"/>
      </rPr>
      <t>window (both tabs)</t>
    </r>
  </si>
  <si>
    <t>Not on Vision Module list; retrieves data</t>
  </si>
  <si>
    <t>Not on Vision Module list; launched from binocular icon (both tabs)</t>
  </si>
  <si>
    <r>
      <t xml:space="preserve">Retry </t>
    </r>
    <r>
      <rPr>
        <sz val="11"/>
        <color theme="1"/>
        <rFont val="Calibri"/>
        <family val="2"/>
      </rPr>
      <t>button</t>
    </r>
    <r>
      <rPr>
        <i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(</t>
    </r>
    <r>
      <rPr>
        <i/>
        <sz val="11"/>
        <color theme="1"/>
        <rFont val="Calibri"/>
        <family val="2"/>
      </rPr>
      <t xml:space="preserve">DMV Error Cases </t>
    </r>
    <r>
      <rPr>
        <sz val="11"/>
        <color theme="1"/>
        <rFont val="Calibri"/>
        <family val="2"/>
      </rPr>
      <t>tab)</t>
    </r>
  </si>
  <si>
    <t>Not on Vision Module list; retries DMV abstract that errored</t>
  </si>
  <si>
    <r>
      <t xml:space="preserve">Manual </t>
    </r>
    <r>
      <rPr>
        <sz val="11"/>
        <color theme="1"/>
        <rFont val="Calibri"/>
        <family val="2"/>
      </rPr>
      <t>button (</t>
    </r>
    <r>
      <rPr>
        <i/>
        <sz val="11"/>
        <color theme="1"/>
        <rFont val="Calibri"/>
        <family val="2"/>
      </rPr>
      <t>DMV Error Cases</t>
    </r>
    <r>
      <rPr>
        <sz val="11"/>
        <color theme="1"/>
        <rFont val="Calibri"/>
        <family val="2"/>
      </rPr>
      <t xml:space="preserve"> tab)</t>
    </r>
  </si>
  <si>
    <t>Not on Vision Module list; manually processes case</t>
  </si>
  <si>
    <r>
      <t xml:space="preserve">Print </t>
    </r>
    <r>
      <rPr>
        <sz val="11"/>
        <color theme="1"/>
        <rFont val="Calibri"/>
        <family val="2"/>
      </rPr>
      <t>button</t>
    </r>
  </si>
  <si>
    <r>
      <t xml:space="preserve">Not on Vision Module list; launches </t>
    </r>
    <r>
      <rPr>
        <i/>
        <sz val="11"/>
        <color theme="1"/>
        <rFont val="Calibri"/>
        <family val="2"/>
      </rPr>
      <t>Print</t>
    </r>
    <r>
      <rPr>
        <sz val="11"/>
        <color theme="1"/>
        <rFont val="Calibri"/>
        <family val="2"/>
      </rPr>
      <t xml:space="preserve"> dialog window (both tabs)</t>
    </r>
  </si>
  <si>
    <r>
      <t xml:space="preserve">Not on Vision Module list; launches </t>
    </r>
    <r>
      <rPr>
        <i/>
        <sz val="11"/>
        <color theme="1"/>
        <rFont val="Calibri"/>
        <family val="2"/>
      </rPr>
      <t>Save As</t>
    </r>
    <r>
      <rPr>
        <sz val="11"/>
        <color theme="1"/>
        <rFont val="Calibri"/>
        <family val="2"/>
      </rPr>
      <t xml:space="preserve"> dialog window (both tabs)</t>
    </r>
  </si>
  <si>
    <r>
      <t xml:space="preserve">Save Comments </t>
    </r>
    <r>
      <rPr>
        <sz val="11"/>
        <color theme="1"/>
        <rFont val="Calibri"/>
        <family val="2"/>
      </rPr>
      <t>button (</t>
    </r>
    <r>
      <rPr>
        <i/>
        <sz val="11"/>
        <color theme="1"/>
        <rFont val="Calibri"/>
        <family val="2"/>
      </rPr>
      <t>DMV Error Cases</t>
    </r>
    <r>
      <rPr>
        <sz val="11"/>
        <color theme="1"/>
        <rFont val="Calibri"/>
        <family val="2"/>
      </rPr>
      <t xml:space="preserve"> tab)</t>
    </r>
  </si>
  <si>
    <t>Not on Vision Module list; saves comments entered for case selected</t>
  </si>
  <si>
    <r>
      <t xml:space="preserve">Other Cases section - double click case opens </t>
    </r>
    <r>
      <rPr>
        <i/>
        <sz val="11"/>
        <color theme="1"/>
        <rFont val="Calibri"/>
        <family val="2"/>
      </rPr>
      <t xml:space="preserve">DMV Error Maintenance </t>
    </r>
    <r>
      <rPr>
        <sz val="11"/>
        <color theme="1"/>
        <rFont val="Calibri"/>
        <family val="2"/>
      </rPr>
      <t>for case selected</t>
    </r>
  </si>
  <si>
    <r>
      <rPr>
        <i/>
        <sz val="11"/>
        <color theme="1"/>
        <rFont val="Calibri"/>
        <family val="2"/>
      </rPr>
      <t>Charges</t>
    </r>
    <r>
      <rPr>
        <sz val="11"/>
        <color theme="1"/>
        <rFont val="Calibri"/>
        <family val="2"/>
      </rPr>
      <t xml:space="preserve"> section</t>
    </r>
  </si>
  <si>
    <r>
      <t xml:space="preserve">Not on Vision Modules list; </t>
    </r>
    <r>
      <rPr>
        <i/>
        <sz val="11"/>
        <color theme="1"/>
        <rFont val="Calibri"/>
        <family val="2"/>
      </rPr>
      <t xml:space="preserve">Sentences </t>
    </r>
    <r>
      <rPr>
        <sz val="11"/>
        <color theme="1"/>
        <rFont val="Calibri"/>
        <family val="2"/>
      </rPr>
      <t xml:space="preserve">section updates based on selected count in </t>
    </r>
    <r>
      <rPr>
        <i/>
        <sz val="11"/>
        <color theme="1"/>
        <rFont val="Calibri"/>
        <family val="2"/>
      </rPr>
      <t xml:space="preserve">Charges </t>
    </r>
    <r>
      <rPr>
        <sz val="11"/>
        <color theme="1"/>
        <rFont val="Calibri"/>
        <family val="2"/>
      </rPr>
      <t>section</t>
    </r>
  </si>
  <si>
    <r>
      <t xml:space="preserve">Save </t>
    </r>
    <r>
      <rPr>
        <sz val="11"/>
        <color theme="1"/>
        <rFont val="Calibri"/>
        <family val="2"/>
      </rPr>
      <t>button</t>
    </r>
  </si>
  <si>
    <t>Not on Vision Module list; saves docket code(s) entered/applied from window</t>
  </si>
  <si>
    <r>
      <t xml:space="preserve">Reset </t>
    </r>
    <r>
      <rPr>
        <sz val="11"/>
        <color theme="1"/>
        <rFont val="Calibri"/>
        <family val="2"/>
      </rPr>
      <t>button</t>
    </r>
  </si>
  <si>
    <t>Not on Vision Module list; clears docket code(s) entered/applied from window</t>
  </si>
  <si>
    <r>
      <t xml:space="preserve">Retry </t>
    </r>
    <r>
      <rPr>
        <sz val="11"/>
        <color theme="1"/>
        <rFont val="Calibri"/>
        <family val="2"/>
      </rPr>
      <t>button</t>
    </r>
  </si>
  <si>
    <r>
      <t xml:space="preserve">Manual </t>
    </r>
    <r>
      <rPr>
        <sz val="11"/>
        <color theme="1"/>
        <rFont val="Calibri"/>
        <family val="2"/>
      </rPr>
      <t>button</t>
    </r>
  </si>
  <si>
    <r>
      <t xml:space="preserve">DMV Prior Missing Report </t>
    </r>
    <r>
      <rPr>
        <sz val="11"/>
        <color theme="1"/>
        <rFont val="Calibri"/>
        <family val="2"/>
      </rPr>
      <t>(w_ct_m_dmv_priors_missing_cases)</t>
    </r>
  </si>
  <si>
    <t>Double-click row to launch</t>
  </si>
  <si>
    <t>Not on Vision Modules list; retrieves data based on Date parameters entered</t>
  </si>
  <si>
    <r>
      <t xml:space="preserve">Not on Vision Module list; launches </t>
    </r>
    <r>
      <rPr>
        <i/>
        <sz val="11"/>
        <color theme="1"/>
        <rFont val="Calibri"/>
        <family val="2"/>
      </rPr>
      <t>Print</t>
    </r>
    <r>
      <rPr>
        <sz val="11"/>
        <color theme="1"/>
        <rFont val="Calibri"/>
        <family val="2"/>
      </rPr>
      <t xml:space="preserve"> dialog window</t>
    </r>
  </si>
  <si>
    <r>
      <rPr>
        <i/>
        <sz val="11"/>
        <color theme="1"/>
        <rFont val="Calibri"/>
        <family val="2"/>
      </rPr>
      <t>Save As</t>
    </r>
    <r>
      <rPr>
        <sz val="11"/>
        <color theme="1"/>
        <rFont val="Calibri"/>
        <family val="2"/>
      </rPr>
      <t xml:space="preserve"> button</t>
    </r>
  </si>
  <si>
    <r>
      <t xml:space="preserve">Not on Vision Module list; launches </t>
    </r>
    <r>
      <rPr>
        <i/>
        <sz val="11"/>
        <color theme="1"/>
        <rFont val="Calibri"/>
        <family val="2"/>
      </rPr>
      <t>Save As</t>
    </r>
    <r>
      <rPr>
        <sz val="11"/>
        <color theme="1"/>
        <rFont val="Calibri"/>
        <family val="2"/>
      </rPr>
      <t xml:space="preserve"> dialog window</t>
    </r>
  </si>
  <si>
    <r>
      <t xml:space="preserve">DOJ Data Validation </t>
    </r>
    <r>
      <rPr>
        <sz val="11"/>
        <color theme="1"/>
        <rFont val="Calibri"/>
        <family val="2"/>
      </rPr>
      <t>(w_ct_m_intf_file_display)</t>
    </r>
  </si>
  <si>
    <r>
      <t xml:space="preserve">DOJ Interface </t>
    </r>
    <r>
      <rPr>
        <sz val="11"/>
        <color theme="1"/>
        <rFont val="Calibri"/>
        <family val="2"/>
      </rPr>
      <t>(w_ct_m_intf_doj_review)</t>
    </r>
  </si>
  <si>
    <t>Launched from binocular icon</t>
  </si>
  <si>
    <r>
      <rPr>
        <sz val="11"/>
        <color theme="1"/>
        <rFont val="Calibri"/>
        <family val="2"/>
      </rPr>
      <t xml:space="preserve">Launched from </t>
    </r>
    <r>
      <rPr>
        <i/>
        <sz val="11"/>
        <color theme="1"/>
        <rFont val="Calibri"/>
        <family val="2"/>
      </rPr>
      <t xml:space="preserve">abstract… </t>
    </r>
    <r>
      <rPr>
        <sz val="11"/>
        <color theme="1"/>
        <rFont val="Calibri"/>
        <family val="2"/>
      </rPr>
      <t>button and double-click Niem Status</t>
    </r>
  </si>
  <si>
    <r>
      <rPr>
        <sz val="11"/>
        <color theme="1"/>
        <rFont val="Calibri"/>
        <family val="2"/>
      </rPr>
      <t xml:space="preserve">Not on Vision Module list; </t>
    </r>
    <r>
      <rPr>
        <i/>
        <sz val="11"/>
        <color theme="1"/>
        <rFont val="Calibri"/>
        <family val="2"/>
      </rPr>
      <t xml:space="preserve">Save File </t>
    </r>
    <r>
      <rPr>
        <sz val="11"/>
        <color theme="1"/>
        <rFont val="Calibri"/>
        <family val="2"/>
      </rPr>
      <t>dialog window</t>
    </r>
  </si>
  <si>
    <r>
      <rPr>
        <sz val="11"/>
        <color theme="1"/>
        <rFont val="Calibri"/>
        <family val="2"/>
      </rPr>
      <t xml:space="preserve">Not on Vision Module list; closes </t>
    </r>
    <r>
      <rPr>
        <i/>
        <sz val="11"/>
        <color theme="1"/>
        <rFont val="Calibri"/>
        <family val="2"/>
      </rPr>
      <t xml:space="preserve">DOJ Abstract </t>
    </r>
    <r>
      <rPr>
        <sz val="11"/>
        <color theme="1"/>
        <rFont val="Calibri"/>
        <family val="2"/>
      </rPr>
      <t>window</t>
    </r>
  </si>
  <si>
    <t>Launched by double-click Case</t>
  </si>
  <si>
    <r>
      <rPr>
        <i/>
        <sz val="11"/>
        <color theme="1"/>
        <rFont val="Calibri"/>
        <family val="2"/>
      </rPr>
      <t>Retrieve</t>
    </r>
    <r>
      <rPr>
        <sz val="11"/>
        <color theme="1"/>
        <rFont val="Calibri"/>
        <family val="2"/>
      </rPr>
      <t xml:space="preserve"> button (Tabs 1, 2, 3, 5)</t>
    </r>
  </si>
  <si>
    <r>
      <rPr>
        <i/>
        <sz val="11"/>
        <color theme="1"/>
        <rFont val="Calibri"/>
        <family val="2"/>
      </rPr>
      <t>View DOJ Abstracts</t>
    </r>
    <r>
      <rPr>
        <sz val="11"/>
        <color theme="1"/>
        <rFont val="Calibri"/>
        <family val="2"/>
      </rPr>
      <t xml:space="preserve"> button (Tabs 1, 2, 3)</t>
    </r>
  </si>
  <si>
    <r>
      <t xml:space="preserve">Not on Vision Module list; launches </t>
    </r>
    <r>
      <rPr>
        <i/>
        <sz val="11"/>
        <color theme="1"/>
        <rFont val="Calibri"/>
        <family val="2"/>
      </rPr>
      <t xml:space="preserve">DOJ Abstract </t>
    </r>
    <r>
      <rPr>
        <sz val="11"/>
        <color theme="1"/>
        <rFont val="Calibri"/>
        <family val="2"/>
      </rPr>
      <t>window (blanck with DOJ Abstract Dt parameter)</t>
    </r>
  </si>
  <si>
    <r>
      <rPr>
        <i/>
        <sz val="11"/>
        <color theme="1"/>
        <rFont val="Calibri"/>
        <family val="2"/>
      </rPr>
      <t>Retrieve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View DOJ Abstracts </t>
    </r>
    <r>
      <rPr>
        <sz val="11"/>
        <color theme="1"/>
        <rFont val="Calibri"/>
        <family val="2"/>
      </rPr>
      <t>window)</t>
    </r>
  </si>
  <si>
    <t>Not on Vision Module list; retrieves data based on DOJ Abstract Dt selected</t>
  </si>
  <si>
    <r>
      <rPr>
        <i/>
        <sz val="11"/>
        <color theme="1"/>
        <rFont val="Calibri"/>
        <family val="2"/>
      </rPr>
      <t>Generate Abstract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View DOJ Abstracts </t>
    </r>
    <r>
      <rPr>
        <sz val="11"/>
        <color theme="1"/>
        <rFont val="Calibri"/>
        <family val="2"/>
      </rPr>
      <t>window)</t>
    </r>
  </si>
  <si>
    <t>Not on Vision Module list; generates DOJ abstract</t>
  </si>
  <si>
    <r>
      <rPr>
        <i/>
        <sz val="11"/>
        <color theme="1"/>
        <rFont val="Calibri"/>
        <family val="2"/>
      </rPr>
      <t>Save As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View DOJ Abstracts </t>
    </r>
    <r>
      <rPr>
        <sz val="11"/>
        <color theme="1"/>
        <rFont val="Calibri"/>
        <family val="2"/>
      </rPr>
      <t>window)</t>
    </r>
  </si>
  <si>
    <r>
      <t xml:space="preserve">Not on Vision Module list; launches </t>
    </r>
    <r>
      <rPr>
        <i/>
        <sz val="11"/>
        <color theme="1"/>
        <rFont val="Calibri"/>
        <family val="2"/>
      </rPr>
      <t xml:space="preserve">Save As </t>
    </r>
    <r>
      <rPr>
        <sz val="11"/>
        <color theme="1"/>
        <rFont val="Calibri"/>
        <family val="2"/>
      </rPr>
      <t>dialog window</t>
    </r>
  </si>
  <si>
    <r>
      <rPr>
        <i/>
        <sz val="11"/>
        <color theme="1"/>
        <rFont val="Calibri"/>
        <family val="2"/>
      </rPr>
      <t>Close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View DOJ Abstracts </t>
    </r>
    <r>
      <rPr>
        <sz val="11"/>
        <color theme="1"/>
        <rFont val="Calibri"/>
        <family val="2"/>
      </rPr>
      <t>window)</t>
    </r>
  </si>
  <si>
    <r>
      <t xml:space="preserve">Not on Vision Module list; closes </t>
    </r>
    <r>
      <rPr>
        <i/>
        <sz val="11"/>
        <color theme="1"/>
        <rFont val="Calibri"/>
        <family val="2"/>
      </rPr>
      <t xml:space="preserve">DOJ Abstract </t>
    </r>
    <r>
      <rPr>
        <sz val="11"/>
        <color theme="1"/>
        <rFont val="Calibri"/>
        <family val="2"/>
      </rPr>
      <t>window (</t>
    </r>
    <r>
      <rPr>
        <i/>
        <sz val="11"/>
        <color theme="1"/>
        <rFont val="Calibri"/>
        <family val="2"/>
      </rPr>
      <t>View DOJ Abstracts</t>
    </r>
    <r>
      <rPr>
        <sz val="11"/>
        <color theme="1"/>
        <rFont val="Calibri"/>
        <family val="2"/>
      </rPr>
      <t xml:space="preserve"> button)</t>
    </r>
  </si>
  <si>
    <r>
      <rPr>
        <i/>
        <sz val="11"/>
        <color theme="1"/>
        <rFont val="Calibri"/>
        <family val="2"/>
      </rPr>
      <t>Save as</t>
    </r>
    <r>
      <rPr>
        <sz val="11"/>
        <color theme="1"/>
        <rFont val="Calibri"/>
        <family val="2"/>
      </rPr>
      <t xml:space="preserve"> button (Tabs 1, 2, 3, 5)</t>
    </r>
  </si>
  <si>
    <r>
      <rPr>
        <i/>
        <sz val="11"/>
        <color theme="1"/>
        <rFont val="Calibri"/>
        <family val="2"/>
      </rPr>
      <t>Print Notice</t>
    </r>
    <r>
      <rPr>
        <sz val="11"/>
        <color theme="1"/>
        <rFont val="Calibri"/>
        <family val="2"/>
      </rPr>
      <t xml:space="preserve"> button (Tabs 1, 2, 3)</t>
    </r>
  </si>
  <si>
    <r>
      <t xml:space="preserve">Not on Vision Module list; launches </t>
    </r>
    <r>
      <rPr>
        <i/>
        <sz val="11"/>
        <color theme="1"/>
        <rFont val="Calibri"/>
        <family val="2"/>
      </rPr>
      <t xml:space="preserve">Print </t>
    </r>
    <r>
      <rPr>
        <sz val="11"/>
        <color theme="1"/>
        <rFont val="Calibri"/>
        <family val="2"/>
      </rPr>
      <t>dialog window</t>
    </r>
  </si>
  <si>
    <r>
      <rPr>
        <i/>
        <sz val="11"/>
        <color theme="1"/>
        <rFont val="Calibri"/>
        <family val="2"/>
      </rPr>
      <t>Export NIEM XML...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>1-Sent Transactions</t>
    </r>
    <r>
      <rPr>
        <sz val="11"/>
        <color theme="1"/>
        <rFont val="Calibri"/>
        <family val="2"/>
      </rPr>
      <t xml:space="preserve"> tab)</t>
    </r>
  </si>
  <si>
    <r>
      <t xml:space="preserve">Not on Vision Module list; launches </t>
    </r>
    <r>
      <rPr>
        <i/>
        <sz val="11"/>
        <color theme="1"/>
        <rFont val="Calibri"/>
        <family val="2"/>
      </rPr>
      <t xml:space="preserve">Browse for Folder </t>
    </r>
    <r>
      <rPr>
        <sz val="11"/>
        <color theme="1"/>
        <rFont val="Calibri"/>
        <family val="2"/>
      </rPr>
      <t>dialog window</t>
    </r>
  </si>
  <si>
    <r>
      <t>JMS Dashboard</t>
    </r>
    <r>
      <rPr>
        <sz val="11"/>
        <color theme="1"/>
        <rFont val="Calibri"/>
        <family val="2"/>
      </rPr>
      <t xml:space="preserve"> (w_ct_m_jms_dashboard_bzr)</t>
    </r>
  </si>
  <si>
    <t>Not on Vision Module list; displays data based on search parameters entered</t>
  </si>
  <si>
    <r>
      <rPr>
        <i/>
        <sz val="11"/>
        <color theme="1"/>
        <rFont val="Calibri"/>
        <family val="2"/>
      </rPr>
      <t>Reset</t>
    </r>
    <r>
      <rPr>
        <sz val="11"/>
        <color theme="1"/>
        <rFont val="Calibri"/>
        <family val="2"/>
      </rPr>
      <t xml:space="preserve"> button</t>
    </r>
  </si>
  <si>
    <t>Not on Vision Module list; clears Justice Center and Case # if entered</t>
  </si>
  <si>
    <r>
      <rPr>
        <i/>
        <sz val="11"/>
        <color theme="1"/>
        <rFont val="Calibri"/>
        <family val="2"/>
      </rPr>
      <t>Refresh Data</t>
    </r>
    <r>
      <rPr>
        <sz val="11"/>
        <color theme="1"/>
        <rFont val="Calibri"/>
        <family val="2"/>
      </rPr>
      <t xml:space="preserve"> link</t>
    </r>
  </si>
  <si>
    <t>Not on Vision Module list; refreshes search results</t>
  </si>
  <si>
    <r>
      <t xml:space="preserve">Mail Machine Interface - Collections </t>
    </r>
    <r>
      <rPr>
        <sz val="11"/>
        <color theme="1"/>
        <rFont val="Calibri"/>
        <family val="2"/>
      </rPr>
      <t>(w_ct_m_mail_machine_interface)</t>
    </r>
  </si>
  <si>
    <r>
      <t xml:space="preserve">Mail Machine Interface - Operations </t>
    </r>
    <r>
      <rPr>
        <sz val="11"/>
        <color theme="1"/>
        <rFont val="Calibri"/>
        <family val="2"/>
      </rPr>
      <t>(w_ct_m_mail_machine_interface)</t>
    </r>
  </si>
  <si>
    <r>
      <t xml:space="preserve">OneOC - Clerk Review Module </t>
    </r>
    <r>
      <rPr>
        <sz val="11"/>
        <color theme="1"/>
        <rFont val="Calibri"/>
        <family val="2"/>
      </rPr>
      <t>(w_ct_m_oneoc_interface)</t>
    </r>
  </si>
  <si>
    <r>
      <t xml:space="preserve">Courtroom </t>
    </r>
    <r>
      <rPr>
        <sz val="11"/>
        <color theme="1"/>
        <rFont val="Calibri"/>
        <family val="2"/>
      </rPr>
      <t>(w_ct_courtroom)</t>
    </r>
  </si>
  <si>
    <r>
      <t xml:space="preserve">Launched from </t>
    </r>
    <r>
      <rPr>
        <i/>
        <sz val="11"/>
        <color theme="1"/>
        <rFont val="Calibri"/>
        <family val="2"/>
      </rPr>
      <t xml:space="preserve">Courtroom </t>
    </r>
    <r>
      <rPr>
        <sz val="11"/>
        <color theme="1"/>
        <rFont val="Calibri"/>
        <family val="2"/>
      </rPr>
      <t>button (</t>
    </r>
    <r>
      <rPr>
        <i/>
        <sz val="11"/>
        <color theme="1"/>
        <rFont val="Calibri"/>
        <family val="2"/>
      </rPr>
      <t>2-Case Detail</t>
    </r>
    <r>
      <rPr>
        <sz val="11"/>
        <color theme="1"/>
        <rFont val="Calibri"/>
        <family val="2"/>
      </rPr>
      <t xml:space="preserve"> tab)</t>
    </r>
  </si>
  <si>
    <r>
      <rPr>
        <i/>
        <sz val="11"/>
        <color theme="1"/>
        <rFont val="Calibri"/>
        <family val="2"/>
      </rPr>
      <t xml:space="preserve">Search </t>
    </r>
    <r>
      <rPr>
        <sz val="11"/>
        <color theme="1"/>
        <rFont val="Calibri"/>
        <family val="2"/>
      </rPr>
      <t>button (1-Pending Cases, 3-Incoming Error Filter, 4-Outgoing Error Filter)</t>
    </r>
  </si>
  <si>
    <t>Not on Vision Module List; retrieves data based on Search Criteria</t>
  </si>
  <si>
    <r>
      <rPr>
        <i/>
        <sz val="11"/>
        <color theme="1"/>
        <rFont val="Calibri"/>
        <family val="2"/>
      </rPr>
      <t xml:space="preserve">Clear </t>
    </r>
    <r>
      <rPr>
        <sz val="11"/>
        <color theme="1"/>
        <rFont val="Calibri"/>
        <family val="2"/>
      </rPr>
      <t>button (1-Pending Cases tab)</t>
    </r>
  </si>
  <si>
    <t>Not on Vision Module List; clears search results</t>
  </si>
  <si>
    <r>
      <t>Folder icon button (</t>
    </r>
    <r>
      <rPr>
        <i/>
        <sz val="11"/>
        <color theme="1"/>
        <rFont val="Calibri"/>
        <family val="2"/>
      </rPr>
      <t xml:space="preserve">1-Pending Cases </t>
    </r>
    <r>
      <rPr>
        <sz val="11"/>
        <color theme="1"/>
        <rFont val="Calibri"/>
        <family val="2"/>
      </rPr>
      <t>tab)</t>
    </r>
  </si>
  <si>
    <r>
      <t>Not on Vision Module List; launches PDF image based on column (</t>
    </r>
    <r>
      <rPr>
        <i/>
        <sz val="11"/>
        <color theme="1"/>
        <rFont val="Calibri"/>
        <family val="2"/>
      </rPr>
      <t>Report</t>
    </r>
    <r>
      <rPr>
        <sz val="11"/>
        <color theme="1"/>
        <rFont val="Calibri"/>
        <family val="2"/>
      </rPr>
      <t xml:space="preserve"> or </t>
    </r>
    <r>
      <rPr>
        <i/>
        <sz val="11"/>
        <color theme="1"/>
        <rFont val="Calibri"/>
        <family val="2"/>
      </rPr>
      <t>Essay</t>
    </r>
    <r>
      <rPr>
        <sz val="11"/>
        <color theme="1"/>
        <rFont val="Calibri"/>
        <family val="2"/>
      </rPr>
      <t>)</t>
    </r>
  </si>
  <si>
    <r>
      <rPr>
        <i/>
        <sz val="11"/>
        <color theme="1"/>
        <rFont val="Calibri"/>
        <family val="2"/>
      </rPr>
      <t>View Essay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2-Case Detail </t>
    </r>
    <r>
      <rPr>
        <sz val="11"/>
        <color theme="1"/>
        <rFont val="Calibri"/>
        <family val="2"/>
      </rPr>
      <t>tab)</t>
    </r>
  </si>
  <si>
    <t>Not on Vision Module List; launches PDF Essay image</t>
  </si>
  <si>
    <r>
      <rPr>
        <i/>
        <sz val="11"/>
        <color theme="1"/>
        <rFont val="Calibri"/>
        <family val="2"/>
      </rPr>
      <t>View PDF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2-Case Detail </t>
    </r>
    <r>
      <rPr>
        <sz val="11"/>
        <color theme="1"/>
        <rFont val="Calibri"/>
        <family val="2"/>
      </rPr>
      <t>tab)</t>
    </r>
  </si>
  <si>
    <t>Not on Vision Module List; launches PDF Report image</t>
  </si>
  <si>
    <r>
      <rPr>
        <i/>
        <sz val="11"/>
        <color theme="1"/>
        <rFont val="Calibri"/>
        <family val="2"/>
      </rPr>
      <t>Refresh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2-Case Detail </t>
    </r>
    <r>
      <rPr>
        <sz val="11"/>
        <color theme="1"/>
        <rFont val="Calibri"/>
        <family val="2"/>
      </rPr>
      <t>tab)</t>
    </r>
  </si>
  <si>
    <t>Not on Vision Module List; unsure of functionality</t>
  </si>
  <si>
    <r>
      <rPr>
        <i/>
        <sz val="11"/>
        <color theme="1"/>
        <rFont val="Calibri"/>
        <family val="2"/>
      </rPr>
      <t>eFile Comp.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2-Case Detail </t>
    </r>
    <r>
      <rPr>
        <sz val="11"/>
        <color theme="1"/>
        <rFont val="Calibri"/>
        <family val="2"/>
      </rPr>
      <t>tab)</t>
    </r>
  </si>
  <si>
    <r>
      <rPr>
        <i/>
        <sz val="11"/>
        <color theme="1"/>
        <rFont val="Calibri"/>
        <family val="2"/>
      </rPr>
      <t>eFile Non-Comp.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2-Case Detail </t>
    </r>
    <r>
      <rPr>
        <sz val="11"/>
        <color theme="1"/>
        <rFont val="Calibri"/>
        <family val="2"/>
      </rPr>
      <t>tab)</t>
    </r>
  </si>
  <si>
    <r>
      <rPr>
        <i/>
        <sz val="11"/>
        <color theme="1"/>
        <rFont val="Calibri"/>
        <family val="2"/>
      </rPr>
      <t>Return to OneOC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2-Case Detail </t>
    </r>
    <r>
      <rPr>
        <sz val="11"/>
        <color theme="1"/>
        <rFont val="Calibri"/>
        <family val="2"/>
      </rPr>
      <t>tab)</t>
    </r>
  </si>
  <si>
    <r>
      <rPr>
        <i/>
        <sz val="11"/>
        <color theme="1"/>
        <rFont val="Calibri"/>
        <family val="2"/>
      </rPr>
      <t>Manual File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2-Case Detail </t>
    </r>
    <r>
      <rPr>
        <sz val="11"/>
        <color theme="1"/>
        <rFont val="Calibri"/>
        <family val="2"/>
      </rPr>
      <t>tab)</t>
    </r>
  </si>
  <si>
    <r>
      <rPr>
        <i/>
        <sz val="11"/>
        <color theme="1"/>
        <rFont val="Calibri"/>
        <family val="2"/>
      </rPr>
      <t>Save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3-Incoming Error Filter, 4-Outgoing Error Filter </t>
    </r>
    <r>
      <rPr>
        <sz val="11"/>
        <color theme="1"/>
        <rFont val="Calibri"/>
        <family val="2"/>
      </rPr>
      <t>tabs)</t>
    </r>
  </si>
  <si>
    <t>Not on Vision Module List; saves changes made in tabs 3, 4</t>
  </si>
  <si>
    <r>
      <rPr>
        <i/>
        <sz val="11"/>
        <color theme="1"/>
        <rFont val="Calibri"/>
        <family val="2"/>
      </rPr>
      <t>Save As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3-Incoming Error Filter, 4-Outgoing Error Filter </t>
    </r>
    <r>
      <rPr>
        <sz val="11"/>
        <color theme="1"/>
        <rFont val="Calibri"/>
        <family val="2"/>
      </rPr>
      <t>tabs)</t>
    </r>
  </si>
  <si>
    <t>JBSIS</t>
  </si>
  <si>
    <r>
      <t xml:space="preserve">Launched from </t>
    </r>
    <r>
      <rPr>
        <i/>
        <sz val="11"/>
        <color theme="1"/>
        <rFont val="Calibri"/>
        <family val="2"/>
      </rPr>
      <t xml:space="preserve">Minutes </t>
    </r>
    <r>
      <rPr>
        <sz val="11"/>
        <color theme="1"/>
        <rFont val="Calibri"/>
        <family val="2"/>
      </rPr>
      <t>button</t>
    </r>
  </si>
  <si>
    <r>
      <rPr>
        <b/>
        <sz val="11"/>
        <color theme="1"/>
        <rFont val="Calibri"/>
        <family val="2"/>
      </rPr>
      <t>JBSIS Maintenance</t>
    </r>
    <r>
      <rPr>
        <sz val="11"/>
        <color theme="1"/>
        <rFont val="Calibri"/>
        <family val="2"/>
      </rPr>
      <t xml:space="preserve"> (w_jbsis_maintenance)</t>
    </r>
  </si>
  <si>
    <r>
      <t xml:space="preserve">Not on Vision Modules list; launches </t>
    </r>
    <r>
      <rPr>
        <i/>
        <sz val="11"/>
        <color theme="1"/>
        <rFont val="Calibri"/>
        <family val="2"/>
      </rPr>
      <t>Print</t>
    </r>
    <r>
      <rPr>
        <sz val="11"/>
        <color theme="1"/>
        <rFont val="Calibri"/>
        <family val="2"/>
      </rPr>
      <t xml:space="preserve"> dialog window</t>
    </r>
  </si>
  <si>
    <r>
      <t xml:space="preserve">JBSIS Maintenance </t>
    </r>
    <r>
      <rPr>
        <sz val="11"/>
        <color theme="1"/>
        <rFont val="Calibri"/>
        <family val="2"/>
      </rPr>
      <t>(w_jbsis_maintenance)</t>
    </r>
  </si>
  <si>
    <r>
      <t xml:space="preserve">JBSIS Report Defn. </t>
    </r>
    <r>
      <rPr>
        <sz val="11"/>
        <color theme="1"/>
        <rFont val="Calibri"/>
        <family val="2"/>
      </rPr>
      <t>(w_ct_m_jbsis_report_detail)</t>
    </r>
  </si>
  <si>
    <r>
      <t>JBSIS Reporting</t>
    </r>
    <r>
      <rPr>
        <sz val="11"/>
        <color theme="1"/>
        <rFont val="Calibri"/>
        <family val="2"/>
      </rPr>
      <t xml:space="preserve"> (w_ct_jbsis_manrpt)</t>
    </r>
  </si>
  <si>
    <r>
      <rPr>
        <b/>
        <sz val="11"/>
        <color theme="1"/>
        <rFont val="Calibri"/>
        <family val="2"/>
      </rPr>
      <t xml:space="preserve">JBSIS Case Listing </t>
    </r>
    <r>
      <rPr>
        <sz val="11"/>
        <color theme="1"/>
        <rFont val="Calibri"/>
        <family val="2"/>
      </rPr>
      <t>(w_ct_jbsis_case_person)</t>
    </r>
  </si>
  <si>
    <t>Double-click cell</t>
  </si>
  <si>
    <r>
      <t xml:space="preserve">Double-click ccase in </t>
    </r>
    <r>
      <rPr>
        <i/>
        <sz val="11"/>
        <color theme="1"/>
        <rFont val="Calibri"/>
        <family val="2"/>
      </rPr>
      <t xml:space="preserve">JBSIS Case Listing </t>
    </r>
    <r>
      <rPr>
        <sz val="11"/>
        <color theme="1"/>
        <rFont val="Calibri"/>
        <family val="2"/>
      </rPr>
      <t>window</t>
    </r>
  </si>
  <si>
    <t>MOCS MAINTENANCE</t>
  </si>
  <si>
    <r>
      <t xml:space="preserve">BR/SP Assoc </t>
    </r>
    <r>
      <rPr>
        <sz val="11"/>
        <rFont val="Calibri"/>
        <family val="2"/>
      </rPr>
      <t>(w_ct_m_mocs_br_sp_assoc)</t>
    </r>
  </si>
  <si>
    <r>
      <t xml:space="preserve">Case Characteristics </t>
    </r>
    <r>
      <rPr>
        <sz val="11"/>
        <rFont val="Calibri"/>
        <family val="2"/>
      </rPr>
      <t>(w_ct_m_mocs_case_characteristics)</t>
    </r>
  </si>
  <si>
    <r>
      <t xml:space="preserve">Courtroom Setup (MOCS) </t>
    </r>
    <r>
      <rPr>
        <sz val="11"/>
        <rFont val="Calibri"/>
        <family val="2"/>
      </rPr>
      <t>(w_ct_m_mocs_courtroom_setup)</t>
    </r>
  </si>
  <si>
    <r>
      <t xml:space="preserve">Docket Definition </t>
    </r>
    <r>
      <rPr>
        <sz val="11"/>
        <rFont val="Calibri"/>
        <family val="2"/>
      </rPr>
      <t>(w_ct_m_mocs_docket_definition)</t>
    </r>
  </si>
  <si>
    <r>
      <rPr>
        <i/>
        <sz val="11"/>
        <rFont val="Calibri"/>
        <family val="2"/>
      </rPr>
      <t xml:space="preserve">Retrieve </t>
    </r>
    <r>
      <rPr>
        <sz val="11"/>
        <rFont val="Calibri"/>
        <family val="2"/>
      </rPr>
      <t>button</t>
    </r>
  </si>
  <si>
    <t>Not on Vision Modules list; displays results based on search parameters in Work Flow section</t>
  </si>
  <si>
    <r>
      <rPr>
        <i/>
        <sz val="11"/>
        <rFont val="Calibri"/>
        <family val="2"/>
      </rPr>
      <t xml:space="preserve">Group Filter </t>
    </r>
    <r>
      <rPr>
        <sz val="11"/>
        <rFont val="Calibri"/>
        <family val="2"/>
      </rPr>
      <t>button</t>
    </r>
  </si>
  <si>
    <t>Not on Vision Modules list; groups results based on dropdown selected</t>
  </si>
  <si>
    <r>
      <rPr>
        <i/>
        <sz val="11"/>
        <rFont val="Calibri"/>
        <family val="2"/>
      </rPr>
      <t>Clear</t>
    </r>
    <r>
      <rPr>
        <sz val="11"/>
        <rFont val="Calibri"/>
        <family val="2"/>
      </rPr>
      <t xml:space="preserve"> button</t>
    </r>
  </si>
  <si>
    <r>
      <t xml:space="preserve">Not on Vision Modules list; clears </t>
    </r>
    <r>
      <rPr>
        <i/>
        <sz val="11"/>
        <color theme="1"/>
        <rFont val="Calibri"/>
        <family val="2"/>
      </rPr>
      <t>Group Filter</t>
    </r>
    <r>
      <rPr>
        <sz val="11"/>
        <color theme="1"/>
        <rFont val="Calibri"/>
        <family val="2"/>
      </rPr>
      <t xml:space="preserve"> results</t>
    </r>
  </si>
  <si>
    <r>
      <rPr>
        <i/>
        <sz val="11"/>
        <rFont val="Calibri"/>
        <family val="2"/>
      </rPr>
      <t>Re-Number</t>
    </r>
    <r>
      <rPr>
        <sz val="11"/>
        <rFont val="Calibri"/>
        <family val="2"/>
      </rPr>
      <t xml:space="preserve"> button</t>
    </r>
  </si>
  <si>
    <t>Not on Vision Modules list; renumbers Ops Seq column</t>
  </si>
  <si>
    <r>
      <t xml:space="preserve">SP Registry (MOCS) </t>
    </r>
    <r>
      <rPr>
        <sz val="11"/>
        <rFont val="Calibri"/>
        <family val="2"/>
      </rPr>
      <t>(w_ct_m_mocs_sp_registry)</t>
    </r>
  </si>
  <si>
    <r>
      <t xml:space="preserve">WorkFlow/Groups/Scenarios </t>
    </r>
    <r>
      <rPr>
        <sz val="11"/>
        <rFont val="Calibri"/>
        <family val="2"/>
      </rPr>
      <t>(w_ct_m_mocs_wk_grp_scenarios)</t>
    </r>
  </si>
  <si>
    <r>
      <rPr>
        <i/>
        <sz val="11"/>
        <rFont val="Calibri"/>
        <family val="2"/>
      </rPr>
      <t xml:space="preserve">Retrieve </t>
    </r>
    <r>
      <rPr>
        <sz val="11"/>
        <rFont val="Calibri"/>
        <family val="2"/>
      </rPr>
      <t>button (</t>
    </r>
    <r>
      <rPr>
        <i/>
        <sz val="11"/>
        <rFont val="Calibri"/>
        <family val="2"/>
      </rPr>
      <t>Scenario Assoc</t>
    </r>
    <r>
      <rPr>
        <sz val="11"/>
        <rFont val="Calibri"/>
        <family val="2"/>
      </rPr>
      <t xml:space="preserve"> and </t>
    </r>
    <r>
      <rPr>
        <i/>
        <sz val="11"/>
        <rFont val="Calibri"/>
        <family val="2"/>
      </rPr>
      <t>Groups Assoc</t>
    </r>
    <r>
      <rPr>
        <sz val="11"/>
        <rFont val="Calibri"/>
        <family val="2"/>
      </rPr>
      <t xml:space="preserve"> tabs)</t>
    </r>
  </si>
  <si>
    <t>PERSON</t>
  </si>
  <si>
    <r>
      <t xml:space="preserve">Attorney Maintenance </t>
    </r>
    <r>
      <rPr>
        <sz val="11"/>
        <color theme="1"/>
        <rFont val="Calibri"/>
        <family val="2"/>
      </rPr>
      <t>(w_ct_m_attorney)</t>
    </r>
  </si>
  <si>
    <r>
      <rPr>
        <i/>
        <sz val="11"/>
        <color theme="1"/>
        <rFont val="Calibri"/>
        <family val="2"/>
      </rPr>
      <t xml:space="preserve">Attorney Search </t>
    </r>
    <r>
      <rPr>
        <sz val="11"/>
        <color theme="1"/>
        <rFont val="Calibri"/>
        <family val="2"/>
      </rPr>
      <t>window launched when opened</t>
    </r>
  </si>
  <si>
    <r>
      <rPr>
        <i/>
        <sz val="11"/>
        <color theme="1"/>
        <rFont val="Calibri"/>
        <family val="2"/>
      </rPr>
      <t>Search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Attorney Search </t>
    </r>
    <r>
      <rPr>
        <sz val="11"/>
        <color theme="1"/>
        <rFont val="Calibri"/>
        <family val="2"/>
      </rPr>
      <t>window)</t>
    </r>
  </si>
  <si>
    <t>Not on Vision Modules list; displays search results from parameters entered in Attorney section</t>
  </si>
  <si>
    <r>
      <rPr>
        <i/>
        <sz val="11"/>
        <color theme="1"/>
        <rFont val="Calibri"/>
        <family val="2"/>
      </rPr>
      <t>Reset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Attorney Search </t>
    </r>
    <r>
      <rPr>
        <sz val="11"/>
        <color theme="1"/>
        <rFont val="Calibri"/>
        <family val="2"/>
      </rPr>
      <t>window)</t>
    </r>
  </si>
  <si>
    <t>Not on Vision Modules list; clears search parameters in Attorney Section</t>
  </si>
  <si>
    <r>
      <rPr>
        <i/>
        <sz val="11"/>
        <color theme="1"/>
        <rFont val="Calibri"/>
        <family val="2"/>
      </rPr>
      <t>Cancel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>Attorney Search</t>
    </r>
    <r>
      <rPr>
        <sz val="11"/>
        <color theme="1"/>
        <rFont val="Calibri"/>
        <family val="2"/>
      </rPr>
      <t xml:space="preserve"> window)</t>
    </r>
  </si>
  <si>
    <r>
      <rPr>
        <i/>
        <sz val="11"/>
        <color theme="1"/>
        <rFont val="Calibri"/>
        <family val="2"/>
      </rPr>
      <t>Select</t>
    </r>
    <r>
      <rPr>
        <sz val="11"/>
        <color theme="1"/>
        <rFont val="Calibri"/>
        <family val="2"/>
      </rPr>
      <t xml:space="preserve"> buton (</t>
    </r>
    <r>
      <rPr>
        <i/>
        <sz val="11"/>
        <color theme="1"/>
        <rFont val="Calibri"/>
        <family val="2"/>
      </rPr>
      <t>Attorney Search</t>
    </r>
    <r>
      <rPr>
        <sz val="11"/>
        <color theme="1"/>
        <rFont val="Calibri"/>
        <family val="2"/>
      </rPr>
      <t xml:space="preserve"> window)</t>
    </r>
  </si>
  <si>
    <r>
      <t xml:space="preserve">Not on Vision Modules list; opens </t>
    </r>
    <r>
      <rPr>
        <i/>
        <sz val="11"/>
        <color theme="1"/>
        <rFont val="Calibri"/>
        <family val="2"/>
      </rPr>
      <t xml:space="preserve">Attorney Maintenance </t>
    </r>
    <r>
      <rPr>
        <sz val="11"/>
        <color theme="1"/>
        <rFont val="Calibri"/>
        <family val="2"/>
      </rPr>
      <t>window for row selected</t>
    </r>
  </si>
  <si>
    <r>
      <rPr>
        <i/>
        <sz val="11"/>
        <color theme="1"/>
        <rFont val="Calibri"/>
        <family val="2"/>
      </rPr>
      <t>New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Attorney Search </t>
    </r>
    <r>
      <rPr>
        <sz val="11"/>
        <color theme="1"/>
        <rFont val="Calibri"/>
        <family val="2"/>
      </rPr>
      <t>window)</t>
    </r>
  </si>
  <si>
    <r>
      <t xml:space="preserve">Not on Vision Modules list; opens </t>
    </r>
    <r>
      <rPr>
        <i/>
        <sz val="11"/>
        <color theme="1"/>
        <rFont val="Calibri"/>
        <family val="2"/>
      </rPr>
      <t xml:space="preserve">Attorney Maintenance </t>
    </r>
    <r>
      <rPr>
        <sz val="11"/>
        <color theme="1"/>
        <rFont val="Calibri"/>
        <family val="2"/>
      </rPr>
      <t xml:space="preserve">with data entered in </t>
    </r>
    <r>
      <rPr>
        <i/>
        <sz val="11"/>
        <color theme="1"/>
        <rFont val="Calibri"/>
        <family val="2"/>
      </rPr>
      <t xml:space="preserve">Attorney Search </t>
    </r>
    <r>
      <rPr>
        <sz val="11"/>
        <color theme="1"/>
        <rFont val="Calibri"/>
        <family val="2"/>
      </rPr>
      <t>window</t>
    </r>
  </si>
  <si>
    <r>
      <t>Interpreters Maintenance</t>
    </r>
    <r>
      <rPr>
        <sz val="11"/>
        <color theme="1"/>
        <rFont val="Calibri"/>
        <family val="2"/>
      </rPr>
      <t xml:space="preserve"> (w_ct_m_interpreters)</t>
    </r>
  </si>
  <si>
    <r>
      <rPr>
        <i/>
        <sz val="11"/>
        <color theme="1"/>
        <rFont val="Calibri"/>
        <family val="2"/>
      </rPr>
      <t>Add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Interpreters Maintenance </t>
    </r>
    <r>
      <rPr>
        <sz val="11"/>
        <color theme="1"/>
        <rFont val="Calibri"/>
        <family val="2"/>
      </rPr>
      <t>window)</t>
    </r>
  </si>
  <si>
    <t>Not on Vision Modules list; adds new row</t>
  </si>
  <si>
    <r>
      <rPr>
        <i/>
        <sz val="11"/>
        <color theme="1"/>
        <rFont val="Calibri"/>
        <family val="2"/>
      </rPr>
      <t>Delete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Interpreters Maintenance </t>
    </r>
    <r>
      <rPr>
        <sz val="11"/>
        <color theme="1"/>
        <rFont val="Calibri"/>
        <family val="2"/>
      </rPr>
      <t>window)</t>
    </r>
  </si>
  <si>
    <t>Not on Vision Modules list; deletes row</t>
  </si>
  <si>
    <r>
      <rPr>
        <i/>
        <sz val="11"/>
        <color theme="1"/>
        <rFont val="Calibri"/>
        <family val="2"/>
      </rPr>
      <t>Save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Interpreters Maintenance </t>
    </r>
    <r>
      <rPr>
        <sz val="11"/>
        <color theme="1"/>
        <rFont val="Calibri"/>
        <family val="2"/>
      </rPr>
      <t>window)</t>
    </r>
  </si>
  <si>
    <t>Not on Vision Modules list; saves changes</t>
  </si>
  <si>
    <r>
      <rPr>
        <i/>
        <sz val="11"/>
        <color theme="1"/>
        <rFont val="Calibri"/>
        <family val="2"/>
      </rPr>
      <t>Cancel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Interpreters Maintenance </t>
    </r>
    <r>
      <rPr>
        <sz val="11"/>
        <color theme="1"/>
        <rFont val="Calibri"/>
        <family val="2"/>
      </rPr>
      <t>window)</t>
    </r>
  </si>
  <si>
    <r>
      <t xml:space="preserve">Not on Vision Modules list; closes </t>
    </r>
    <r>
      <rPr>
        <i/>
        <sz val="11"/>
        <color theme="1"/>
        <rFont val="Calibri"/>
        <family val="2"/>
      </rPr>
      <t xml:space="preserve">Interpreters Maintenance </t>
    </r>
    <r>
      <rPr>
        <sz val="11"/>
        <color theme="1"/>
        <rFont val="Calibri"/>
        <family val="2"/>
      </rPr>
      <t>window</t>
    </r>
  </si>
  <si>
    <r>
      <t xml:space="preserve">Interpreter Remarks </t>
    </r>
    <r>
      <rPr>
        <sz val="11"/>
        <color theme="1"/>
        <rFont val="Calibri"/>
        <family val="2"/>
      </rPr>
      <t>(w_ct_r_interpreter_remarks)</t>
    </r>
  </si>
  <si>
    <r>
      <t xml:space="preserve">Interpreters in System </t>
    </r>
    <r>
      <rPr>
        <sz val="11"/>
        <color theme="1"/>
        <rFont val="Calibri"/>
        <family val="2"/>
      </rPr>
      <t>(w_ct_r_interpreters_lookup)</t>
    </r>
  </si>
  <si>
    <r>
      <t xml:space="preserve">Launched from binocular icon after </t>
    </r>
    <r>
      <rPr>
        <i/>
        <sz val="11"/>
        <color theme="1"/>
        <rFont val="Calibri"/>
        <family val="2"/>
      </rPr>
      <t xml:space="preserve">Add </t>
    </r>
    <r>
      <rPr>
        <sz val="11"/>
        <color theme="1"/>
        <rFont val="Calibri"/>
        <family val="2"/>
      </rPr>
      <t>button selected</t>
    </r>
  </si>
  <si>
    <r>
      <rPr>
        <i/>
        <sz val="11"/>
        <color theme="1"/>
        <rFont val="Calibri"/>
        <family val="2"/>
      </rPr>
      <t>Filter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Interpreters in System </t>
    </r>
    <r>
      <rPr>
        <sz val="11"/>
        <color theme="1"/>
        <rFont val="Calibri"/>
        <family val="2"/>
      </rPr>
      <t>window)</t>
    </r>
  </si>
  <si>
    <t>Not on Vision Modules list; narrows display based on text entered in search box</t>
  </si>
  <si>
    <r>
      <rPr>
        <i/>
        <sz val="11"/>
        <color theme="1"/>
        <rFont val="Calibri"/>
        <family val="2"/>
      </rPr>
      <t>New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Interpreters in System </t>
    </r>
    <r>
      <rPr>
        <sz val="11"/>
        <color theme="1"/>
        <rFont val="Calibri"/>
        <family val="2"/>
      </rPr>
      <t>window)</t>
    </r>
  </si>
  <si>
    <r>
      <t xml:space="preserve">Launches </t>
    </r>
    <r>
      <rPr>
        <i/>
        <sz val="11"/>
        <color theme="1"/>
        <rFont val="Calibri"/>
        <family val="2"/>
      </rPr>
      <t xml:space="preserve">New Interpreter </t>
    </r>
    <r>
      <rPr>
        <sz val="11"/>
        <color theme="1"/>
        <rFont val="Calibri"/>
        <family val="2"/>
      </rPr>
      <t>window</t>
    </r>
  </si>
  <si>
    <r>
      <rPr>
        <i/>
        <sz val="11"/>
        <color theme="1"/>
        <rFont val="Calibri"/>
        <family val="2"/>
      </rPr>
      <t>New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New Interpreter </t>
    </r>
    <r>
      <rPr>
        <sz val="11"/>
        <color theme="1"/>
        <rFont val="Calibri"/>
        <family val="2"/>
      </rPr>
      <t>window)</t>
    </r>
  </si>
  <si>
    <t>Not on Vision Modules list; creates new interpreter</t>
  </si>
  <si>
    <r>
      <rPr>
        <i/>
        <sz val="11"/>
        <color theme="1"/>
        <rFont val="Calibri"/>
        <family val="2"/>
      </rPr>
      <t>Reset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New Interpreter </t>
    </r>
    <r>
      <rPr>
        <sz val="11"/>
        <color theme="1"/>
        <rFont val="Calibri"/>
        <family val="2"/>
      </rPr>
      <t>window)</t>
    </r>
  </si>
  <si>
    <t>Not on Vision Modules list; clears name fields</t>
  </si>
  <si>
    <r>
      <rPr>
        <i/>
        <sz val="11"/>
        <color theme="1"/>
        <rFont val="Calibri"/>
        <family val="2"/>
      </rPr>
      <t>Cancel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New Interpreter </t>
    </r>
    <r>
      <rPr>
        <sz val="11"/>
        <color theme="1"/>
        <rFont val="Calibri"/>
        <family val="2"/>
      </rPr>
      <t>window)</t>
    </r>
  </si>
  <si>
    <r>
      <t xml:space="preserve">Not on Vision Modules list; closes </t>
    </r>
    <r>
      <rPr>
        <i/>
        <sz val="11"/>
        <color theme="1"/>
        <rFont val="Calibri"/>
        <family val="2"/>
      </rPr>
      <t xml:space="preserve">New Interpreter </t>
    </r>
    <r>
      <rPr>
        <sz val="11"/>
        <color theme="1"/>
        <rFont val="Calibri"/>
        <family val="2"/>
      </rPr>
      <t>window</t>
    </r>
  </si>
  <si>
    <r>
      <rPr>
        <i/>
        <sz val="11"/>
        <color theme="1"/>
        <rFont val="Calibri"/>
        <family val="2"/>
      </rPr>
      <t>Select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Interpreters in System </t>
    </r>
    <r>
      <rPr>
        <sz val="11"/>
        <color theme="1"/>
        <rFont val="Calibri"/>
        <family val="2"/>
      </rPr>
      <t>window)</t>
    </r>
  </si>
  <si>
    <r>
      <t xml:space="preserve">Not on Vision Modules list; adds interpreter selected to row in </t>
    </r>
    <r>
      <rPr>
        <i/>
        <sz val="11"/>
        <color theme="1"/>
        <rFont val="Calibri"/>
        <family val="2"/>
      </rPr>
      <t xml:space="preserve">Interpreters Maintenance </t>
    </r>
    <r>
      <rPr>
        <sz val="11"/>
        <color theme="1"/>
        <rFont val="Calibri"/>
        <family val="2"/>
      </rPr>
      <t>window</t>
    </r>
  </si>
  <si>
    <r>
      <rPr>
        <i/>
        <sz val="11"/>
        <color theme="1"/>
        <rFont val="Calibri"/>
        <family val="2"/>
      </rPr>
      <t>Cancel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Interpreters in System </t>
    </r>
    <r>
      <rPr>
        <sz val="11"/>
        <color theme="1"/>
        <rFont val="Calibri"/>
        <family val="2"/>
      </rPr>
      <t>window)</t>
    </r>
  </si>
  <si>
    <r>
      <t xml:space="preserve">Not on Vision Modules list; closes </t>
    </r>
    <r>
      <rPr>
        <i/>
        <sz val="11"/>
        <color theme="1"/>
        <rFont val="Calibri"/>
        <family val="2"/>
      </rPr>
      <t xml:space="preserve">Interpreters in System </t>
    </r>
    <r>
      <rPr>
        <sz val="11"/>
        <color theme="1"/>
        <rFont val="Calibri"/>
        <family val="2"/>
      </rPr>
      <t>window</t>
    </r>
  </si>
  <si>
    <r>
      <t>Multi-Person Maintenance</t>
    </r>
    <r>
      <rPr>
        <sz val="11"/>
        <color theme="1"/>
        <rFont val="Calibri"/>
        <family val="2"/>
      </rPr>
      <t xml:space="preserve"> (w_ct_m_multi_person_maint)</t>
    </r>
  </si>
  <si>
    <r>
      <t xml:space="preserve">Cannot open </t>
    </r>
    <r>
      <rPr>
        <i/>
        <sz val="11"/>
        <color theme="1"/>
        <rFont val="Calibri"/>
        <family val="2"/>
      </rPr>
      <t>Multi-Person Maintenance</t>
    </r>
    <r>
      <rPr>
        <sz val="11"/>
        <color theme="1"/>
        <rFont val="Calibri"/>
        <family val="2"/>
      </rPr>
      <t xml:space="preserve"> again from </t>
    </r>
    <r>
      <rPr>
        <i/>
        <sz val="11"/>
        <color theme="1"/>
        <rFont val="Calibri"/>
        <family val="2"/>
      </rPr>
      <t>Multi-Person Maintenance</t>
    </r>
    <r>
      <rPr>
        <sz val="11"/>
        <color theme="1"/>
        <rFont val="Calibri"/>
        <family val="2"/>
      </rPr>
      <t xml:space="preserve"> window</t>
    </r>
  </si>
  <si>
    <r>
      <t xml:space="preserve">Launched from </t>
    </r>
    <r>
      <rPr>
        <i/>
        <sz val="11"/>
        <color theme="1"/>
        <rFont val="Calibri"/>
        <family val="2"/>
      </rPr>
      <t xml:space="preserve">Search </t>
    </r>
    <r>
      <rPr>
        <sz val="11"/>
        <color theme="1"/>
        <rFont val="Calibri"/>
        <family val="2"/>
      </rPr>
      <t>buttons</t>
    </r>
  </si>
  <si>
    <r>
      <t xml:space="preserve">Multi-Person Maintenance Datafix Report </t>
    </r>
    <r>
      <rPr>
        <sz val="11"/>
        <color theme="1"/>
        <rFont val="Calibri"/>
        <family val="2"/>
      </rPr>
      <t>(w_ct_r_mpm_report)</t>
    </r>
  </si>
  <si>
    <r>
      <t xml:space="preserve">Launched from </t>
    </r>
    <r>
      <rPr>
        <i/>
        <sz val="11"/>
        <color theme="1"/>
        <rFont val="Calibri"/>
        <family val="2"/>
      </rPr>
      <t xml:space="preserve">Datafix Report… </t>
    </r>
    <r>
      <rPr>
        <sz val="11"/>
        <color theme="1"/>
        <rFont val="Calibri"/>
        <family val="2"/>
      </rPr>
      <t>buttons</t>
    </r>
  </si>
  <si>
    <t>Not sure how this is launched</t>
  </si>
  <si>
    <t>Select All button</t>
  </si>
  <si>
    <t>Not on Vision Module list; highlights all Current Data/To-Do List data</t>
  </si>
  <si>
    <r>
      <t xml:space="preserve">Person Link/Unlink </t>
    </r>
    <r>
      <rPr>
        <sz val="11"/>
        <color theme="1"/>
        <rFont val="Calibri"/>
        <family val="2"/>
      </rPr>
      <t>(w_ct_m_person_link_unlink)</t>
    </r>
  </si>
  <si>
    <t>Cannot open Multi-Person Maintenance again from Multi-Person Maintenance window</t>
  </si>
  <si>
    <r>
      <t xml:space="preserve">Launched from </t>
    </r>
    <r>
      <rPr>
        <i/>
        <sz val="11"/>
        <color theme="1"/>
        <rFont val="Calibri"/>
        <family val="2"/>
      </rPr>
      <t>Search</t>
    </r>
    <r>
      <rPr>
        <sz val="11"/>
        <color theme="1"/>
        <rFont val="Calibri"/>
        <family val="2"/>
      </rPr>
      <t xml:space="preserve"> buttons</t>
    </r>
  </si>
  <si>
    <t>Not on Vision Modules list; used in window</t>
  </si>
  <si>
    <t xml:space="preserve">Quick Add </t>
  </si>
  <si>
    <r>
      <t xml:space="preserve">Not on Vision Modules list; launched from </t>
    </r>
    <r>
      <rPr>
        <i/>
        <sz val="11"/>
        <color theme="1"/>
        <rFont val="Calibri"/>
        <family val="2"/>
      </rPr>
      <t xml:space="preserve">New </t>
    </r>
    <r>
      <rPr>
        <sz val="11"/>
        <color theme="1"/>
        <rFont val="Calibri"/>
        <family val="2"/>
      </rPr>
      <t xml:space="preserve">button in </t>
    </r>
    <r>
      <rPr>
        <i/>
        <sz val="11"/>
        <color theme="1"/>
        <rFont val="Calibri"/>
        <family val="2"/>
      </rPr>
      <t xml:space="preserve">Person Search </t>
    </r>
    <r>
      <rPr>
        <sz val="11"/>
        <color theme="1"/>
        <rFont val="Calibri"/>
        <family val="2"/>
      </rPr>
      <t>window</t>
    </r>
  </si>
  <si>
    <r>
      <t xml:space="preserve">On Vision modules list; Cannot open window from </t>
    </r>
    <r>
      <rPr>
        <i/>
        <sz val="11"/>
        <color theme="1"/>
        <rFont val="Calibri"/>
        <family val="2"/>
      </rPr>
      <t>Person Maintenance</t>
    </r>
  </si>
  <si>
    <r>
      <t xml:space="preserve">Case Maintenance </t>
    </r>
    <r>
      <rPr>
        <sz val="11"/>
        <color theme="1"/>
        <rFont val="Calibri"/>
        <family val="2"/>
      </rPr>
      <t>(w_ct_m_case_maint)</t>
    </r>
  </si>
  <si>
    <r>
      <t xml:space="preserve">Conversion Case Initiation </t>
    </r>
    <r>
      <rPr>
        <sz val="11"/>
        <color theme="1"/>
        <rFont val="Calibri"/>
        <family val="2"/>
      </rPr>
      <t>(w_ct_m_case_maint_conv)</t>
    </r>
  </si>
  <si>
    <r>
      <t>Missing Complaint</t>
    </r>
    <r>
      <rPr>
        <sz val="11"/>
        <color theme="1"/>
        <rFont val="Calibri"/>
        <family val="2"/>
      </rPr>
      <t xml:space="preserve"> (w_ct_m_case_missing_complaint)</t>
    </r>
  </si>
  <si>
    <r>
      <t xml:space="preserve">Person Unlink </t>
    </r>
    <r>
      <rPr>
        <sz val="11"/>
        <color theme="1"/>
        <rFont val="Calibri"/>
        <family val="2"/>
      </rPr>
      <t>(w_ct_m_person_unlink)</t>
    </r>
  </si>
  <si>
    <r>
      <t xml:space="preserve">Professional Consolidation </t>
    </r>
    <r>
      <rPr>
        <sz val="11"/>
        <color theme="1"/>
        <rFont val="Calibri"/>
        <family val="2"/>
      </rPr>
      <t>(w_ct_m_professional_consolidation)</t>
    </r>
  </si>
  <si>
    <r>
      <t xml:space="preserve">Launched from </t>
    </r>
    <r>
      <rPr>
        <i/>
        <sz val="11"/>
        <color theme="1"/>
        <rFont val="Calibri"/>
        <family val="2"/>
      </rPr>
      <t>Datafix Report</t>
    </r>
    <r>
      <rPr>
        <sz val="11"/>
        <color theme="1"/>
        <rFont val="Calibri"/>
        <family val="2"/>
      </rPr>
      <t xml:space="preserve"> button</t>
    </r>
  </si>
  <si>
    <r>
      <t xml:space="preserve">Professional Maintenance </t>
    </r>
    <r>
      <rPr>
        <sz val="11"/>
        <color theme="1"/>
        <rFont val="Calibri"/>
        <family val="2"/>
      </rPr>
      <t>(w_ct_m_professional_maint)</t>
    </r>
  </si>
  <si>
    <r>
      <t>New Professional</t>
    </r>
    <r>
      <rPr>
        <sz val="11"/>
        <color theme="1"/>
        <rFont val="Calibri"/>
        <family val="2"/>
      </rPr>
      <t xml:space="preserve"> (w_ct_r_professional_new)</t>
    </r>
  </si>
  <si>
    <r>
      <t xml:space="preserve">Launched from </t>
    </r>
    <r>
      <rPr>
        <i/>
        <sz val="11"/>
        <color theme="1"/>
        <rFont val="Calibri"/>
        <family val="2"/>
      </rPr>
      <t>New</t>
    </r>
    <r>
      <rPr>
        <sz val="11"/>
        <color theme="1"/>
        <rFont val="Calibri"/>
        <family val="2"/>
      </rPr>
      <t xml:space="preserve"> button</t>
    </r>
  </si>
  <si>
    <r>
      <t xml:space="preserve">Not on Vision Modules list; displays seach results and enables </t>
    </r>
    <r>
      <rPr>
        <i/>
        <sz val="11"/>
        <color theme="1"/>
        <rFont val="Calibri"/>
        <family val="2"/>
      </rPr>
      <t xml:space="preserve">New </t>
    </r>
    <r>
      <rPr>
        <sz val="11"/>
        <color theme="1"/>
        <rFont val="Calibri"/>
        <family val="2"/>
      </rPr>
      <t>button</t>
    </r>
  </si>
  <si>
    <r>
      <t xml:space="preserve">Sealed Access </t>
    </r>
    <r>
      <rPr>
        <sz val="11"/>
        <color theme="1"/>
        <rFont val="Calibri"/>
        <family val="2"/>
      </rPr>
      <t>(w_ct_r_security_admin)</t>
    </r>
  </si>
  <si>
    <r>
      <rPr>
        <i/>
        <sz val="11"/>
        <color theme="1"/>
        <rFont val="Calibri"/>
        <family val="2"/>
      </rPr>
      <t>Refresh</t>
    </r>
    <r>
      <rPr>
        <sz val="11"/>
        <color theme="1"/>
        <rFont val="Calibri"/>
        <family val="2"/>
      </rPr>
      <t xml:space="preserve"> button</t>
    </r>
  </si>
  <si>
    <t>Not on Vision Modules list; refreshes data</t>
  </si>
  <si>
    <r>
      <rPr>
        <i/>
        <sz val="11"/>
        <color theme="1"/>
        <rFont val="Calibri"/>
        <family val="2"/>
      </rPr>
      <t>Export</t>
    </r>
    <r>
      <rPr>
        <sz val="11"/>
        <color theme="1"/>
        <rFont val="Calibri"/>
        <family val="2"/>
      </rPr>
      <t xml:space="preserve"> button</t>
    </r>
  </si>
  <si>
    <r>
      <t xml:space="preserve">Not on Vision Modules list; launches </t>
    </r>
    <r>
      <rPr>
        <i/>
        <sz val="11"/>
        <color theme="1"/>
        <rFont val="Calibri"/>
        <family val="2"/>
      </rPr>
      <t xml:space="preserve">Save As </t>
    </r>
    <r>
      <rPr>
        <sz val="11"/>
        <color theme="1"/>
        <rFont val="Calibri"/>
        <family val="2"/>
      </rPr>
      <t>dialog window</t>
    </r>
  </si>
  <si>
    <t>RECORDS</t>
  </si>
  <si>
    <r>
      <t xml:space="preserve">Batch Purge </t>
    </r>
    <r>
      <rPr>
        <sz val="11"/>
        <color theme="1"/>
        <rFont val="Calibri"/>
        <family val="2"/>
      </rPr>
      <t>(w_ct_m_purged_cases)</t>
    </r>
  </si>
  <si>
    <t>Not on Vision Modules list; retreives data based on search parameters</t>
  </si>
  <si>
    <r>
      <rPr>
        <i/>
        <sz val="11"/>
        <color theme="1"/>
        <rFont val="Calibri"/>
        <family val="2"/>
      </rPr>
      <t xml:space="preserve">Print All </t>
    </r>
    <r>
      <rPr>
        <sz val="11"/>
        <color theme="1"/>
        <rFont val="Calibri"/>
        <family val="2"/>
      </rPr>
      <t>button</t>
    </r>
  </si>
  <si>
    <r>
      <t xml:space="preserve">Not on Vision Modules list; All results; launches </t>
    </r>
    <r>
      <rPr>
        <i/>
        <sz val="11"/>
        <color theme="1"/>
        <rFont val="Calibri"/>
        <family val="2"/>
      </rPr>
      <t xml:space="preserve">Warning - Print report or Save As a file? Yest to Print, No to Save to File </t>
    </r>
    <r>
      <rPr>
        <sz val="11"/>
        <color theme="1"/>
        <rFont val="Calibri"/>
        <family val="2"/>
      </rPr>
      <t>(Print or Save As dialog window appears based on selection)</t>
    </r>
  </si>
  <si>
    <r>
      <rPr>
        <i/>
        <sz val="11"/>
        <color theme="1"/>
        <rFont val="Calibri"/>
        <family val="2"/>
      </rPr>
      <t>Print X</t>
    </r>
    <r>
      <rPr>
        <sz val="11"/>
        <color theme="1"/>
        <rFont val="Calibri"/>
        <family val="2"/>
      </rPr>
      <t xml:space="preserve"> button</t>
    </r>
  </si>
  <si>
    <r>
      <t xml:space="preserve">Not on Vision Modules list; Selected results; launches </t>
    </r>
    <r>
      <rPr>
        <i/>
        <sz val="11"/>
        <color theme="1"/>
        <rFont val="Calibri"/>
        <family val="2"/>
      </rPr>
      <t xml:space="preserve">Warning - Print report or Save As a file? Yest to Print, No to Save to File </t>
    </r>
    <r>
      <rPr>
        <sz val="11"/>
        <color theme="1"/>
        <rFont val="Calibri"/>
        <family val="2"/>
      </rPr>
      <t>(Print or Save As dialog window appears based on selection)</t>
    </r>
  </si>
  <si>
    <t>Thumbnail icon button</t>
  </si>
  <si>
    <t>Not on Vision Modules list; selects all cases</t>
  </si>
  <si>
    <r>
      <t xml:space="preserve">Calendar File Location </t>
    </r>
    <r>
      <rPr>
        <sz val="11"/>
        <color theme="1"/>
        <rFont val="Calibri"/>
        <family val="2"/>
      </rPr>
      <t>(w_ct_s_rcds_cal_loc)</t>
    </r>
  </si>
  <si>
    <r>
      <t xml:space="preserve">File Location History </t>
    </r>
    <r>
      <rPr>
        <sz val="11"/>
        <color theme="1"/>
        <rFont val="Calibri"/>
        <family val="2"/>
      </rPr>
      <t>(w_ct_s_rcds_location_history)</t>
    </r>
  </si>
  <si>
    <r>
      <t xml:space="preserve">Case File Purge </t>
    </r>
    <r>
      <rPr>
        <sz val="11"/>
        <color theme="1"/>
        <rFont val="Calibri"/>
        <family val="2"/>
      </rPr>
      <t>(w_ct_m_case_file_purge)</t>
    </r>
  </si>
  <si>
    <r>
      <t>File Location</t>
    </r>
    <r>
      <rPr>
        <sz val="11"/>
        <color theme="1"/>
        <rFont val="Calibri"/>
        <family val="2"/>
      </rPr>
      <t xml:space="preserve"> (w_ct_s_rcds_location)</t>
    </r>
  </si>
  <si>
    <t>Case Search</t>
  </si>
  <si>
    <r>
      <t>File Location History</t>
    </r>
    <r>
      <rPr>
        <sz val="11"/>
        <color theme="1"/>
        <rFont val="Calibri"/>
        <family val="2"/>
      </rPr>
      <t xml:space="preserve"> (w_ct_s_rcds_location_history)</t>
    </r>
  </si>
  <si>
    <t>Launched by double-click header</t>
  </si>
  <si>
    <r>
      <t xml:space="preserve">Note </t>
    </r>
    <r>
      <rPr>
        <b/>
        <sz val="11"/>
        <color theme="1"/>
        <rFont val="Calibri"/>
        <family val="2"/>
      </rPr>
      <t>button</t>
    </r>
  </si>
  <si>
    <r>
      <t xml:space="preserve">Not on Vision Module list; launches </t>
    </r>
    <r>
      <rPr>
        <i/>
        <sz val="11"/>
        <color theme="1"/>
        <rFont val="Calibri"/>
        <family val="2"/>
      </rPr>
      <t xml:space="preserve">Notes </t>
    </r>
    <r>
      <rPr>
        <sz val="11"/>
        <color theme="1"/>
        <rFont val="Calibri"/>
        <family val="2"/>
      </rPr>
      <t>window</t>
    </r>
  </si>
  <si>
    <r>
      <t xml:space="preserve">File Request Inquiry </t>
    </r>
    <r>
      <rPr>
        <sz val="11"/>
        <color theme="1"/>
        <rFont val="Calibri"/>
        <family val="2"/>
      </rPr>
      <t>(w_ct_s_rcds_request_inquiry)</t>
    </r>
  </si>
  <si>
    <r>
      <t xml:space="preserve">File Request Maintenance </t>
    </r>
    <r>
      <rPr>
        <sz val="11"/>
        <color theme="1"/>
        <rFont val="Calibri"/>
        <family val="2"/>
      </rPr>
      <t>(w_ct_s_rcds_request_maint)</t>
    </r>
  </si>
  <si>
    <t>Not on Vision Modules list; unable to validate</t>
  </si>
  <si>
    <r>
      <t xml:space="preserve">Image Maintenance </t>
    </r>
    <r>
      <rPr>
        <sz val="11"/>
        <color theme="1"/>
        <rFont val="Calibri"/>
        <family val="2"/>
      </rPr>
      <t>(w_ct_m_case_docket_image)</t>
    </r>
  </si>
  <si>
    <r>
      <t xml:space="preserve">Docket Code Lookup </t>
    </r>
    <r>
      <rPr>
        <sz val="11"/>
        <color theme="1"/>
        <rFont val="Calibri"/>
        <family val="2"/>
      </rPr>
      <t>(w_ct_r_case_docket)</t>
    </r>
  </si>
  <si>
    <r>
      <t xml:space="preserve">Launched from </t>
    </r>
    <r>
      <rPr>
        <i/>
        <sz val="11"/>
        <color theme="1"/>
        <rFont val="Calibri"/>
        <family val="2"/>
      </rPr>
      <t>Add</t>
    </r>
    <r>
      <rPr>
        <sz val="11"/>
        <color theme="1"/>
        <rFont val="Calibri"/>
        <family val="2"/>
      </rPr>
      <t xml:space="preserve"> button, lookup icon appears on row</t>
    </r>
  </si>
  <si>
    <r>
      <rPr>
        <i/>
        <sz val="11"/>
        <color theme="1"/>
        <rFont val="Calibri"/>
        <family val="2"/>
      </rPr>
      <t>Select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>Docket Code Lookup</t>
    </r>
    <r>
      <rPr>
        <sz val="11"/>
        <color theme="1"/>
        <rFont val="Calibri"/>
        <family val="2"/>
      </rPr>
      <t xml:space="preserve"> window)</t>
    </r>
  </si>
  <si>
    <r>
      <t xml:space="preserve">Not on Vision Modules list; adds docket code to new row from </t>
    </r>
    <r>
      <rPr>
        <i/>
        <sz val="11"/>
        <color theme="1"/>
        <rFont val="Calibri"/>
        <family val="2"/>
      </rPr>
      <t xml:space="preserve">Add </t>
    </r>
    <r>
      <rPr>
        <sz val="11"/>
        <color theme="1"/>
        <rFont val="Calibri"/>
        <family val="2"/>
      </rPr>
      <t>button</t>
    </r>
  </si>
  <si>
    <r>
      <rPr>
        <i/>
        <sz val="11"/>
        <color theme="1"/>
        <rFont val="Calibri"/>
        <family val="2"/>
      </rPr>
      <t>Cancel</t>
    </r>
    <r>
      <rPr>
        <sz val="11"/>
        <color theme="1"/>
        <rFont val="Calibri"/>
        <family val="2"/>
      </rPr>
      <t xml:space="preserve"> button (</t>
    </r>
    <r>
      <rPr>
        <i/>
        <sz val="11"/>
        <color theme="1"/>
        <rFont val="Calibri"/>
        <family val="2"/>
      </rPr>
      <t xml:space="preserve">Docket Code Lookup </t>
    </r>
    <r>
      <rPr>
        <sz val="11"/>
        <color theme="1"/>
        <rFont val="Calibri"/>
        <family val="2"/>
      </rPr>
      <t>window)</t>
    </r>
  </si>
  <si>
    <r>
      <t xml:space="preserve">Not on Vision Modules list; closes </t>
    </r>
    <r>
      <rPr>
        <i/>
        <sz val="11"/>
        <color theme="1"/>
        <rFont val="Calibri"/>
        <family val="2"/>
      </rPr>
      <t xml:space="preserve">Docket Code Lookup </t>
    </r>
    <r>
      <rPr>
        <sz val="11"/>
        <color theme="1"/>
        <rFont val="Calibri"/>
        <family val="2"/>
      </rPr>
      <t>window</t>
    </r>
  </si>
  <si>
    <t>Folder icon</t>
  </si>
  <si>
    <r>
      <t xml:space="preserve">Not on Vision Modules list; launches </t>
    </r>
    <r>
      <rPr>
        <i/>
        <sz val="11"/>
        <color theme="1"/>
        <rFont val="Calibri"/>
        <family val="2"/>
      </rPr>
      <t xml:space="preserve">Select File </t>
    </r>
    <r>
      <rPr>
        <sz val="11"/>
        <color theme="1"/>
        <rFont val="Calibri"/>
        <family val="2"/>
      </rPr>
      <t>window for manual image upload</t>
    </r>
  </si>
  <si>
    <t>Not on Vision Modules list; resets image (controlled by VISSEC category)</t>
  </si>
  <si>
    <r>
      <rPr>
        <i/>
        <sz val="11"/>
        <color theme="1"/>
        <rFont val="Calibri"/>
        <family val="2"/>
      </rPr>
      <t>Delete</t>
    </r>
    <r>
      <rPr>
        <sz val="11"/>
        <color theme="1"/>
        <rFont val="Calibri"/>
        <family val="2"/>
      </rPr>
      <t xml:space="preserve"> button</t>
    </r>
  </si>
  <si>
    <r>
      <rPr>
        <b/>
        <sz val="11"/>
        <color theme="1"/>
        <rFont val="Calibri"/>
        <family val="2"/>
      </rPr>
      <t xml:space="preserve">Image Viewer </t>
    </r>
    <r>
      <rPr>
        <sz val="11"/>
        <color theme="1"/>
        <rFont val="Calibri"/>
        <family val="2"/>
      </rPr>
      <t>(w_ct_m_doc_image)</t>
    </r>
  </si>
  <si>
    <t>Launched in initial opening of window and binocular icon</t>
  </si>
  <si>
    <r>
      <rPr>
        <b/>
        <sz val="11"/>
        <color theme="1"/>
        <rFont val="Calibri"/>
        <family val="2"/>
      </rPr>
      <t>Image</t>
    </r>
    <r>
      <rPr>
        <sz val="11"/>
        <color theme="1"/>
        <rFont val="Calibri"/>
        <family val="2"/>
      </rPr>
      <t xml:space="preserve"> (w_ct_c_pdf_viewer)</t>
    </r>
  </si>
  <si>
    <t>Launched from selecting image icon</t>
  </si>
  <si>
    <t>Print Selected button</t>
  </si>
  <si>
    <t>Not on Vision Modules list; launches Print dialog window</t>
  </si>
  <si>
    <t>Save All button</t>
  </si>
  <si>
    <t>Migrate P8 button</t>
  </si>
  <si>
    <t>Migrate FN button</t>
  </si>
  <si>
    <t>Launched from double-click case</t>
  </si>
  <si>
    <r>
      <t xml:space="preserve">Select Defendant </t>
    </r>
    <r>
      <rPr>
        <sz val="11"/>
        <color theme="1"/>
        <rFont val="Calibri"/>
        <family val="2"/>
      </rPr>
      <t>(w_ct_r_select_defendant)</t>
    </r>
  </si>
  <si>
    <r>
      <t xml:space="preserve">Retrieve Error </t>
    </r>
    <r>
      <rPr>
        <sz val="11"/>
        <color theme="1"/>
        <rFont val="Calibri"/>
        <family val="2"/>
      </rPr>
      <t>button</t>
    </r>
  </si>
  <si>
    <t>Not on Vision Module list; retreives errored images</t>
  </si>
  <si>
    <r>
      <t xml:space="preserve">Retrieve All </t>
    </r>
    <r>
      <rPr>
        <sz val="11"/>
        <color theme="1"/>
        <rFont val="Calibri"/>
        <family val="2"/>
      </rPr>
      <t>button</t>
    </r>
  </si>
  <si>
    <t>Not on Vision Module list; retreives all images</t>
  </si>
  <si>
    <r>
      <t xml:space="preserve">Reset Status </t>
    </r>
    <r>
      <rPr>
        <sz val="11"/>
        <color theme="1"/>
        <rFont val="Calibri"/>
        <family val="2"/>
      </rPr>
      <t>button</t>
    </r>
  </si>
  <si>
    <r>
      <t xml:space="preserve">Missing Complaints Purge </t>
    </r>
    <r>
      <rPr>
        <sz val="11"/>
        <color theme="1"/>
        <rFont val="Calibri"/>
        <family val="2"/>
      </rPr>
      <t>(w_ct_m_missing_complaints_purge)</t>
    </r>
  </si>
  <si>
    <t>REPORTS</t>
  </si>
  <si>
    <r>
      <t xml:space="preserve">File Import </t>
    </r>
    <r>
      <rPr>
        <sz val="11"/>
        <color theme="1"/>
        <rFont val="Calibri"/>
        <family val="2"/>
      </rPr>
      <t>(w_ct_m_file_etl)</t>
    </r>
  </si>
  <si>
    <r>
      <rPr>
        <i/>
        <sz val="11"/>
        <color theme="1"/>
        <rFont val="Calibri"/>
        <family val="2"/>
      </rPr>
      <t>Import</t>
    </r>
    <r>
      <rPr>
        <sz val="11"/>
        <color theme="1"/>
        <rFont val="Calibri"/>
        <family val="2"/>
      </rPr>
      <t xml:space="preserve"> File button</t>
    </r>
  </si>
  <si>
    <r>
      <t xml:space="preserve">Not on Vision Module list; launches </t>
    </r>
    <r>
      <rPr>
        <i/>
        <sz val="11"/>
        <color theme="1"/>
        <rFont val="Calibri"/>
        <family val="2"/>
      </rPr>
      <t xml:space="preserve">Select File to Import </t>
    </r>
    <r>
      <rPr>
        <sz val="11"/>
        <color theme="1"/>
        <rFont val="Calibri"/>
        <family val="2"/>
      </rPr>
      <t>dialog window</t>
    </r>
  </si>
  <si>
    <r>
      <rPr>
        <i/>
        <sz val="11"/>
        <color theme="1"/>
        <rFont val="Calibri"/>
        <family val="2"/>
      </rPr>
      <t xml:space="preserve">SaveAs </t>
    </r>
    <r>
      <rPr>
        <sz val="11"/>
        <color theme="1"/>
        <rFont val="Calibri"/>
        <family val="2"/>
      </rPr>
      <t>button</t>
    </r>
  </si>
  <si>
    <r>
      <t xml:space="preserve">Monthly Funding Report </t>
    </r>
    <r>
      <rPr>
        <sz val="11"/>
        <color theme="1"/>
        <rFont val="Calibri"/>
        <family val="2"/>
      </rPr>
      <t>(w_ct_m_fscl_month_fund_report)</t>
    </r>
  </si>
  <si>
    <r>
      <rPr>
        <i/>
        <sz val="11"/>
        <color theme="1"/>
        <rFont val="Calibri"/>
        <family val="2"/>
      </rPr>
      <t>Unapprove</t>
    </r>
    <r>
      <rPr>
        <sz val="11"/>
        <color theme="1"/>
        <rFont val="Calibri"/>
        <family val="2"/>
      </rPr>
      <t xml:space="preserve"> button</t>
    </r>
  </si>
  <si>
    <r>
      <t xml:space="preserve">Not on Vision Module list; launches </t>
    </r>
    <r>
      <rPr>
        <i/>
        <sz val="11"/>
        <color theme="1"/>
        <rFont val="Calibri"/>
        <family val="2"/>
      </rPr>
      <t>PRINT Do you wish to print the report with MTD, H&amp;S, Insurance, Collection, CC Recovery and Other Adj columns?</t>
    </r>
    <r>
      <rPr>
        <sz val="11"/>
        <color theme="1"/>
        <rFont val="Calibri"/>
        <family val="2"/>
      </rPr>
      <t xml:space="preserve"> Yes/No/Cancel message, Yes/No launch </t>
    </r>
    <r>
      <rPr>
        <i/>
        <sz val="11"/>
        <color theme="1"/>
        <rFont val="Calibri"/>
        <family val="2"/>
      </rPr>
      <t>Print</t>
    </r>
    <r>
      <rPr>
        <sz val="11"/>
        <color theme="1"/>
        <rFont val="Calibri"/>
        <family val="2"/>
      </rPr>
      <t xml:space="preserve"> dialog window</t>
    </r>
  </si>
  <si>
    <r>
      <t xml:space="preserve">Reports </t>
    </r>
    <r>
      <rPr>
        <sz val="11"/>
        <color theme="1"/>
        <rFont val="Calibri"/>
        <family val="2"/>
      </rPr>
      <t>(w_ct_m_report_select)</t>
    </r>
  </si>
  <si>
    <r>
      <rPr>
        <i/>
        <sz val="11"/>
        <color theme="1"/>
        <rFont val="Calibri"/>
        <family val="2"/>
      </rPr>
      <t>Select</t>
    </r>
    <r>
      <rPr>
        <sz val="11"/>
        <color theme="1"/>
        <rFont val="Calibri"/>
        <family val="2"/>
      </rPr>
      <t xml:space="preserve"> button</t>
    </r>
  </si>
  <si>
    <t>Not on Vision Module list; opens corresponding report</t>
  </si>
  <si>
    <r>
      <t xml:space="preserve">Not on Vision Module list; closes </t>
    </r>
    <r>
      <rPr>
        <i/>
        <sz val="11"/>
        <color theme="1"/>
        <rFont val="Calibri"/>
        <family val="2"/>
      </rPr>
      <t xml:space="preserve">Report Selection </t>
    </r>
    <r>
      <rPr>
        <sz val="11"/>
        <color theme="1"/>
        <rFont val="Calibri"/>
        <family val="2"/>
      </rPr>
      <t>window</t>
    </r>
  </si>
  <si>
    <r>
      <t xml:space="preserve">State Prison Abstracts </t>
    </r>
    <r>
      <rPr>
        <sz val="11"/>
        <color theme="1"/>
        <rFont val="Calibri"/>
        <family val="2"/>
      </rPr>
      <t>(w_ct_m_prsn_abstract)</t>
    </r>
  </si>
  <si>
    <t>Not on Vision Module list; used in window</t>
  </si>
  <si>
    <r>
      <rPr>
        <i/>
        <sz val="11"/>
        <color theme="1"/>
        <rFont val="Calibri"/>
        <family val="2"/>
      </rPr>
      <t xml:space="preserve">Show/Hide Report </t>
    </r>
    <r>
      <rPr>
        <sz val="11"/>
        <color theme="1"/>
        <rFont val="Calibri"/>
        <family val="2"/>
      </rPr>
      <t>button</t>
    </r>
  </si>
  <si>
    <t>Not on Vision Module list; changes display to PDF view/reverts to make modifications</t>
  </si>
  <si>
    <r>
      <rPr>
        <i/>
        <sz val="11"/>
        <color theme="1"/>
        <rFont val="Calibri"/>
        <family val="2"/>
      </rPr>
      <t xml:space="preserve">Print Report </t>
    </r>
    <r>
      <rPr>
        <sz val="11"/>
        <color theme="1"/>
        <rFont val="Calibri"/>
        <family val="2"/>
      </rPr>
      <t>button</t>
    </r>
  </si>
  <si>
    <t>SCHEDULE MAINTENANCE</t>
  </si>
  <si>
    <r>
      <rPr>
        <b/>
        <sz val="11"/>
        <color theme="1"/>
        <rFont val="Calibri"/>
        <family val="2"/>
      </rPr>
      <t xml:space="preserve">Special Schedule </t>
    </r>
    <r>
      <rPr>
        <sz val="11"/>
        <color theme="1"/>
        <rFont val="Calibri"/>
        <family val="2"/>
      </rPr>
      <t>(w_ct_m_fscl_special_schedule)</t>
    </r>
  </si>
  <si>
    <r>
      <rPr>
        <b/>
        <sz val="11"/>
        <color theme="1"/>
        <rFont val="Calibri"/>
        <family val="2"/>
      </rPr>
      <t>Speed Schedule</t>
    </r>
    <r>
      <rPr>
        <sz val="11"/>
        <color theme="1"/>
        <rFont val="Calibri"/>
        <family val="2"/>
      </rPr>
      <t xml:space="preserve"> (w_ct_m_fscl_speed_sched)</t>
    </r>
  </si>
  <si>
    <r>
      <rPr>
        <b/>
        <sz val="11"/>
        <color theme="1"/>
        <rFont val="Calibri"/>
        <family val="2"/>
      </rPr>
      <t>Copy Sched button</t>
    </r>
    <r>
      <rPr>
        <sz val="11"/>
        <color theme="1"/>
        <rFont val="Calibri"/>
        <family val="2"/>
      </rPr>
      <t xml:space="preserve"> (w_ct_r_fscl_speed_sched)</t>
    </r>
  </si>
  <si>
    <t>Copy Exisitng Speed Schedule window</t>
  </si>
  <si>
    <r>
      <rPr>
        <b/>
        <sz val="11"/>
        <color theme="1"/>
        <rFont val="Calibri"/>
        <family val="2"/>
      </rPr>
      <t xml:space="preserve">Speed Schedule 2 </t>
    </r>
    <r>
      <rPr>
        <sz val="11"/>
        <color theme="1"/>
        <rFont val="Calibri"/>
        <family val="2"/>
      </rPr>
      <t>(w_ct_m_fscl_speed_sched_2)</t>
    </r>
  </si>
  <si>
    <r>
      <rPr>
        <b/>
        <sz val="11"/>
        <color theme="1"/>
        <rFont val="Calibri"/>
        <family val="2"/>
      </rPr>
      <t xml:space="preserve">Copy Sched button </t>
    </r>
    <r>
      <rPr>
        <sz val="11"/>
        <color theme="1"/>
        <rFont val="Calibri"/>
        <family val="2"/>
      </rPr>
      <t>(w_ct_r_fscl_speed_sched)</t>
    </r>
  </si>
  <si>
    <t>SECURITY</t>
  </si>
  <si>
    <r>
      <t xml:space="preserve">Advanced Menu Manager </t>
    </r>
    <r>
      <rPr>
        <sz val="11"/>
        <color theme="1"/>
        <rFont val="Calibri"/>
        <family val="2"/>
      </rPr>
      <t>(w_ct_m_menu_full)</t>
    </r>
  </si>
  <si>
    <r>
      <rPr>
        <i/>
        <sz val="11"/>
        <color theme="1"/>
        <rFont val="Calibri"/>
        <family val="2"/>
      </rPr>
      <t>Stage Menu Security</t>
    </r>
    <r>
      <rPr>
        <sz val="11"/>
        <color theme="1"/>
        <rFont val="Calibri"/>
        <family val="2"/>
      </rPr>
      <t xml:space="preserve"> button</t>
    </r>
  </si>
  <si>
    <t>Not on Vision Module list; stages menu changes to deploy</t>
  </si>
  <si>
    <r>
      <rPr>
        <i/>
        <sz val="11"/>
        <color theme="1"/>
        <rFont val="Calibri"/>
        <family val="2"/>
      </rPr>
      <t>Migrate Stage to Vision</t>
    </r>
    <r>
      <rPr>
        <sz val="11"/>
        <color theme="1"/>
        <rFont val="Calibri"/>
        <family val="2"/>
      </rPr>
      <t xml:space="preserve"> button</t>
    </r>
  </si>
  <si>
    <t>Not on Vision Module list; deploys staged menu changes</t>
  </si>
  <si>
    <r>
      <rPr>
        <i/>
        <sz val="11"/>
        <color theme="1"/>
        <rFont val="Calibri"/>
        <family val="2"/>
      </rPr>
      <t>Menu Management</t>
    </r>
    <r>
      <rPr>
        <sz val="11"/>
        <color theme="1"/>
        <rFont val="Calibri"/>
        <family val="2"/>
      </rPr>
      <t xml:space="preserve"> button</t>
    </r>
  </si>
  <si>
    <r>
      <t xml:space="preserve">Not on Vision Module list; launches </t>
    </r>
    <r>
      <rPr>
        <i/>
        <sz val="11"/>
        <color theme="1"/>
        <rFont val="Calibri"/>
        <family val="2"/>
      </rPr>
      <t xml:space="preserve">Vision Menu Setup </t>
    </r>
    <r>
      <rPr>
        <sz val="11"/>
        <color theme="1"/>
        <rFont val="Calibri"/>
        <family val="2"/>
      </rPr>
      <t>window</t>
    </r>
  </si>
  <si>
    <t>Not on Vision Module list; saves changes</t>
  </si>
  <si>
    <r>
      <t xml:space="preserve">Basic Menu Manager </t>
    </r>
    <r>
      <rPr>
        <sz val="11"/>
        <color theme="1"/>
        <rFont val="Calibri"/>
        <family val="2"/>
      </rPr>
      <t>(w_ct_m_menu_basic)</t>
    </r>
  </si>
  <si>
    <r>
      <t>Vision Menu Profile Report</t>
    </r>
    <r>
      <rPr>
        <sz val="11"/>
        <color theme="1"/>
        <rFont val="Calibri"/>
        <family val="2"/>
      </rPr>
      <t xml:space="preserve"> (w_ct_r_menu_profile_report)</t>
    </r>
  </si>
  <si>
    <r>
      <t xml:space="preserve">Launched from </t>
    </r>
    <r>
      <rPr>
        <i/>
        <sz val="11"/>
        <color theme="1"/>
        <rFont val="Calibri"/>
        <family val="2"/>
      </rPr>
      <t xml:space="preserve">Vision Menu Profile Report </t>
    </r>
    <r>
      <rPr>
        <sz val="11"/>
        <color theme="1"/>
        <rFont val="Calibri"/>
        <family val="2"/>
      </rPr>
      <t>button</t>
    </r>
  </si>
  <si>
    <r>
      <t xml:space="preserve">Data Search </t>
    </r>
    <r>
      <rPr>
        <sz val="11"/>
        <color theme="1"/>
        <rFont val="Calibri"/>
        <family val="2"/>
      </rPr>
      <t>(w_ct_m_data_search)</t>
    </r>
  </si>
  <si>
    <t>Unable to validate</t>
  </si>
  <si>
    <r>
      <t xml:space="preserve">Not on Vision Modules list; launches </t>
    </r>
    <r>
      <rPr>
        <i/>
        <sz val="11"/>
        <color theme="1"/>
        <rFont val="Calibri"/>
        <family val="2"/>
      </rPr>
      <t xml:space="preserve">Menu Administration - vision </t>
    </r>
    <r>
      <rPr>
        <sz val="11"/>
        <color theme="1"/>
        <rFont val="Calibri"/>
        <family val="2"/>
      </rPr>
      <t>window</t>
    </r>
  </si>
  <si>
    <r>
      <rPr>
        <i/>
        <sz val="11"/>
        <color theme="1"/>
        <rFont val="Calibri"/>
        <family val="2"/>
      </rPr>
      <t>Filter</t>
    </r>
    <r>
      <rPr>
        <sz val="11"/>
        <color theme="1"/>
        <rFont val="Calibri"/>
        <family val="2"/>
      </rPr>
      <t xml:space="preserve"> button (By Window, By Group, By Menu Item tabs)</t>
    </r>
  </si>
  <si>
    <r>
      <t xml:space="preserve">Not on Vision Modules list; launches </t>
    </r>
    <r>
      <rPr>
        <i/>
        <sz val="11"/>
        <color theme="1"/>
        <rFont val="Calibri"/>
        <family val="2"/>
      </rPr>
      <t xml:space="preserve">Specify Filter </t>
    </r>
    <r>
      <rPr>
        <sz val="11"/>
        <color theme="1"/>
        <rFont val="Calibri"/>
        <family val="2"/>
      </rPr>
      <t>window</t>
    </r>
  </si>
  <si>
    <r>
      <rPr>
        <i/>
        <sz val="11"/>
        <color theme="1"/>
        <rFont val="Calibri"/>
        <family val="2"/>
      </rPr>
      <t>Sort</t>
    </r>
    <r>
      <rPr>
        <sz val="11"/>
        <color theme="1"/>
        <rFont val="Calibri"/>
        <family val="2"/>
      </rPr>
      <t xml:space="preserve"> button (By Window, By Group, By Menu Item tabs)</t>
    </r>
  </si>
  <si>
    <r>
      <t xml:space="preserve">Not on Vision Modules list; launches </t>
    </r>
    <r>
      <rPr>
        <i/>
        <sz val="11"/>
        <color theme="1"/>
        <rFont val="Calibri"/>
        <family val="2"/>
      </rPr>
      <t xml:space="preserve">Sort </t>
    </r>
    <r>
      <rPr>
        <sz val="11"/>
        <color theme="1"/>
        <rFont val="Calibri"/>
        <family val="2"/>
      </rPr>
      <t>window</t>
    </r>
  </si>
  <si>
    <r>
      <rPr>
        <i/>
        <sz val="11"/>
        <color theme="1"/>
        <rFont val="Calibri"/>
        <family val="2"/>
      </rPr>
      <t>Save</t>
    </r>
    <r>
      <rPr>
        <sz val="11"/>
        <color theme="1"/>
        <rFont val="Calibri"/>
        <family val="2"/>
      </rPr>
      <t xml:space="preserve"> button (By Window, By Group, By Menu Item tabs)</t>
    </r>
  </si>
  <si>
    <r>
      <rPr>
        <i/>
        <sz val="11"/>
        <color theme="1"/>
        <rFont val="Calibri"/>
        <family val="2"/>
      </rPr>
      <t>New</t>
    </r>
    <r>
      <rPr>
        <sz val="11"/>
        <color theme="1"/>
        <rFont val="Calibri"/>
        <family val="2"/>
      </rPr>
      <t xml:space="preserve"> button (Master tab)</t>
    </r>
  </si>
  <si>
    <r>
      <rPr>
        <i/>
        <sz val="11"/>
        <color theme="1"/>
        <rFont val="Calibri"/>
        <family val="2"/>
      </rPr>
      <t>Delete</t>
    </r>
    <r>
      <rPr>
        <sz val="11"/>
        <color theme="1"/>
        <rFont val="Calibri"/>
        <family val="2"/>
      </rPr>
      <t xml:space="preserve"> button (Master tab)</t>
    </r>
  </si>
  <si>
    <r>
      <t xml:space="preserve">Password Reset </t>
    </r>
    <r>
      <rPr>
        <sz val="11"/>
        <color theme="1"/>
        <rFont val="Calibri"/>
        <family val="2"/>
      </rPr>
      <t>(w_ct_m_pwd_reset)</t>
    </r>
  </si>
  <si>
    <r>
      <rPr>
        <b/>
        <sz val="11"/>
        <color rgb="FFFF0000"/>
        <rFont val="Calibri"/>
        <family val="2"/>
      </rPr>
      <t>?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>(w_ct_r_per_select)</t>
    </r>
  </si>
  <si>
    <r>
      <rPr>
        <i/>
        <sz val="11"/>
        <color theme="1"/>
        <rFont val="Calibri"/>
        <family val="2"/>
      </rPr>
      <t xml:space="preserve">Security Administration - New User </t>
    </r>
    <r>
      <rPr>
        <sz val="11"/>
        <color theme="1"/>
        <rFont val="Calibri"/>
        <family val="2"/>
      </rPr>
      <t>window</t>
    </r>
  </si>
  <si>
    <r>
      <t xml:space="preserve">Not on Vision Modules list; launched from </t>
    </r>
    <r>
      <rPr>
        <i/>
        <sz val="11"/>
        <color theme="1"/>
        <rFont val="Calibri"/>
        <family val="2"/>
      </rPr>
      <t xml:space="preserve">New </t>
    </r>
    <r>
      <rPr>
        <sz val="11"/>
        <color theme="1"/>
        <rFont val="Calibri"/>
        <family val="2"/>
      </rPr>
      <t>button</t>
    </r>
  </si>
  <si>
    <r>
      <t xml:space="preserve">Not on Vision Modules list; launched from </t>
    </r>
    <r>
      <rPr>
        <i/>
        <sz val="11"/>
        <color theme="1"/>
        <rFont val="Calibri"/>
        <family val="2"/>
      </rPr>
      <t>Search</t>
    </r>
    <r>
      <rPr>
        <sz val="11"/>
        <color theme="1"/>
        <rFont val="Calibri"/>
        <family val="2"/>
      </rPr>
      <t xml:space="preserve"> button</t>
    </r>
  </si>
  <si>
    <t>Not on Vision Modules list; creates new row for user</t>
  </si>
  <si>
    <r>
      <t xml:space="preserve">Not on Vision Modules list; closes </t>
    </r>
    <r>
      <rPr>
        <i/>
        <sz val="11"/>
        <color theme="1"/>
        <rFont val="Calibri"/>
        <family val="2"/>
      </rPr>
      <t xml:space="preserve">Security Administration - New User </t>
    </r>
    <r>
      <rPr>
        <sz val="11"/>
        <color theme="1"/>
        <rFont val="Calibri"/>
        <family val="2"/>
      </rPr>
      <t>window</t>
    </r>
  </si>
  <si>
    <r>
      <t xml:space="preserve">Unlock Case </t>
    </r>
    <r>
      <rPr>
        <sz val="11"/>
        <color theme="1"/>
        <rFont val="Calibri"/>
        <family val="2"/>
      </rPr>
      <t>(w_ct_m_case_lock_maintenance)</t>
    </r>
  </si>
  <si>
    <t>TABLES</t>
  </si>
  <si>
    <r>
      <t xml:space="preserve">Agency Codes </t>
    </r>
    <r>
      <rPr>
        <sz val="11"/>
        <color theme="1"/>
        <rFont val="Calibri"/>
        <family val="2"/>
      </rPr>
      <t>(w_ct_m_agency_codes)</t>
    </r>
  </si>
  <si>
    <r>
      <t xml:space="preserve">Agency Location X-Ref Maintenance </t>
    </r>
    <r>
      <rPr>
        <sz val="11"/>
        <color theme="1"/>
        <rFont val="Calibri"/>
        <family val="2"/>
      </rPr>
      <t>(w_ct_m_maint_agy_loc_xref)</t>
    </r>
  </si>
  <si>
    <r>
      <t>Agency X-Ref Maintenance</t>
    </r>
    <r>
      <rPr>
        <sz val="11"/>
        <color theme="1"/>
        <rFont val="Calibri"/>
        <family val="2"/>
      </rPr>
      <t xml:space="preserve"> (w_ct_m_maint_agy_xref)</t>
    </r>
  </si>
  <si>
    <r>
      <t>Bail Schedule</t>
    </r>
    <r>
      <rPr>
        <sz val="11"/>
        <color theme="1"/>
        <rFont val="Calibri"/>
        <family val="2"/>
      </rPr>
      <t xml:space="preserve"> (w_ct_m_fscl_bail_sched_maint)</t>
    </r>
  </si>
  <si>
    <r>
      <t>Show History Bail Schedule</t>
    </r>
    <r>
      <rPr>
        <sz val="11"/>
        <color theme="1"/>
        <rFont val="Calibri"/>
        <family val="2"/>
      </rPr>
      <t xml:space="preserve"> (w_ct_r_bail_sched_hist_rpt)</t>
    </r>
  </si>
  <si>
    <r>
      <t xml:space="preserve">Bail Schedule Blazor </t>
    </r>
    <r>
      <rPr>
        <sz val="11"/>
        <color theme="1"/>
        <rFont val="Calibri"/>
        <family val="2"/>
      </rPr>
      <t>(w_ct_m_fscl_bail_sched_maint_bzr)</t>
    </r>
  </si>
  <si>
    <r>
      <t>Bail Schedule Review</t>
    </r>
    <r>
      <rPr>
        <sz val="11"/>
        <color theme="1"/>
        <rFont val="Calibri"/>
        <family val="2"/>
      </rPr>
      <t xml:space="preserve"> (w_ct_m_fscl_bail_sched_maint)</t>
    </r>
  </si>
  <si>
    <r>
      <t xml:space="preserve">Show History Bail Schedule </t>
    </r>
    <r>
      <rPr>
        <sz val="11"/>
        <color theme="1"/>
        <rFont val="Calibri"/>
        <family val="2"/>
      </rPr>
      <t>(w_ct_r_bail_sched_hist_rpt)</t>
    </r>
  </si>
  <si>
    <r>
      <t xml:space="preserve">Calendar Plan Maintenance </t>
    </r>
    <r>
      <rPr>
        <sz val="11"/>
        <color theme="1"/>
        <rFont val="Calibri"/>
        <family val="2"/>
      </rPr>
      <t>(w_ct_m_calendar_plan)</t>
    </r>
  </si>
  <si>
    <t>(+) button (2-Override Schedule tab)</t>
  </si>
  <si>
    <r>
      <t xml:space="preserve">Not on Vision Module list; adds row to </t>
    </r>
    <r>
      <rPr>
        <i/>
        <sz val="11"/>
        <color theme="1"/>
        <rFont val="Calibri"/>
        <family val="2"/>
      </rPr>
      <t xml:space="preserve">Add Overide Plan(s) </t>
    </r>
    <r>
      <rPr>
        <sz val="11"/>
        <color theme="1"/>
        <rFont val="Calibri"/>
        <family val="2"/>
      </rPr>
      <t>section</t>
    </r>
  </si>
  <si>
    <r>
      <t xml:space="preserve">Code Mover </t>
    </r>
    <r>
      <rPr>
        <sz val="11"/>
        <color theme="1"/>
        <rFont val="Calibri"/>
        <family val="2"/>
      </rPr>
      <t>(w_ct_m_code_mover)</t>
    </r>
  </si>
  <si>
    <r>
      <t xml:space="preserve">Codes </t>
    </r>
    <r>
      <rPr>
        <sz val="11"/>
        <color theme="1"/>
        <rFont val="Calibri"/>
        <family val="2"/>
      </rPr>
      <t>(w_ct_m_codes)</t>
    </r>
  </si>
  <si>
    <r>
      <t xml:space="preserve">Codes Blazor </t>
    </r>
    <r>
      <rPr>
        <sz val="11"/>
        <color theme="1"/>
        <rFont val="Calibri"/>
        <family val="2"/>
      </rPr>
      <t>(w_ct_m_codes_bzr)</t>
    </r>
  </si>
  <si>
    <r>
      <t>Codes X-Ref Maintenance</t>
    </r>
    <r>
      <rPr>
        <sz val="11"/>
        <color theme="1"/>
        <rFont val="Calibri"/>
        <family val="2"/>
      </rPr>
      <t xml:space="preserve"> (w_ct_m_maint_xref)</t>
    </r>
  </si>
  <si>
    <r>
      <t xml:space="preserve">Court Control </t>
    </r>
    <r>
      <rPr>
        <sz val="11"/>
        <color theme="1"/>
        <rFont val="Calibri"/>
        <family val="2"/>
      </rPr>
      <t>(w_ct_m_mnt_control)</t>
    </r>
  </si>
  <si>
    <r>
      <t xml:space="preserve">MOCS Docket Definition </t>
    </r>
    <r>
      <rPr>
        <sz val="11"/>
        <color theme="1"/>
        <rFont val="Calibri"/>
        <family val="2"/>
      </rPr>
      <t>(w_ct_m_mocs_dkt_defn)</t>
    </r>
  </si>
  <si>
    <r>
      <rPr>
        <i/>
        <sz val="11"/>
        <color theme="1"/>
        <rFont val="Calibri"/>
        <family val="2"/>
      </rPr>
      <t xml:space="preserve">Load pdf to vision_images table for mass datafixes… </t>
    </r>
    <r>
      <rPr>
        <sz val="11"/>
        <color theme="1"/>
        <rFont val="Calibri"/>
        <family val="2"/>
      </rPr>
      <t>button</t>
    </r>
  </si>
  <si>
    <r>
      <t xml:space="preserve">Court Holidays </t>
    </r>
    <r>
      <rPr>
        <sz val="11"/>
        <color theme="1"/>
        <rFont val="Calibri"/>
        <family val="2"/>
      </rPr>
      <t>(w_ct_m_court_holidays)</t>
    </r>
  </si>
  <si>
    <r>
      <t xml:space="preserve">Development Log </t>
    </r>
    <r>
      <rPr>
        <sz val="11"/>
        <color theme="1"/>
        <rFont val="Calibri"/>
        <family val="2"/>
      </rPr>
      <t>(w_ct_m_dev_log)</t>
    </r>
  </si>
  <si>
    <r>
      <t xml:space="preserve">Docket Code Macro Configuration </t>
    </r>
    <r>
      <rPr>
        <sz val="11"/>
        <color theme="1"/>
        <rFont val="Calibri"/>
        <family val="2"/>
      </rPr>
      <t>(w_ct_m_docket_macro)</t>
    </r>
  </si>
  <si>
    <r>
      <rPr>
        <i/>
        <sz val="11"/>
        <color theme="1"/>
        <rFont val="Calibri"/>
        <family val="2"/>
      </rPr>
      <t>Clear</t>
    </r>
    <r>
      <rPr>
        <sz val="11"/>
        <color theme="1"/>
        <rFont val="Calibri"/>
        <family val="2"/>
      </rPr>
      <t xml:space="preserve"> button</t>
    </r>
  </si>
  <si>
    <t>Not on Vision Module list; clers search from Macro Code parameter</t>
  </si>
  <si>
    <r>
      <rPr>
        <i/>
        <sz val="11"/>
        <color theme="1"/>
        <rFont val="Calibri"/>
        <family val="2"/>
      </rPr>
      <t>Edit</t>
    </r>
    <r>
      <rPr>
        <sz val="11"/>
        <color theme="1"/>
        <rFont val="Calibri"/>
        <family val="2"/>
      </rPr>
      <t xml:space="preserve"> button</t>
    </r>
  </si>
  <si>
    <t>Not on Vision Module list; enables modification of macro - parm lookup window opened if DC has default setting</t>
  </si>
  <si>
    <r>
      <t xml:space="preserve">Docket Code Macro Maintenance </t>
    </r>
    <r>
      <rPr>
        <sz val="11"/>
        <color theme="1"/>
        <rFont val="Calibri"/>
        <family val="2"/>
      </rPr>
      <t>(w_ct_m_docket_macro_maint)</t>
    </r>
  </si>
  <si>
    <r>
      <t xml:space="preserve">Docket Macro Preview </t>
    </r>
    <r>
      <rPr>
        <sz val="11"/>
        <color theme="1"/>
        <rFont val="Calibri"/>
        <family val="2"/>
      </rPr>
      <t>(w_ct_r_dckt_macro_preview)</t>
    </r>
  </si>
  <si>
    <r>
      <t xml:space="preserve">Launched by </t>
    </r>
    <r>
      <rPr>
        <i/>
        <sz val="11"/>
        <color theme="1"/>
        <rFont val="Calibri"/>
        <family val="2"/>
      </rPr>
      <t xml:space="preserve">Preview </t>
    </r>
    <r>
      <rPr>
        <sz val="11"/>
        <color theme="1"/>
        <rFont val="Calibri"/>
        <family val="2"/>
      </rPr>
      <t>button</t>
    </r>
  </si>
  <si>
    <r>
      <t xml:space="preserve">Docket Code Help </t>
    </r>
    <r>
      <rPr>
        <sz val="11"/>
        <color theme="1"/>
        <rFont val="Calibri"/>
        <family val="2"/>
      </rPr>
      <t>(w_ct_doc_help_rsp)</t>
    </r>
  </si>
  <si>
    <t>Launched from 1-Docket Codes tab (Docket Code section then tab)</t>
  </si>
  <si>
    <r>
      <t xml:space="preserve">Docket Code Macro Mover </t>
    </r>
    <r>
      <rPr>
        <sz val="11"/>
        <color theme="1"/>
        <rFont val="Calibri"/>
        <family val="2"/>
      </rPr>
      <t>(w_ct_m_docket_macro_move)</t>
    </r>
  </si>
  <si>
    <r>
      <t xml:space="preserve">Docket Code Maintenance </t>
    </r>
    <r>
      <rPr>
        <sz val="11"/>
        <color theme="1"/>
        <rFont val="Calibri"/>
        <family val="2"/>
      </rPr>
      <t>(w_ct_m_docket_code_maint)</t>
    </r>
  </si>
  <si>
    <t>Launched also by double-click dokcet code 3-Edits/4-Updates</t>
  </si>
  <si>
    <r>
      <t xml:space="preserve">Launched from </t>
    </r>
    <r>
      <rPr>
        <i/>
        <sz val="11"/>
        <color theme="1"/>
        <rFont val="Calibri"/>
        <family val="2"/>
      </rPr>
      <t xml:space="preserve">Search </t>
    </r>
    <r>
      <rPr>
        <sz val="11"/>
        <color theme="1"/>
        <rFont val="Calibri"/>
        <family val="2"/>
      </rPr>
      <t>button</t>
    </r>
  </si>
  <si>
    <r>
      <t xml:space="preserve">Parm Lookups </t>
    </r>
    <r>
      <rPr>
        <sz val="11"/>
        <color theme="1"/>
        <rFont val="Calibri"/>
        <family val="2"/>
      </rPr>
      <t>(w_ct_m_parm_lookups)</t>
    </r>
  </si>
  <si>
    <t>Launched from double-click Lookup Table (1-Parameters) tab</t>
  </si>
  <si>
    <r>
      <t xml:space="preserve">Launched from 2-Text tab; displays if </t>
    </r>
    <r>
      <rPr>
        <i/>
        <sz val="11"/>
        <color theme="1"/>
        <rFont val="Calibri"/>
        <family val="2"/>
      </rPr>
      <t xml:space="preserve">Case Required Case is required to doa lookup for this parameter. Would you like to select a case Yes/No </t>
    </r>
    <r>
      <rPr>
        <sz val="11"/>
        <color theme="1"/>
        <rFont val="Calibri"/>
        <family val="2"/>
      </rPr>
      <t xml:space="preserve">message appears </t>
    </r>
  </si>
  <si>
    <r>
      <rPr>
        <b/>
        <sz val="11"/>
        <color rgb="FFFF0000"/>
        <rFont val="Calibri"/>
        <family val="2"/>
      </rPr>
      <t xml:space="preserve">? </t>
    </r>
    <r>
      <rPr>
        <sz val="11"/>
        <color theme="1"/>
        <rFont val="Calibri"/>
        <family val="2"/>
      </rPr>
      <t>(w_ct_r_docket_codes)</t>
    </r>
  </si>
  <si>
    <r>
      <rPr>
        <b/>
        <sz val="11"/>
        <color rgb="FFFF0000"/>
        <rFont val="Calibri"/>
        <family val="2"/>
      </rPr>
      <t xml:space="preserve">? </t>
    </r>
    <r>
      <rPr>
        <sz val="11"/>
        <color theme="1"/>
        <rFont val="Calibri"/>
        <family val="2"/>
      </rPr>
      <t>(w_ct_r_lookup_nbr)</t>
    </r>
  </si>
  <si>
    <t>Generic Notice Maintenance window</t>
  </si>
  <si>
    <t>Not on Vision Modules list; launched by double-click 6-Generic Notice tab</t>
  </si>
  <si>
    <r>
      <t xml:space="preserve">Docket Code Reference </t>
    </r>
    <r>
      <rPr>
        <sz val="11"/>
        <color theme="1"/>
        <rFont val="Calibri"/>
        <family val="2"/>
      </rPr>
      <t>(w_ct_m_docket_codes_reference)</t>
    </r>
  </si>
  <si>
    <r>
      <t xml:space="preserve">Error Codes </t>
    </r>
    <r>
      <rPr>
        <sz val="11"/>
        <color theme="1"/>
        <rFont val="Calibri"/>
        <family val="2"/>
      </rPr>
      <t>(w_ct_m_error_codes)</t>
    </r>
  </si>
  <si>
    <r>
      <t xml:space="preserve">Event Codes </t>
    </r>
    <r>
      <rPr>
        <sz val="11"/>
        <color theme="1"/>
        <rFont val="Calibri"/>
        <family val="2"/>
      </rPr>
      <t>(w_ct_m_event_codes)</t>
    </r>
  </si>
  <si>
    <r>
      <t xml:space="preserve">Fee Schedule </t>
    </r>
    <r>
      <rPr>
        <sz val="11"/>
        <color theme="1"/>
        <rFont val="Calibri"/>
        <family val="2"/>
      </rPr>
      <t>(w_ct_m_fscl_fee_sched)</t>
    </r>
  </si>
  <si>
    <r>
      <t xml:space="preserve">Generic Notice Maintenance </t>
    </r>
    <r>
      <rPr>
        <sz val="11"/>
        <color theme="1"/>
        <rFont val="Calibri"/>
        <family val="2"/>
      </rPr>
      <t>(w_ct_m_letter_maint)</t>
    </r>
  </si>
  <si>
    <t>Magnifying Glass button</t>
  </si>
  <si>
    <r>
      <t xml:space="preserve">Not on Vision Modules list; launches </t>
    </r>
    <r>
      <rPr>
        <i/>
        <sz val="11"/>
        <color theme="1"/>
        <rFont val="Calibri"/>
        <family val="2"/>
      </rPr>
      <t xml:space="preserve">Zoom </t>
    </r>
    <r>
      <rPr>
        <sz val="11"/>
        <color theme="1"/>
        <rFont val="Calibri"/>
        <family val="2"/>
      </rPr>
      <t>window</t>
    </r>
  </si>
  <si>
    <t>Printer button</t>
  </si>
  <si>
    <r>
      <t xml:space="preserve">Not on Vision Modules list; launches </t>
    </r>
    <r>
      <rPr>
        <i/>
        <sz val="11"/>
        <color theme="1"/>
        <rFont val="Calibri"/>
        <family val="2"/>
      </rPr>
      <t xml:space="preserve">Print </t>
    </r>
    <r>
      <rPr>
        <sz val="11"/>
        <color theme="1"/>
        <rFont val="Calibri"/>
        <family val="2"/>
      </rPr>
      <t>dialog window</t>
    </r>
  </si>
  <si>
    <r>
      <t xml:space="preserve">Job Error Log </t>
    </r>
    <r>
      <rPr>
        <sz val="11"/>
        <color theme="1"/>
        <rFont val="Calibri"/>
        <family val="2"/>
      </rPr>
      <t>(w_ct_m_job_error_log)</t>
    </r>
  </si>
  <si>
    <r>
      <rPr>
        <b/>
        <sz val="11"/>
        <rFont val="Calibri"/>
        <family val="2"/>
      </rPr>
      <t>Additional Info for Case</t>
    </r>
    <r>
      <rPr>
        <sz val="11"/>
        <rFont val="Calibri"/>
        <family val="2"/>
      </rPr>
      <t xml:space="preserve"> (w_ct_r_ext_notes)</t>
    </r>
  </si>
  <si>
    <t>Launched from "…" button next to Additional Info</t>
  </si>
  <si>
    <r>
      <t xml:space="preserve">Letter Maintenance </t>
    </r>
    <r>
      <rPr>
        <sz val="11"/>
        <color theme="1"/>
        <rFont val="Calibri"/>
        <family val="2"/>
      </rPr>
      <t>(w_ct_m_letter_maint_lm)</t>
    </r>
  </si>
  <si>
    <r>
      <t xml:space="preserve">PA Schedule Maintenance </t>
    </r>
    <r>
      <rPr>
        <sz val="11"/>
        <color theme="1"/>
        <rFont val="Calibri"/>
        <family val="2"/>
      </rPr>
      <t>(w_ct_m_maint_pa_sched)</t>
    </r>
  </si>
  <si>
    <t>Launched by double-click docket code</t>
  </si>
  <si>
    <r>
      <t xml:space="preserve">RACD night court dates </t>
    </r>
    <r>
      <rPr>
        <sz val="11"/>
        <color theme="1"/>
        <rFont val="Calibri"/>
        <family val="2"/>
      </rPr>
      <t>(w_ct_m_precal_nightcourt_dates)</t>
    </r>
  </si>
  <si>
    <r>
      <t xml:space="preserve">Sentence Workflow Maintenance </t>
    </r>
    <r>
      <rPr>
        <sz val="11"/>
        <color theme="1"/>
        <rFont val="Calibri"/>
        <family val="2"/>
      </rPr>
      <t>(w_ct_case_sent_wkflow_mapping)</t>
    </r>
  </si>
  <si>
    <r>
      <t>SP Registry</t>
    </r>
    <r>
      <rPr>
        <sz val="11"/>
        <color theme="1"/>
        <rFont val="Calibri"/>
        <family val="2"/>
      </rPr>
      <t xml:space="preserve"> (w_ct_m_sp_registry)</t>
    </r>
  </si>
  <si>
    <r>
      <t xml:space="preserve">Unit Codes </t>
    </r>
    <r>
      <rPr>
        <sz val="11"/>
        <color theme="1"/>
        <rFont val="Calibri"/>
        <family val="2"/>
      </rPr>
      <t>(w_ct_m_unit_codes)</t>
    </r>
  </si>
  <si>
    <r>
      <t xml:space="preserve">Violation Agency X-Ref </t>
    </r>
    <r>
      <rPr>
        <sz val="11"/>
        <color theme="1"/>
        <rFont val="Calibri"/>
        <family val="2"/>
      </rPr>
      <t>(w_ct_m_viol_agency_xref)</t>
    </r>
  </si>
  <si>
    <r>
      <t xml:space="preserve">Violations </t>
    </r>
    <r>
      <rPr>
        <sz val="11"/>
        <color theme="1"/>
        <rFont val="Calibri"/>
        <family val="2"/>
      </rPr>
      <t>(w_ct_m_violations)</t>
    </r>
  </si>
  <si>
    <r>
      <t xml:space="preserve">Warrant Control Maintenance </t>
    </r>
    <r>
      <rPr>
        <sz val="11"/>
        <color theme="1"/>
        <rFont val="Calibri"/>
        <family val="2"/>
      </rPr>
      <t>(w_ct_m_warr_ctrl_maint)</t>
    </r>
  </si>
  <si>
    <r>
      <t xml:space="preserve">File Mappings </t>
    </r>
    <r>
      <rPr>
        <sz val="11"/>
        <color theme="1"/>
        <rFont val="Calibri"/>
        <family val="2"/>
      </rPr>
      <t>(w_ct_m_file_in_out_mappings)</t>
    </r>
  </si>
  <si>
    <r>
      <t xml:space="preserve">Appeal Activity Maintenance </t>
    </r>
    <r>
      <rPr>
        <sz val="11"/>
        <color theme="1"/>
        <rFont val="Calibri"/>
        <family val="2"/>
      </rPr>
      <t>(w_ct_m_activity_code_maint)</t>
    </r>
  </si>
  <si>
    <r>
      <rPr>
        <b/>
        <sz val="11"/>
        <color rgb="FFFF0000"/>
        <rFont val="Calibri"/>
        <family val="2"/>
      </rPr>
      <t>?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>(w_ct_r_lookup_nbr)</t>
    </r>
  </si>
  <si>
    <t>WARRANTS</t>
  </si>
  <si>
    <r>
      <t xml:space="preserve">Pending Warrant Review </t>
    </r>
    <r>
      <rPr>
        <sz val="11"/>
        <color theme="1"/>
        <rFont val="Calibri"/>
        <family val="2"/>
      </rPr>
      <t>(w_ct_m_warrant_review)</t>
    </r>
  </si>
  <si>
    <r>
      <rPr>
        <i/>
        <sz val="11"/>
        <color theme="1"/>
        <rFont val="Calibri"/>
        <family val="2"/>
      </rPr>
      <t>Export to Excel</t>
    </r>
    <r>
      <rPr>
        <sz val="11"/>
        <color theme="1"/>
        <rFont val="Calibri"/>
        <family val="2"/>
      </rPr>
      <t xml:space="preserve"> button</t>
    </r>
  </si>
  <si>
    <r>
      <t xml:space="preserve">Warrant Maintenance </t>
    </r>
    <r>
      <rPr>
        <sz val="11"/>
        <color theme="1"/>
        <rFont val="Calibri"/>
        <family val="2"/>
      </rPr>
      <t>(w_ct_m_warrant_signal_mon)</t>
    </r>
  </si>
  <si>
    <r>
      <rPr>
        <i/>
        <sz val="11"/>
        <color theme="1"/>
        <rFont val="Calibri"/>
        <family val="2"/>
      </rPr>
      <t xml:space="preserve">Print </t>
    </r>
    <r>
      <rPr>
        <sz val="11"/>
        <color theme="1"/>
        <rFont val="Calibri"/>
        <family val="2"/>
      </rPr>
      <t>button</t>
    </r>
  </si>
  <si>
    <r>
      <t xml:space="preserve">Save to Excel </t>
    </r>
    <r>
      <rPr>
        <sz val="11"/>
        <color theme="1"/>
        <rFont val="Calibri"/>
        <family val="2"/>
      </rPr>
      <t>button</t>
    </r>
  </si>
  <si>
    <r>
      <t xml:space="preserve">Warrant Maintenance (CTS) </t>
    </r>
    <r>
      <rPr>
        <sz val="11"/>
        <color theme="1"/>
        <rFont val="Calibri"/>
        <family val="2"/>
      </rPr>
      <t>(w_ct_m_warrant_signal_audit)</t>
    </r>
  </si>
  <si>
    <r>
      <rPr>
        <i/>
        <sz val="11"/>
        <color theme="1"/>
        <rFont val="Calibri"/>
        <family val="2"/>
      </rPr>
      <t>Retry</t>
    </r>
    <r>
      <rPr>
        <sz val="11"/>
        <color theme="1"/>
        <rFont val="Calibri"/>
        <family val="2"/>
      </rPr>
      <t xml:space="preserve"> button</t>
    </r>
  </si>
  <si>
    <t>Not on Vision Module list; retries errored warrant</t>
  </si>
  <si>
    <r>
      <t xml:space="preserve">Not on Vision Module list; launches </t>
    </r>
    <r>
      <rPr>
        <i/>
        <sz val="11"/>
        <color theme="1"/>
        <rFont val="Calibri"/>
        <family val="2"/>
      </rPr>
      <t xml:space="preserve">Filter </t>
    </r>
    <r>
      <rPr>
        <sz val="11"/>
        <color theme="1"/>
        <rFont val="Calibri"/>
        <family val="2"/>
      </rPr>
      <t>window</t>
    </r>
  </si>
  <si>
    <r>
      <rPr>
        <i/>
        <sz val="11"/>
        <color theme="1"/>
        <rFont val="Calibri"/>
        <family val="2"/>
      </rPr>
      <t>Export XML…</t>
    </r>
    <r>
      <rPr>
        <sz val="11"/>
        <color theme="1"/>
        <rFont val="Calibri"/>
        <family val="2"/>
      </rPr>
      <t xml:space="preserve"> button</t>
    </r>
  </si>
  <si>
    <r>
      <rPr>
        <i/>
        <sz val="11"/>
        <color theme="1"/>
        <rFont val="Calibri"/>
        <family val="2"/>
      </rPr>
      <t>Find</t>
    </r>
    <r>
      <rPr>
        <sz val="11"/>
        <color theme="1"/>
        <rFont val="Calibri"/>
        <family val="2"/>
      </rPr>
      <t xml:space="preserve"> button</t>
    </r>
  </si>
  <si>
    <r>
      <t xml:space="preserve">Not on Vision Module list; launches </t>
    </r>
    <r>
      <rPr>
        <i/>
        <sz val="11"/>
        <color theme="1"/>
        <rFont val="Calibri"/>
        <family val="2"/>
      </rPr>
      <t>Find</t>
    </r>
    <r>
      <rPr>
        <sz val="11"/>
        <color theme="1"/>
        <rFont val="Calibri"/>
        <family val="2"/>
      </rPr>
      <t xml:space="preserve"> window</t>
    </r>
  </si>
  <si>
    <r>
      <t>Warrant Reports</t>
    </r>
    <r>
      <rPr>
        <sz val="11"/>
        <color theme="1"/>
        <rFont val="Calibri"/>
        <family val="2"/>
      </rPr>
      <t xml:space="preserve"> (w_ct_r_main_report)</t>
    </r>
  </si>
  <si>
    <r>
      <t xml:space="preserve">Not on Vision Module list; launches </t>
    </r>
    <r>
      <rPr>
        <i/>
        <sz val="11"/>
        <color theme="1"/>
        <rFont val="Calibri"/>
        <family val="2"/>
      </rPr>
      <t>Choose the destination folder and etner a filename</t>
    </r>
    <r>
      <rPr>
        <sz val="11"/>
        <color theme="1"/>
        <rFont val="Calibri"/>
        <family val="2"/>
      </rPr>
      <t xml:space="preserve"> dialog window</t>
    </r>
  </si>
  <si>
    <r>
      <t xml:space="preserve">Warrant XML Viewer (CTS) </t>
    </r>
    <r>
      <rPr>
        <sz val="11"/>
        <color theme="1"/>
        <rFont val="Calibri"/>
        <family val="2"/>
      </rPr>
      <t>(w_ct_m_warrant_awss_xml)</t>
    </r>
  </si>
  <si>
    <r>
      <t xml:space="preserve">Minutes Entry </t>
    </r>
    <r>
      <rPr>
        <sz val="11"/>
        <color theme="1"/>
        <rFont val="Calibri"/>
        <family val="2"/>
      </rPr>
      <t>(w_ct_courtroom)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</si>
</sst>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2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2"/>
      <name val="Calibri"/>
      <family val="2"/>
    </font>
    <font>
      <sz val="11"/>
      <color rgb="FF9C0006"/>
      <name val="Aptos Narrow"/>
      <family val="2"/>
      <scheme val="minor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sz val="10"/>
      <color theme="0"/>
      <name val="Calibri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i/>
      <sz val="11"/>
      <color rgb="FFFF0000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9C0006"/>
      <name val="Calibri"/>
      <family val="2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rgb="FF9C5700"/>
      <name val="Calibri"/>
      <family val="2"/>
    </font>
    <font>
      <b/>
      <sz val="10"/>
      <color theme="0"/>
      <name val="Calibri"/>
      <family val="2"/>
    </font>
    <font>
      <strike/>
      <sz val="11"/>
      <name val="Calibri"/>
      <family val="2"/>
    </font>
    <font>
      <strike/>
      <sz val="11"/>
      <color rgb="FFFF0000"/>
      <name val="Calibri"/>
      <family val="2"/>
    </font>
    <font>
      <strike/>
      <sz val="11"/>
      <color theme="1"/>
      <name val="Calibri"/>
      <family val="2"/>
    </font>
    <font>
      <strike/>
      <sz val="11"/>
      <color rgb="FF9C5700"/>
      <name val="Calibri"/>
      <family val="2"/>
    </font>
    <font>
      <strike/>
      <sz val="11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8" fillId="5" borderId="0" applyNumberFormat="0" applyBorder="0" applyAlignment="0" applyProtection="0"/>
    <xf numFmtId="0" fontId="18" fillId="0" borderId="0"/>
    <xf numFmtId="0" fontId="23" fillId="0" borderId="0"/>
    <xf numFmtId="0" fontId="25" fillId="12" borderId="0" applyNumberFormat="0" applyBorder="0" applyAlignment="0" applyProtection="0"/>
  </cellStyleXfs>
  <cellXfs count="27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5" fillId="7" borderId="1" xfId="0" applyFont="1" applyFill="1" applyBorder="1" applyAlignment="1">
      <alignment vertical="top"/>
    </xf>
    <xf numFmtId="0" fontId="6" fillId="7" borderId="1" xfId="0" applyFont="1" applyFill="1" applyBorder="1" applyAlignment="1">
      <alignment vertical="top"/>
    </xf>
    <xf numFmtId="0" fontId="6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4" fillId="0" borderId="0" xfId="0" applyFont="1" applyAlignment="1">
      <alignment horizontal="center" vertical="top"/>
    </xf>
    <xf numFmtId="0" fontId="5" fillId="0" borderId="5" xfId="0" applyFont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5" fillId="0" borderId="1" xfId="0" applyFont="1" applyBorder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8" borderId="1" xfId="0" applyFont="1" applyFill="1" applyBorder="1" applyAlignment="1">
      <alignment vertical="top" wrapText="1"/>
    </xf>
    <xf numFmtId="0" fontId="5" fillId="7" borderId="5" xfId="0" applyFont="1" applyFill="1" applyBorder="1" applyAlignment="1">
      <alignment vertical="top" wrapText="1"/>
    </xf>
    <xf numFmtId="0" fontId="5" fillId="0" borderId="3" xfId="0" applyFont="1" applyBorder="1"/>
    <xf numFmtId="0" fontId="5" fillId="7" borderId="1" xfId="0" applyFont="1" applyFill="1" applyBorder="1"/>
    <xf numFmtId="0" fontId="5" fillId="0" borderId="5" xfId="0" applyFont="1" applyBorder="1"/>
    <xf numFmtId="0" fontId="5" fillId="0" borderId="6" xfId="0" applyFont="1" applyBorder="1"/>
    <xf numFmtId="0" fontId="5" fillId="7" borderId="1" xfId="0" applyFont="1" applyFill="1" applyBorder="1" applyAlignment="1">
      <alignment vertical="center"/>
    </xf>
    <xf numFmtId="9" fontId="6" fillId="0" borderId="0" xfId="0" applyNumberFormat="1" applyFont="1" applyAlignment="1">
      <alignment horizontal="center"/>
    </xf>
    <xf numFmtId="9" fontId="10" fillId="8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3" fillId="9" borderId="1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vertical="center"/>
    </xf>
    <xf numFmtId="2" fontId="9" fillId="7" borderId="1" xfId="0" applyNumberFormat="1" applyFont="1" applyFill="1" applyBorder="1" applyAlignment="1">
      <alignment horizontal="center" vertical="top"/>
    </xf>
    <xf numFmtId="0" fontId="5" fillId="8" borderId="1" xfId="0" applyFont="1" applyFill="1" applyBorder="1"/>
    <xf numFmtId="0" fontId="11" fillId="8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/>
    </xf>
    <xf numFmtId="0" fontId="5" fillId="7" borderId="1" xfId="0" applyFont="1" applyFill="1" applyBorder="1" applyAlignment="1">
      <alignment vertical="center" wrapText="1"/>
    </xf>
    <xf numFmtId="9" fontId="6" fillId="0" borderId="1" xfId="0" applyNumberFormat="1" applyFont="1" applyBorder="1" applyAlignment="1">
      <alignment horizontal="center"/>
    </xf>
    <xf numFmtId="0" fontId="6" fillId="4" borderId="1" xfId="0" applyFont="1" applyFill="1" applyBorder="1"/>
    <xf numFmtId="9" fontId="6" fillId="4" borderId="1" xfId="0" applyNumberFormat="1" applyFont="1" applyFill="1" applyBorder="1" applyAlignment="1">
      <alignment horizontal="center"/>
    </xf>
    <xf numFmtId="9" fontId="6" fillId="6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vertical="top"/>
    </xf>
    <xf numFmtId="0" fontId="5" fillId="0" borderId="1" xfId="0" applyFont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8" borderId="1" xfId="0" applyFont="1" applyFill="1" applyBorder="1" applyAlignment="1">
      <alignment horizontal="left" vertical="top" wrapText="1"/>
    </xf>
    <xf numFmtId="0" fontId="10" fillId="0" borderId="1" xfId="0" applyFont="1" applyBorder="1"/>
    <xf numFmtId="0" fontId="10" fillId="7" borderId="1" xfId="0" applyFont="1" applyFill="1" applyBorder="1"/>
    <xf numFmtId="0" fontId="10" fillId="0" borderId="1" xfId="0" applyFont="1" applyBorder="1" applyAlignment="1">
      <alignment wrapText="1"/>
    </xf>
    <xf numFmtId="0" fontId="10" fillId="7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top" wrapText="1"/>
    </xf>
    <xf numFmtId="0" fontId="14" fillId="8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vertical="center"/>
    </xf>
    <xf numFmtId="0" fontId="15" fillId="8" borderId="1" xfId="0" applyFont="1" applyFill="1" applyBorder="1" applyAlignment="1">
      <alignment vertical="top" wrapText="1"/>
    </xf>
    <xf numFmtId="2" fontId="6" fillId="7" borderId="1" xfId="0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14" fillId="0" borderId="1" xfId="0" applyFont="1" applyBorder="1" applyAlignment="1">
      <alignment vertical="top" wrapText="1"/>
    </xf>
    <xf numFmtId="0" fontId="14" fillId="8" borderId="1" xfId="0" applyFont="1" applyFill="1" applyBorder="1" applyAlignment="1">
      <alignment vertical="top"/>
    </xf>
    <xf numFmtId="0" fontId="14" fillId="0" borderId="1" xfId="0" applyFont="1" applyBorder="1" applyAlignment="1">
      <alignment vertical="top"/>
    </xf>
    <xf numFmtId="0" fontId="14" fillId="7" borderId="1" xfId="0" applyFont="1" applyFill="1" applyBorder="1" applyAlignment="1">
      <alignment vertical="top"/>
    </xf>
    <xf numFmtId="0" fontId="14" fillId="7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6" fillId="8" borderId="1" xfId="0" applyFont="1" applyFill="1" applyBorder="1" applyAlignment="1">
      <alignment vertical="top"/>
    </xf>
    <xf numFmtId="0" fontId="17" fillId="8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6" fillId="7" borderId="1" xfId="0" applyFont="1" applyFill="1" applyBorder="1" applyAlignment="1">
      <alignment horizontal="left" vertical="top" wrapText="1"/>
    </xf>
    <xf numFmtId="0" fontId="14" fillId="8" borderId="1" xfId="0" applyFont="1" applyFill="1" applyBorder="1"/>
    <xf numFmtId="164" fontId="6" fillId="7" borderId="1" xfId="0" applyNumberFormat="1" applyFont="1" applyFill="1" applyBorder="1" applyAlignment="1">
      <alignment horizontal="center" vertical="top"/>
    </xf>
    <xf numFmtId="0" fontId="6" fillId="4" borderId="7" xfId="2" applyFont="1" applyFill="1" applyBorder="1"/>
    <xf numFmtId="0" fontId="6" fillId="0" borderId="7" xfId="2" applyFont="1" applyBorder="1"/>
    <xf numFmtId="0" fontId="6" fillId="6" borderId="7" xfId="2" applyFont="1" applyFill="1" applyBorder="1"/>
    <xf numFmtId="0" fontId="6" fillId="0" borderId="0" xfId="2" applyFont="1"/>
    <xf numFmtId="0" fontId="8" fillId="5" borderId="1" xfId="1" applyBorder="1"/>
    <xf numFmtId="49" fontId="0" fillId="0" borderId="1" xfId="0" applyNumberFormat="1" applyBorder="1"/>
    <xf numFmtId="0" fontId="0" fillId="0" borderId="1" xfId="0" applyBorder="1"/>
    <xf numFmtId="0" fontId="4" fillId="0" borderId="0" xfId="0" applyFont="1" applyAlignment="1">
      <alignment horizontal="left" vertical="top"/>
    </xf>
    <xf numFmtId="0" fontId="6" fillId="10" borderId="7" xfId="2" applyFont="1" applyFill="1" applyBorder="1"/>
    <xf numFmtId="9" fontId="6" fillId="10" borderId="1" xfId="0" applyNumberFormat="1" applyFont="1" applyFill="1" applyBorder="1" applyAlignment="1">
      <alignment horizontal="center"/>
    </xf>
    <xf numFmtId="0" fontId="12" fillId="10" borderId="1" xfId="0" applyFont="1" applyFill="1" applyBorder="1"/>
    <xf numFmtId="0" fontId="12" fillId="11" borderId="1" xfId="0" applyFont="1" applyFill="1" applyBorder="1" applyAlignment="1">
      <alignment horizontal="right" vertical="center"/>
    </xf>
    <xf numFmtId="0" fontId="19" fillId="11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textRotation="90"/>
    </xf>
    <xf numFmtId="0" fontId="13" fillId="11" borderId="1" xfId="0" applyFont="1" applyFill="1" applyBorder="1" applyAlignment="1">
      <alignment horizontal="center" vertical="center" textRotation="90"/>
    </xf>
    <xf numFmtId="0" fontId="4" fillId="0" borderId="0" xfId="0" applyFont="1" applyAlignment="1">
      <alignment horizontal="center"/>
    </xf>
    <xf numFmtId="0" fontId="10" fillId="7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9" fillId="0" borderId="1" xfId="0" applyFont="1" applyBorder="1"/>
    <xf numFmtId="49" fontId="0" fillId="0" borderId="1" xfId="0" applyNumberForma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20" fillId="6" borderId="1" xfId="0" applyFont="1" applyFill="1" applyBorder="1" applyAlignment="1">
      <alignment horizontal="center" vertical="center" textRotation="90"/>
    </xf>
    <xf numFmtId="0" fontId="21" fillId="6" borderId="1" xfId="0" applyFont="1" applyFill="1" applyBorder="1" applyAlignment="1">
      <alignment horizontal="center" vertical="center"/>
    </xf>
    <xf numFmtId="0" fontId="3" fillId="0" borderId="0" xfId="2" applyFont="1" applyAlignment="1">
      <alignment horizontal="center" vertical="top"/>
    </xf>
    <xf numFmtId="0" fontId="22" fillId="5" borderId="1" xfId="1" applyFont="1" applyBorder="1" applyAlignment="1">
      <alignment vertical="top"/>
    </xf>
    <xf numFmtId="0" fontId="22" fillId="5" borderId="1" xfId="1" applyFont="1" applyBorder="1"/>
    <xf numFmtId="0" fontId="22" fillId="5" borderId="1" xfId="1" applyFont="1" applyBorder="1" applyAlignment="1">
      <alignment vertical="top" wrapText="1"/>
    </xf>
    <xf numFmtId="0" fontId="24" fillId="0" borderId="1" xfId="3" applyFont="1" applyBorder="1"/>
    <xf numFmtId="49" fontId="24" fillId="0" borderId="1" xfId="3" applyNumberFormat="1" applyFont="1" applyBorder="1"/>
    <xf numFmtId="0" fontId="6" fillId="0" borderId="1" xfId="2" applyFont="1" applyBorder="1" applyAlignment="1">
      <alignment vertical="top"/>
    </xf>
    <xf numFmtId="0" fontId="6" fillId="0" borderId="7" xfId="2" applyFont="1" applyBorder="1" applyAlignment="1">
      <alignment horizontal="left" vertical="top"/>
    </xf>
    <xf numFmtId="0" fontId="6" fillId="6" borderId="7" xfId="2" applyFont="1" applyFill="1" applyBorder="1" applyAlignment="1">
      <alignment horizontal="left" vertical="top"/>
    </xf>
    <xf numFmtId="0" fontId="6" fillId="0" borderId="0" xfId="2" applyFont="1" applyAlignment="1">
      <alignment horizontal="left"/>
    </xf>
    <xf numFmtId="0" fontId="6" fillId="0" borderId="1" xfId="3" applyFont="1" applyBorder="1"/>
    <xf numFmtId="49" fontId="6" fillId="0" borderId="1" xfId="3" applyNumberFormat="1" applyFont="1" applyBorder="1"/>
    <xf numFmtId="0" fontId="9" fillId="0" borderId="1" xfId="3" applyFont="1" applyBorder="1"/>
    <xf numFmtId="0" fontId="9" fillId="0" borderId="1" xfId="2" applyFont="1" applyBorder="1" applyAlignment="1">
      <alignment vertical="top"/>
    </xf>
    <xf numFmtId="0" fontId="9" fillId="0" borderId="1" xfId="2" applyFont="1" applyBorder="1" applyAlignment="1">
      <alignment vertical="top" wrapText="1"/>
    </xf>
    <xf numFmtId="49" fontId="9" fillId="0" borderId="1" xfId="3" applyNumberFormat="1" applyFont="1" applyBorder="1"/>
    <xf numFmtId="0" fontId="24" fillId="0" borderId="1" xfId="3" applyFont="1" applyBorder="1" applyAlignment="1">
      <alignment horizontal="left" wrapText="1" indent="3"/>
    </xf>
    <xf numFmtId="0" fontId="6" fillId="0" borderId="1" xfId="0" applyFont="1" applyBorder="1" applyAlignment="1">
      <alignment horizontal="left" vertical="top" indent="3"/>
    </xf>
    <xf numFmtId="0" fontId="6" fillId="0" borderId="1" xfId="3" applyFont="1" applyBorder="1" applyAlignment="1">
      <alignment horizontal="left" wrapText="1" indent="3"/>
    </xf>
    <xf numFmtId="0" fontId="9" fillId="0" borderId="1" xfId="0" applyFont="1" applyBorder="1" applyAlignment="1">
      <alignment horizontal="left" vertical="top" indent="3"/>
    </xf>
    <xf numFmtId="0" fontId="6" fillId="0" borderId="7" xfId="2" applyFont="1" applyBorder="1" applyAlignment="1">
      <alignment horizontal="left"/>
    </xf>
    <xf numFmtId="0" fontId="24" fillId="0" borderId="1" xfId="3" applyFont="1" applyBorder="1" applyAlignment="1">
      <alignment horizontal="left" wrapText="1"/>
    </xf>
    <xf numFmtId="0" fontId="24" fillId="0" borderId="1" xfId="3" applyFont="1" applyBorder="1" applyAlignment="1">
      <alignment horizontal="left" wrapText="1" indent="2"/>
    </xf>
    <xf numFmtId="0" fontId="9" fillId="0" borderId="1" xfId="3" applyFont="1" applyBorder="1" applyAlignment="1">
      <alignment horizontal="left" wrapText="1" indent="3"/>
    </xf>
    <xf numFmtId="0" fontId="25" fillId="12" borderId="1" xfId="4" applyBorder="1" applyAlignment="1">
      <alignment vertical="top"/>
    </xf>
    <xf numFmtId="0" fontId="25" fillId="12" borderId="1" xfId="4" applyBorder="1"/>
    <xf numFmtId="0" fontId="6" fillId="0" borderId="1" xfId="3" applyFont="1" applyBorder="1" applyAlignment="1">
      <alignment horizontal="right" vertical="top"/>
    </xf>
    <xf numFmtId="1" fontId="6" fillId="0" borderId="1" xfId="3" applyNumberFormat="1" applyFont="1" applyBorder="1" applyAlignment="1">
      <alignment horizontal="right" vertical="top"/>
    </xf>
    <xf numFmtId="0" fontId="25" fillId="12" borderId="1" xfId="4" applyBorder="1" applyAlignment="1">
      <alignment wrapText="1"/>
    </xf>
    <xf numFmtId="0" fontId="6" fillId="0" borderId="4" xfId="3" applyFont="1" applyBorder="1" applyAlignment="1">
      <alignment horizontal="right" vertical="top"/>
    </xf>
    <xf numFmtId="1" fontId="6" fillId="0" borderId="4" xfId="3" applyNumberFormat="1" applyFont="1" applyBorder="1" applyAlignment="1">
      <alignment horizontal="right" vertical="top"/>
    </xf>
    <xf numFmtId="0" fontId="6" fillId="6" borderId="1" xfId="3" applyFont="1" applyFill="1" applyBorder="1" applyAlignment="1">
      <alignment horizontal="right" vertical="top"/>
    </xf>
    <xf numFmtId="1" fontId="6" fillId="6" borderId="1" xfId="3" applyNumberFormat="1" applyFont="1" applyFill="1" applyBorder="1" applyAlignment="1">
      <alignment horizontal="right" vertical="top"/>
    </xf>
    <xf numFmtId="0" fontId="12" fillId="9" borderId="3" xfId="0" applyFont="1" applyFill="1" applyBorder="1" applyAlignment="1">
      <alignment vertical="center"/>
    </xf>
    <xf numFmtId="0" fontId="26" fillId="9" borderId="2" xfId="0" applyFont="1" applyFill="1" applyBorder="1" applyAlignment="1">
      <alignment vertical="center" textRotation="90" wrapText="1"/>
    </xf>
    <xf numFmtId="0" fontId="12" fillId="9" borderId="3" xfId="0" applyFont="1" applyFill="1" applyBorder="1" applyAlignment="1">
      <alignment vertical="center" wrapText="1"/>
    </xf>
    <xf numFmtId="0" fontId="2" fillId="0" borderId="0" xfId="0" applyFont="1"/>
    <xf numFmtId="0" fontId="9" fillId="0" borderId="4" xfId="0" applyFont="1" applyBorder="1" applyAlignment="1">
      <alignment vertical="top"/>
    </xf>
    <xf numFmtId="0" fontId="9" fillId="0" borderId="4" xfId="2" applyFont="1" applyBorder="1" applyAlignment="1">
      <alignment vertical="top"/>
    </xf>
    <xf numFmtId="0" fontId="6" fillId="0" borderId="1" xfId="3" applyFont="1" applyBorder="1" applyAlignment="1">
      <alignment vertical="top"/>
    </xf>
    <xf numFmtId="49" fontId="24" fillId="0" borderId="1" xfId="3" applyNumberFormat="1" applyFont="1" applyBorder="1" applyAlignment="1">
      <alignment vertical="top"/>
    </xf>
    <xf numFmtId="0" fontId="6" fillId="13" borderId="7" xfId="2" applyFont="1" applyFill="1" applyBorder="1" applyAlignment="1">
      <alignment horizontal="left" vertical="top"/>
    </xf>
    <xf numFmtId="0" fontId="6" fillId="13" borderId="4" xfId="2" applyFont="1" applyFill="1" applyBorder="1" applyAlignment="1">
      <alignment horizontal="left" vertical="top"/>
    </xf>
    <xf numFmtId="0" fontId="27" fillId="13" borderId="7" xfId="2" applyFont="1" applyFill="1" applyBorder="1" applyAlignment="1">
      <alignment horizontal="left" vertical="top"/>
    </xf>
    <xf numFmtId="0" fontId="28" fillId="0" borderId="1" xfId="0" applyFont="1" applyBorder="1" applyAlignment="1">
      <alignment vertical="top"/>
    </xf>
    <xf numFmtId="0" fontId="28" fillId="0" borderId="1" xfId="2" applyFont="1" applyBorder="1" applyAlignment="1">
      <alignment vertical="top"/>
    </xf>
    <xf numFmtId="0" fontId="29" fillId="0" borderId="1" xfId="0" applyFont="1" applyBorder="1" applyAlignment="1">
      <alignment horizontal="left" vertical="top"/>
    </xf>
    <xf numFmtId="0" fontId="29" fillId="0" borderId="1" xfId="0" applyFont="1" applyBorder="1" applyAlignment="1">
      <alignment horizontal="center" vertical="top"/>
    </xf>
    <xf numFmtId="0" fontId="27" fillId="0" borderId="1" xfId="3" applyFont="1" applyBorder="1" applyAlignment="1">
      <alignment horizontal="right" vertical="top"/>
    </xf>
    <xf numFmtId="1" fontId="27" fillId="0" borderId="1" xfId="3" applyNumberFormat="1" applyFont="1" applyBorder="1" applyAlignment="1">
      <alignment horizontal="right" vertical="top"/>
    </xf>
    <xf numFmtId="0" fontId="29" fillId="0" borderId="1" xfId="0" applyFont="1" applyBorder="1" applyAlignment="1">
      <alignment vertical="top"/>
    </xf>
    <xf numFmtId="0" fontId="29" fillId="0" borderId="1" xfId="2" applyFont="1" applyBorder="1" applyAlignment="1">
      <alignment vertical="top"/>
    </xf>
    <xf numFmtId="0" fontId="29" fillId="2" borderId="1" xfId="0" applyFont="1" applyFill="1" applyBorder="1" applyAlignment="1">
      <alignment horizontal="center" vertical="top"/>
    </xf>
    <xf numFmtId="0" fontId="30" fillId="12" borderId="1" xfId="4" applyFont="1" applyBorder="1"/>
    <xf numFmtId="0" fontId="29" fillId="0" borderId="0" xfId="0" applyFont="1"/>
    <xf numFmtId="49" fontId="9" fillId="0" borderId="1" xfId="0" applyNumberFormat="1" applyFont="1" applyBorder="1" applyAlignment="1">
      <alignment vertical="top"/>
    </xf>
    <xf numFmtId="0" fontId="27" fillId="0" borderId="7" xfId="2" applyFont="1" applyBorder="1" applyAlignment="1">
      <alignment horizontal="left" vertical="top"/>
    </xf>
    <xf numFmtId="0" fontId="27" fillId="0" borderId="1" xfId="2" applyFont="1" applyBorder="1" applyAlignment="1">
      <alignment vertical="top"/>
    </xf>
    <xf numFmtId="0" fontId="29" fillId="0" borderId="1" xfId="0" applyFont="1" applyBorder="1" applyAlignment="1">
      <alignment horizontal="left" vertical="top" wrapText="1" indent="3"/>
    </xf>
    <xf numFmtId="0" fontId="27" fillId="0" borderId="1" xfId="3" applyFont="1" applyBorder="1"/>
    <xf numFmtId="0" fontId="31" fillId="0" borderId="1" xfId="3" applyFont="1" applyBorder="1" applyAlignment="1">
      <alignment horizontal="left" wrapText="1" indent="3"/>
    </xf>
    <xf numFmtId="0" fontId="1" fillId="0" borderId="1" xfId="0" applyFont="1" applyBorder="1"/>
    <xf numFmtId="0" fontId="1" fillId="0" borderId="1" xfId="2" applyFont="1" applyBorder="1" applyAlignment="1">
      <alignment vertical="top"/>
    </xf>
    <xf numFmtId="0" fontId="12" fillId="9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/>
    <xf numFmtId="0" fontId="1" fillId="0" borderId="1" xfId="0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0" fontId="1" fillId="0" borderId="1" xfId="3" applyFont="1" applyBorder="1"/>
    <xf numFmtId="0" fontId="1" fillId="2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vertical="top"/>
    </xf>
    <xf numFmtId="0" fontId="1" fillId="6" borderId="1" xfId="2" applyFont="1" applyFill="1" applyBorder="1" applyAlignment="1">
      <alignment vertical="top"/>
    </xf>
    <xf numFmtId="0" fontId="1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center" vertical="top"/>
    </xf>
    <xf numFmtId="0" fontId="1" fillId="6" borderId="1" xfId="0" applyFont="1" applyFill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 indent="3"/>
    </xf>
    <xf numFmtId="0" fontId="1" fillId="0" borderId="1" xfId="2" applyFont="1" applyBorder="1" applyAlignment="1">
      <alignment horizontal="center" vertical="top"/>
    </xf>
    <xf numFmtId="0" fontId="1" fillId="14" borderId="1" xfId="0" applyFont="1" applyFill="1" applyBorder="1" applyAlignment="1">
      <alignment vertical="top"/>
    </xf>
    <xf numFmtId="0" fontId="1" fillId="0" borderId="1" xfId="0" applyFont="1" applyBorder="1" applyAlignment="1">
      <alignment horizontal="left" vertical="top" indent="3"/>
    </xf>
    <xf numFmtId="0" fontId="1" fillId="0" borderId="1" xfId="2" applyFont="1" applyBorder="1" applyAlignment="1">
      <alignment vertical="top" wrapText="1"/>
    </xf>
    <xf numFmtId="0" fontId="1" fillId="13" borderId="7" xfId="0" applyFont="1" applyFill="1" applyBorder="1" applyAlignment="1">
      <alignment horizontal="left"/>
    </xf>
    <xf numFmtId="0" fontId="1" fillId="0" borderId="1" xfId="0" applyFont="1" applyBorder="1" applyAlignment="1">
      <alignment horizontal="left" indent="3"/>
    </xf>
    <xf numFmtId="0" fontId="1" fillId="0" borderId="1" xfId="0" applyFont="1" applyBorder="1" applyAlignment="1">
      <alignment horizontal="left" vertical="top" indent="1"/>
    </xf>
    <xf numFmtId="0" fontId="1" fillId="0" borderId="1" xfId="0" applyFont="1" applyBorder="1" applyAlignment="1">
      <alignment horizontal="left" vertical="top" indent="2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0" xfId="2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vertical="center"/>
    </xf>
    <xf numFmtId="0" fontId="1" fillId="0" borderId="1" xfId="2" applyFont="1" applyBorder="1" applyAlignment="1">
      <alignment horizontal="center" vertical="center"/>
    </xf>
    <xf numFmtId="0" fontId="1" fillId="6" borderId="1" xfId="2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 vertical="top"/>
    </xf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/>
    <xf numFmtId="0" fontId="1" fillId="7" borderId="1" xfId="0" applyFont="1" applyFill="1" applyBorder="1" applyAlignment="1">
      <alignment vertical="top"/>
    </xf>
    <xf numFmtId="0" fontId="1" fillId="7" borderId="1" xfId="0" applyFont="1" applyFill="1" applyBorder="1" applyAlignment="1">
      <alignment horizontal="right" vertical="top"/>
    </xf>
    <xf numFmtId="0" fontId="1" fillId="7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right" vertical="top"/>
    </xf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vertical="top" wrapText="1"/>
    </xf>
    <xf numFmtId="0" fontId="1" fillId="7" borderId="1" xfId="0" applyFont="1" applyFill="1" applyBorder="1" applyAlignment="1">
      <alignment horizontal="right" vertical="top" wrapText="1"/>
    </xf>
    <xf numFmtId="0" fontId="1" fillId="7" borderId="1" xfId="0" applyFont="1" applyFill="1" applyBorder="1" applyAlignment="1">
      <alignment horizontal="left" vertical="top"/>
    </xf>
    <xf numFmtId="0" fontId="1" fillId="8" borderId="1" xfId="0" applyFont="1" applyFill="1" applyBorder="1"/>
    <xf numFmtId="0" fontId="1" fillId="8" borderId="1" xfId="0" applyFont="1" applyFill="1" applyBorder="1" applyAlignment="1">
      <alignment wrapTex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7" borderId="3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5" xfId="0" applyFont="1" applyBorder="1" applyAlignment="1">
      <alignment vertical="top" wrapText="1"/>
    </xf>
    <xf numFmtId="0" fontId="1" fillId="0" borderId="0" xfId="0" applyFont="1" applyAlignment="1">
      <alignment vertical="top"/>
    </xf>
    <xf numFmtId="2" fontId="1" fillId="0" borderId="1" xfId="0" applyNumberFormat="1" applyFont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1" fillId="7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7" borderId="3" xfId="0" applyFont="1" applyFill="1" applyBorder="1" applyAlignment="1">
      <alignment horizontal="left" vertical="top"/>
    </xf>
    <xf numFmtId="0" fontId="1" fillId="7" borderId="0" xfId="0" applyFont="1" applyFill="1" applyAlignment="1">
      <alignment vertical="top"/>
    </xf>
    <xf numFmtId="0" fontId="1" fillId="7" borderId="1" xfId="0" applyFont="1" applyFill="1" applyBorder="1" applyAlignment="1">
      <alignment horizontal="center" vertical="top" wrapText="1"/>
    </xf>
    <xf numFmtId="0" fontId="1" fillId="8" borderId="5" xfId="0" applyFont="1" applyFill="1" applyBorder="1" applyAlignment="1">
      <alignment vertical="top" wrapText="1"/>
    </xf>
    <xf numFmtId="0" fontId="1" fillId="7" borderId="5" xfId="0" applyFont="1" applyFill="1" applyBorder="1" applyAlignment="1">
      <alignment vertical="top" wrapText="1"/>
    </xf>
    <xf numFmtId="0" fontId="1" fillId="8" borderId="1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vertical="center" wrapText="1"/>
    </xf>
    <xf numFmtId="2" fontId="1" fillId="7" borderId="1" xfId="0" applyNumberFormat="1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left" vertical="top" wrapText="1"/>
    </xf>
    <xf numFmtId="0" fontId="12" fillId="9" borderId="8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 textRotation="90" wrapText="1"/>
    </xf>
    <xf numFmtId="0" fontId="12" fillId="9" borderId="4" xfId="0" applyFont="1" applyFill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7" borderId="3" xfId="0" applyFont="1" applyFill="1" applyBorder="1" applyAlignment="1">
      <alignment horizontal="center" vertical="top"/>
    </xf>
    <xf numFmtId="0" fontId="1" fillId="7" borderId="2" xfId="0" applyFont="1" applyFill="1" applyBorder="1" applyAlignment="1">
      <alignment horizontal="center" vertical="top"/>
    </xf>
    <xf numFmtId="0" fontId="1" fillId="7" borderId="4" xfId="0" applyFont="1" applyFill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</cellXfs>
  <cellStyles count="5">
    <cellStyle name="Bad" xfId="1" builtinId="27"/>
    <cellStyle name="Neutral" xfId="4" builtinId="28"/>
    <cellStyle name="Normal" xfId="0" builtinId="0"/>
    <cellStyle name="Normal 2" xfId="2" xr:uid="{3D27E60E-FFE8-416B-8A1C-3A518A51337F}"/>
    <cellStyle name="Normal 3" xfId="3" xr:uid="{5CE0E17B-1920-4AB9-8F7B-C73502C72471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9C5700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anie Uyehara" refreshedDate="46057.726228587962" createdVersion="8" refreshedVersion="8" minRefreshableVersion="3" recordCount="229" xr:uid="{F210E142-208F-411B-A75B-3364321DBDAA}">
  <cacheSource type="worksheet">
    <worksheetSource ref="F1:AB1048576" sheet="v.2-CRMP"/>
  </cacheSource>
  <cacheFields count="23">
    <cacheField name="bailschedule" numFmtId="0">
      <sharedItems containsBlank="1" count="2">
        <m/>
        <s v="X"/>
      </sharedItems>
    </cacheField>
    <cacheField name="ccta" numFmtId="0">
      <sharedItems containsBlank="1" count="2">
        <m/>
        <s v="X"/>
      </sharedItems>
    </cacheField>
    <cacheField name="collections" numFmtId="0">
      <sharedItems containsBlank="1" count="2">
        <m/>
        <s v="X"/>
      </sharedItems>
    </cacheField>
    <cacheField name="collectionssu" numFmtId="0">
      <sharedItems containsBlank="1" count="2">
        <m/>
        <s v="X"/>
      </sharedItems>
    </cacheField>
    <cacheField name="courtroom" numFmtId="0">
      <sharedItems containsBlank="1" count="2">
        <m/>
        <s v="X"/>
      </sharedItems>
    </cacheField>
    <cacheField name="courtroomsu" numFmtId="0">
      <sharedItems containsBlank="1" count="2">
        <m/>
        <s v="X"/>
      </sharedItems>
    </cacheField>
    <cacheField name="ct_developer" numFmtId="0">
      <sharedItems containsBlank="1" count="2">
        <s v="X"/>
        <m/>
      </sharedItems>
    </cacheField>
    <cacheField name="ct_user" numFmtId="0">
      <sharedItems containsBlank="1" count="2">
        <m/>
        <s v="X"/>
      </sharedItems>
    </cacheField>
    <cacheField name="ctrmprocessing" numFmtId="0">
      <sharedItems containsBlank="1" count="2">
        <m/>
        <s v="X"/>
      </sharedItems>
    </cacheField>
    <cacheField name="eus" numFmtId="0">
      <sharedItems containsBlank="1" count="2">
        <m/>
        <s v="X"/>
      </sharedItems>
    </cacheField>
    <cacheField name="fiscal1" numFmtId="0">
      <sharedItems containsBlank="1" count="2">
        <m/>
        <s v="X"/>
      </sharedItems>
    </cacheField>
    <cacheField name="fiscal2" numFmtId="0">
      <sharedItems containsBlank="1" count="2">
        <m/>
        <s v="X"/>
      </sharedItems>
    </cacheField>
    <cacheField name="fiscalsu" numFmtId="0">
      <sharedItems containsBlank="1" count="2">
        <m/>
        <s v="X"/>
      </sharedItems>
    </cacheField>
    <cacheField name="impact" numFmtId="0">
      <sharedItems containsBlank="1" count="2">
        <m/>
        <s v="X"/>
      </sharedItems>
    </cacheField>
    <cacheField name="inquiry" numFmtId="0">
      <sharedItems containsBlank="1" count="2">
        <m/>
        <s v="X"/>
      </sharedItems>
    </cacheField>
    <cacheField name="inquirypub" numFmtId="0">
      <sharedItems containsBlank="1" count="2">
        <m/>
        <s v="X"/>
      </sharedItems>
    </cacheField>
    <cacheField name="interpreter" numFmtId="0">
      <sharedItems containsBlank="1" count="2">
        <m/>
        <s v="X"/>
      </sharedItems>
    </cacheField>
    <cacheField name="jbsis" numFmtId="0">
      <sharedItems containsBlank="1" count="2">
        <m/>
        <s v="X"/>
      </sharedItems>
    </cacheField>
    <cacheField name="jibsissu" numFmtId="0">
      <sharedItems containsBlank="1" count="2">
        <m/>
        <s v="X"/>
      </sharedItems>
    </cacheField>
    <cacheField name="judges" numFmtId="0">
      <sharedItems containsBlank="1" count="2">
        <m/>
        <s v="X"/>
      </sharedItems>
    </cacheField>
    <cacheField name="noncourtroom" numFmtId="0">
      <sharedItems containsBlank="1" count="2">
        <m/>
        <s v="X"/>
      </sharedItems>
    </cacheField>
    <cacheField name="noncourtroomsu" numFmtId="0">
      <sharedItems containsBlank="1" count="2">
        <m/>
        <s v="X"/>
      </sharedItems>
    </cacheField>
    <cacheField name="omni" numFmtId="0">
      <sharedItems containsBlank="1" count="2">
        <m/>
        <s v="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0"/>
    <x v="0"/>
    <x v="0"/>
    <x v="0"/>
    <x v="1"/>
    <x v="0"/>
    <x v="0"/>
    <x v="0"/>
    <x v="0"/>
    <x v="1"/>
    <x v="0"/>
    <x v="0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0"/>
    <x v="0"/>
    <x v="0"/>
    <x v="0"/>
    <x v="1"/>
    <x v="1"/>
    <x v="0"/>
    <x v="0"/>
    <x v="0"/>
    <x v="1"/>
    <x v="1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0"/>
    <x v="0"/>
    <x v="0"/>
    <x v="0"/>
    <x v="1"/>
    <x v="0"/>
    <x v="0"/>
    <x v="0"/>
    <x v="0"/>
    <x v="1"/>
    <x v="0"/>
    <x v="1"/>
    <x v="1"/>
    <x v="0"/>
  </r>
  <r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1"/>
    <x v="0"/>
  </r>
  <r>
    <x v="1"/>
    <x v="1"/>
    <x v="1"/>
    <x v="1"/>
    <x v="1"/>
    <x v="1"/>
    <x v="0"/>
    <x v="1"/>
    <x v="1"/>
    <x v="0"/>
    <x v="0"/>
    <x v="0"/>
    <x v="0"/>
    <x v="1"/>
    <x v="0"/>
    <x v="0"/>
    <x v="0"/>
    <x v="0"/>
    <x v="1"/>
    <x v="0"/>
    <x v="1"/>
    <x v="1"/>
    <x v="0"/>
  </r>
  <r>
    <x v="1"/>
    <x v="1"/>
    <x v="0"/>
    <x v="0"/>
    <x v="1"/>
    <x v="1"/>
    <x v="0"/>
    <x v="1"/>
    <x v="1"/>
    <x v="0"/>
    <x v="0"/>
    <x v="0"/>
    <x v="0"/>
    <x v="1"/>
    <x v="0"/>
    <x v="0"/>
    <x v="0"/>
    <x v="0"/>
    <x v="1"/>
    <x v="0"/>
    <x v="1"/>
    <x v="1"/>
    <x v="0"/>
  </r>
  <r>
    <x v="1"/>
    <x v="1"/>
    <x v="0"/>
    <x v="0"/>
    <x v="1"/>
    <x v="1"/>
    <x v="0"/>
    <x v="1"/>
    <x v="1"/>
    <x v="0"/>
    <x v="0"/>
    <x v="0"/>
    <x v="0"/>
    <x v="1"/>
    <x v="1"/>
    <x v="0"/>
    <x v="0"/>
    <x v="0"/>
    <x v="1"/>
    <x v="1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0"/>
    <x v="1"/>
    <x v="1"/>
    <x v="1"/>
    <x v="1"/>
    <x v="0"/>
    <x v="0"/>
    <x v="0"/>
    <x v="1"/>
    <x v="1"/>
    <x v="0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  <x v="1"/>
    <x v="1"/>
    <x v="1"/>
    <x v="0"/>
    <x v="0"/>
    <x v="1"/>
    <x v="1"/>
    <x v="1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0"/>
    <x v="1"/>
    <x v="1"/>
    <x v="0"/>
    <x v="0"/>
    <x v="0"/>
    <x v="0"/>
    <x v="1"/>
    <x v="0"/>
    <x v="0"/>
    <x v="0"/>
    <x v="0"/>
    <x v="0"/>
    <x v="0"/>
    <x v="1"/>
    <x v="1"/>
    <x v="0"/>
  </r>
  <r>
    <x v="1"/>
    <x v="1"/>
    <x v="0"/>
    <x v="0"/>
    <x v="0"/>
    <x v="0"/>
    <x v="0"/>
    <x v="1"/>
    <x v="1"/>
    <x v="0"/>
    <x v="0"/>
    <x v="0"/>
    <x v="0"/>
    <x v="1"/>
    <x v="0"/>
    <x v="0"/>
    <x v="0"/>
    <x v="0"/>
    <x v="0"/>
    <x v="0"/>
    <x v="1"/>
    <x v="1"/>
    <x v="0"/>
  </r>
  <r>
    <x v="1"/>
    <x v="0"/>
    <x v="0"/>
    <x v="0"/>
    <x v="0"/>
    <x v="0"/>
    <x v="0"/>
    <x v="1"/>
    <x v="0"/>
    <x v="0"/>
    <x v="0"/>
    <x v="0"/>
    <x v="0"/>
    <x v="1"/>
    <x v="0"/>
    <x v="0"/>
    <x v="0"/>
    <x v="0"/>
    <x v="1"/>
    <x v="0"/>
    <x v="0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0"/>
    <x v="1"/>
    <x v="1"/>
    <x v="0"/>
    <x v="1"/>
    <x v="1"/>
    <x v="1"/>
    <x v="1"/>
    <x v="0"/>
    <x v="0"/>
    <x v="0"/>
    <x v="0"/>
    <x v="1"/>
    <x v="0"/>
    <x v="1"/>
    <x v="1"/>
    <x v="0"/>
  </r>
  <r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0"/>
  </r>
  <r>
    <x v="1"/>
    <x v="1"/>
    <x v="1"/>
    <x v="1"/>
    <x v="1"/>
    <x v="1"/>
    <x v="0"/>
    <x v="1"/>
    <x v="1"/>
    <x v="0"/>
    <x v="0"/>
    <x v="0"/>
    <x v="0"/>
    <x v="1"/>
    <x v="0"/>
    <x v="0"/>
    <x v="0"/>
    <x v="1"/>
    <x v="1"/>
    <x v="0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0"/>
    <x v="0"/>
    <x v="0"/>
    <x v="1"/>
    <x v="0"/>
    <x v="0"/>
    <x v="0"/>
    <x v="1"/>
    <x v="1"/>
    <x v="1"/>
    <x v="0"/>
    <x v="0"/>
    <x v="0"/>
    <x v="0"/>
    <x v="0"/>
    <x v="0"/>
    <x v="0"/>
    <x v="1"/>
    <x v="0"/>
  </r>
  <r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1"/>
    <x v="0"/>
    <x v="0"/>
    <x v="0"/>
    <x v="0"/>
    <x v="1"/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</r>
  <r>
    <x v="0"/>
    <x v="0"/>
    <x v="1"/>
    <x v="1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</r>
  <r>
    <x v="1"/>
    <x v="1"/>
    <x v="1"/>
    <x v="1"/>
    <x v="0"/>
    <x v="0"/>
    <x v="0"/>
    <x v="1"/>
    <x v="1"/>
    <x v="0"/>
    <x v="1"/>
    <x v="1"/>
    <x v="1"/>
    <x v="1"/>
    <x v="0"/>
    <x v="0"/>
    <x v="0"/>
    <x v="0"/>
    <x v="0"/>
    <x v="0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0"/>
    <x v="1"/>
    <x v="1"/>
    <x v="0"/>
    <x v="1"/>
    <x v="1"/>
    <x v="1"/>
    <x v="1"/>
    <x v="0"/>
    <x v="0"/>
    <x v="0"/>
    <x v="0"/>
    <x v="0"/>
    <x v="0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0"/>
    <x v="1"/>
    <x v="1"/>
    <x v="0"/>
    <x v="1"/>
    <x v="1"/>
    <x v="1"/>
    <x v="1"/>
    <x v="0"/>
    <x v="0"/>
    <x v="0"/>
    <x v="0"/>
    <x v="1"/>
    <x v="0"/>
    <x v="1"/>
    <x v="1"/>
    <x v="0"/>
  </r>
  <r>
    <x v="1"/>
    <x v="1"/>
    <x v="1"/>
    <x v="1"/>
    <x v="1"/>
    <x v="1"/>
    <x v="0"/>
    <x v="1"/>
    <x v="1"/>
    <x v="0"/>
    <x v="1"/>
    <x v="1"/>
    <x v="1"/>
    <x v="1"/>
    <x v="0"/>
    <x v="0"/>
    <x v="0"/>
    <x v="0"/>
    <x v="1"/>
    <x v="0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0"/>
    <x v="1"/>
    <x v="1"/>
    <x v="0"/>
    <x v="1"/>
    <x v="1"/>
    <x v="1"/>
    <x v="1"/>
    <x v="0"/>
    <x v="0"/>
    <x v="0"/>
    <x v="0"/>
    <x v="0"/>
    <x v="0"/>
    <x v="1"/>
    <x v="1"/>
    <x v="0"/>
  </r>
  <r>
    <x v="1"/>
    <x v="1"/>
    <x v="1"/>
    <x v="1"/>
    <x v="0"/>
    <x v="0"/>
    <x v="0"/>
    <x v="1"/>
    <x v="1"/>
    <x v="0"/>
    <x v="1"/>
    <x v="1"/>
    <x v="1"/>
    <x v="1"/>
    <x v="0"/>
    <x v="0"/>
    <x v="0"/>
    <x v="0"/>
    <x v="0"/>
    <x v="0"/>
    <x v="1"/>
    <x v="1"/>
    <x v="0"/>
  </r>
  <r>
    <x v="1"/>
    <x v="1"/>
    <x v="1"/>
    <x v="1"/>
    <x v="0"/>
    <x v="0"/>
    <x v="0"/>
    <x v="1"/>
    <x v="1"/>
    <x v="0"/>
    <x v="1"/>
    <x v="1"/>
    <x v="1"/>
    <x v="1"/>
    <x v="0"/>
    <x v="0"/>
    <x v="0"/>
    <x v="0"/>
    <x v="1"/>
    <x v="0"/>
    <x v="1"/>
    <x v="1"/>
    <x v="0"/>
  </r>
  <r>
    <x v="1"/>
    <x v="1"/>
    <x v="1"/>
    <x v="1"/>
    <x v="0"/>
    <x v="0"/>
    <x v="0"/>
    <x v="1"/>
    <x v="1"/>
    <x v="0"/>
    <x v="0"/>
    <x v="0"/>
    <x v="0"/>
    <x v="1"/>
    <x v="0"/>
    <x v="0"/>
    <x v="0"/>
    <x v="0"/>
    <x v="0"/>
    <x v="0"/>
    <x v="1"/>
    <x v="1"/>
    <x v="0"/>
  </r>
  <r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0"/>
  </r>
  <r>
    <x v="1"/>
    <x v="1"/>
    <x v="1"/>
    <x v="1"/>
    <x v="1"/>
    <x v="1"/>
    <x v="0"/>
    <x v="1"/>
    <x v="1"/>
    <x v="0"/>
    <x v="1"/>
    <x v="1"/>
    <x v="1"/>
    <x v="1"/>
    <x v="0"/>
    <x v="0"/>
    <x v="0"/>
    <x v="0"/>
    <x v="1"/>
    <x v="0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1"/>
    <x v="1"/>
    <x v="0"/>
    <x v="1"/>
    <x v="1"/>
    <x v="0"/>
    <x v="0"/>
    <x v="0"/>
    <x v="0"/>
    <x v="1"/>
    <x v="0"/>
    <x v="0"/>
    <x v="0"/>
    <x v="0"/>
    <x v="1"/>
    <x v="0"/>
    <x v="0"/>
    <x v="0"/>
    <x v="0"/>
  </r>
  <r>
    <x v="1"/>
    <x v="1"/>
    <x v="1"/>
    <x v="1"/>
    <x v="1"/>
    <x v="1"/>
    <x v="0"/>
    <x v="1"/>
    <x v="1"/>
    <x v="0"/>
    <x v="1"/>
    <x v="1"/>
    <x v="1"/>
    <x v="1"/>
    <x v="0"/>
    <x v="0"/>
    <x v="0"/>
    <x v="0"/>
    <x v="1"/>
    <x v="0"/>
    <x v="0"/>
    <x v="1"/>
    <x v="0"/>
  </r>
  <r>
    <x v="1"/>
    <x v="1"/>
    <x v="1"/>
    <x v="1"/>
    <x v="1"/>
    <x v="1"/>
    <x v="0"/>
    <x v="1"/>
    <x v="1"/>
    <x v="0"/>
    <x v="1"/>
    <x v="1"/>
    <x v="1"/>
    <x v="1"/>
    <x v="1"/>
    <x v="1"/>
    <x v="1"/>
    <x v="1"/>
    <x v="1"/>
    <x v="1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0"/>
    <x v="0"/>
    <x v="0"/>
    <x v="0"/>
    <x v="0"/>
    <x v="1"/>
    <x v="0"/>
    <x v="0"/>
    <x v="0"/>
    <x v="0"/>
    <x v="1"/>
    <x v="0"/>
    <x v="0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1"/>
    <x v="1"/>
    <x v="0"/>
    <x v="0"/>
    <x v="0"/>
    <x v="0"/>
    <x v="0"/>
    <x v="0"/>
    <x v="0"/>
    <x v="1"/>
    <x v="0"/>
    <x v="0"/>
    <x v="0"/>
    <x v="0"/>
    <x v="1"/>
    <x v="0"/>
    <x v="1"/>
    <x v="1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0"/>
    <x v="0"/>
    <x v="1"/>
    <x v="0"/>
    <x v="0"/>
    <x v="0"/>
    <x v="0"/>
    <x v="1"/>
    <x v="0"/>
    <x v="0"/>
    <x v="0"/>
    <x v="0"/>
    <x v="1"/>
    <x v="0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  <x v="0"/>
    <x v="1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0"/>
    <x v="1"/>
    <x v="1"/>
    <x v="1"/>
    <x v="1"/>
    <x v="0"/>
    <x v="0"/>
    <x v="0"/>
    <x v="0"/>
    <x v="1"/>
    <x v="0"/>
    <x v="1"/>
    <x v="1"/>
    <x v="0"/>
  </r>
  <r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</r>
  <r>
    <x v="1"/>
    <x v="0"/>
    <x v="0"/>
    <x v="1"/>
    <x v="0"/>
    <x v="0"/>
    <x v="0"/>
    <x v="1"/>
    <x v="0"/>
    <x v="0"/>
    <x v="1"/>
    <x v="1"/>
    <x v="1"/>
    <x v="1"/>
    <x v="0"/>
    <x v="0"/>
    <x v="0"/>
    <x v="0"/>
    <x v="0"/>
    <x v="0"/>
    <x v="0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</r>
  <r>
    <x v="0"/>
    <x v="0"/>
    <x v="0"/>
    <x v="1"/>
    <x v="0"/>
    <x v="1"/>
    <x v="0"/>
    <x v="0"/>
    <x v="0"/>
    <x v="0"/>
    <x v="0"/>
    <x v="0"/>
    <x v="1"/>
    <x v="1"/>
    <x v="0"/>
    <x v="0"/>
    <x v="0"/>
    <x v="0"/>
    <x v="0"/>
    <x v="0"/>
    <x v="0"/>
    <x v="1"/>
    <x v="0"/>
  </r>
  <r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0"/>
    <x v="1"/>
    <x v="0"/>
    <x v="0"/>
    <x v="1"/>
    <x v="0"/>
    <x v="0"/>
    <x v="0"/>
    <x v="0"/>
    <x v="1"/>
    <x v="0"/>
    <x v="0"/>
    <x v="0"/>
    <x v="0"/>
    <x v="0"/>
    <x v="0"/>
    <x v="1"/>
    <x v="1"/>
    <x v="0"/>
  </r>
  <r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</r>
  <r>
    <x v="1"/>
    <x v="1"/>
    <x v="0"/>
    <x v="0"/>
    <x v="0"/>
    <x v="1"/>
    <x v="0"/>
    <x v="1"/>
    <x v="1"/>
    <x v="0"/>
    <x v="0"/>
    <x v="0"/>
    <x v="0"/>
    <x v="1"/>
    <x v="0"/>
    <x v="0"/>
    <x v="0"/>
    <x v="0"/>
    <x v="1"/>
    <x v="0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1"/>
    <x v="1"/>
    <x v="0"/>
    <x v="0"/>
    <x v="1"/>
    <x v="0"/>
    <x v="0"/>
    <x v="0"/>
    <x v="0"/>
    <x v="1"/>
    <x v="0"/>
    <x v="0"/>
    <x v="0"/>
    <x v="0"/>
    <x v="0"/>
    <x v="0"/>
    <x v="1"/>
    <x v="1"/>
    <x v="0"/>
  </r>
  <r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1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1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</r>
  <r>
    <x v="0"/>
    <x v="0"/>
    <x v="0"/>
    <x v="0"/>
    <x v="0"/>
    <x v="0"/>
    <x v="0"/>
    <x v="0"/>
    <x v="1"/>
    <x v="0"/>
    <x v="0"/>
    <x v="0"/>
    <x v="0"/>
    <x v="1"/>
    <x v="0"/>
    <x v="0"/>
    <x v="0"/>
    <x v="1"/>
    <x v="1"/>
    <x v="0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0"/>
    <x v="0"/>
    <x v="0"/>
    <x v="0"/>
    <x v="1"/>
    <x v="0"/>
    <x v="0"/>
    <x v="0"/>
    <x v="0"/>
    <x v="1"/>
    <x v="0"/>
    <x v="1"/>
    <x v="1"/>
    <x v="0"/>
  </r>
  <r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1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0"/>
    <x v="0"/>
    <x v="0"/>
    <x v="0"/>
    <x v="1"/>
    <x v="0"/>
    <x v="0"/>
    <x v="0"/>
    <x v="0"/>
    <x v="1"/>
    <x v="0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0"/>
    <x v="1"/>
    <x v="1"/>
    <x v="1"/>
    <x v="1"/>
    <x v="0"/>
    <x v="0"/>
    <x v="0"/>
    <x v="0"/>
    <x v="1"/>
    <x v="0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</r>
  <r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</r>
  <r>
    <x v="1"/>
    <x v="1"/>
    <x v="0"/>
    <x v="0"/>
    <x v="0"/>
    <x v="0"/>
    <x v="0"/>
    <x v="1"/>
    <x v="1"/>
    <x v="0"/>
    <x v="0"/>
    <x v="0"/>
    <x v="1"/>
    <x v="1"/>
    <x v="0"/>
    <x v="0"/>
    <x v="0"/>
    <x v="0"/>
    <x v="0"/>
    <x v="0"/>
    <x v="1"/>
    <x v="1"/>
    <x v="0"/>
  </r>
  <r>
    <x v="1"/>
    <x v="1"/>
    <x v="0"/>
    <x v="0"/>
    <x v="1"/>
    <x v="1"/>
    <x v="0"/>
    <x v="1"/>
    <x v="1"/>
    <x v="0"/>
    <x v="1"/>
    <x v="1"/>
    <x v="1"/>
    <x v="1"/>
    <x v="0"/>
    <x v="0"/>
    <x v="0"/>
    <x v="0"/>
    <x v="1"/>
    <x v="0"/>
    <x v="1"/>
    <x v="1"/>
    <x v="0"/>
  </r>
  <r>
    <x v="1"/>
    <x v="1"/>
    <x v="0"/>
    <x v="0"/>
    <x v="0"/>
    <x v="0"/>
    <x v="0"/>
    <x v="1"/>
    <x v="1"/>
    <x v="0"/>
    <x v="0"/>
    <x v="0"/>
    <x v="1"/>
    <x v="1"/>
    <x v="0"/>
    <x v="0"/>
    <x v="0"/>
    <x v="0"/>
    <x v="0"/>
    <x v="0"/>
    <x v="1"/>
    <x v="1"/>
    <x v="0"/>
  </r>
  <r>
    <x v="1"/>
    <x v="1"/>
    <x v="1"/>
    <x v="1"/>
    <x v="1"/>
    <x v="1"/>
    <x v="0"/>
    <x v="1"/>
    <x v="1"/>
    <x v="0"/>
    <x v="1"/>
    <x v="1"/>
    <x v="1"/>
    <x v="1"/>
    <x v="1"/>
    <x v="0"/>
    <x v="0"/>
    <x v="0"/>
    <x v="1"/>
    <x v="1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0"/>
    <x v="1"/>
    <x v="1"/>
    <x v="0"/>
    <x v="1"/>
    <x v="1"/>
    <x v="1"/>
    <x v="1"/>
    <x v="0"/>
    <x v="0"/>
    <x v="0"/>
    <x v="0"/>
    <x v="1"/>
    <x v="1"/>
    <x v="1"/>
    <x v="1"/>
    <x v="0"/>
  </r>
  <r>
    <x v="1"/>
    <x v="1"/>
    <x v="0"/>
    <x v="0"/>
    <x v="1"/>
    <x v="1"/>
    <x v="0"/>
    <x v="1"/>
    <x v="1"/>
    <x v="0"/>
    <x v="1"/>
    <x v="1"/>
    <x v="1"/>
    <x v="1"/>
    <x v="1"/>
    <x v="0"/>
    <x v="0"/>
    <x v="0"/>
    <x v="1"/>
    <x v="1"/>
    <x v="1"/>
    <x v="1"/>
    <x v="0"/>
  </r>
  <r>
    <x v="1"/>
    <x v="1"/>
    <x v="0"/>
    <x v="0"/>
    <x v="1"/>
    <x v="1"/>
    <x v="0"/>
    <x v="1"/>
    <x v="1"/>
    <x v="0"/>
    <x v="1"/>
    <x v="1"/>
    <x v="1"/>
    <x v="1"/>
    <x v="0"/>
    <x v="0"/>
    <x v="0"/>
    <x v="0"/>
    <x v="0"/>
    <x v="0"/>
    <x v="1"/>
    <x v="1"/>
    <x v="0"/>
  </r>
  <r>
    <x v="1"/>
    <x v="0"/>
    <x v="1"/>
    <x v="1"/>
    <x v="1"/>
    <x v="1"/>
    <x v="0"/>
    <x v="0"/>
    <x v="1"/>
    <x v="0"/>
    <x v="0"/>
    <x v="1"/>
    <x v="1"/>
    <x v="1"/>
    <x v="0"/>
    <x v="0"/>
    <x v="0"/>
    <x v="0"/>
    <x v="0"/>
    <x v="0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0"/>
    <x v="1"/>
    <x v="1"/>
    <x v="1"/>
    <x v="1"/>
    <x v="0"/>
    <x v="0"/>
    <x v="0"/>
    <x v="1"/>
    <x v="1"/>
    <x v="1"/>
    <x v="1"/>
    <x v="1"/>
    <x v="0"/>
  </r>
  <r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1"/>
    <x v="0"/>
    <x v="0"/>
    <x v="1"/>
    <x v="1"/>
    <x v="1"/>
    <x v="0"/>
    <x v="0"/>
    <x v="0"/>
    <x v="0"/>
    <x v="0"/>
    <x v="1"/>
    <x v="0"/>
    <x v="0"/>
    <x v="0"/>
    <x v="0"/>
  </r>
  <r>
    <x v="1"/>
    <x v="1"/>
    <x v="1"/>
    <x v="1"/>
    <x v="1"/>
    <x v="1"/>
    <x v="0"/>
    <x v="1"/>
    <x v="1"/>
    <x v="0"/>
    <x v="1"/>
    <x v="1"/>
    <x v="1"/>
    <x v="1"/>
    <x v="0"/>
    <x v="0"/>
    <x v="1"/>
    <x v="0"/>
    <x v="1"/>
    <x v="0"/>
    <x v="1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1"/>
    <x v="1"/>
    <x v="0"/>
    <x v="1"/>
    <x v="1"/>
    <x v="0"/>
    <x v="0"/>
    <x v="0"/>
    <x v="0"/>
    <x v="1"/>
    <x v="0"/>
    <x v="0"/>
    <x v="0"/>
    <x v="0"/>
    <x v="1"/>
    <x v="0"/>
    <x v="1"/>
    <x v="1"/>
    <x v="0"/>
  </r>
  <r>
    <x v="1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1"/>
    <x v="0"/>
  </r>
  <r>
    <x v="1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0"/>
    <x v="0"/>
    <x v="0"/>
    <x v="1"/>
    <x v="1"/>
    <x v="1"/>
    <x v="1"/>
    <x v="1"/>
    <x v="0"/>
    <x v="0"/>
    <x v="0"/>
    <x v="0"/>
    <x v="0"/>
    <x v="0"/>
    <x v="1"/>
    <x v="1"/>
    <x v="0"/>
  </r>
  <r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0"/>
    <x v="0"/>
    <x v="0"/>
    <x v="0"/>
    <x v="1"/>
    <x v="1"/>
    <x v="0"/>
    <x v="0"/>
    <x v="0"/>
    <x v="0"/>
    <x v="0"/>
    <x v="0"/>
    <x v="0"/>
    <x v="1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1"/>
    <x v="1"/>
    <x v="0"/>
    <x v="1"/>
    <x v="0"/>
    <x v="0"/>
    <x v="0"/>
    <x v="0"/>
    <x v="0"/>
    <x v="1"/>
    <x v="0"/>
    <x v="0"/>
    <x v="0"/>
    <x v="0"/>
    <x v="0"/>
    <x v="0"/>
    <x v="0"/>
    <x v="1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1"/>
    <x v="1"/>
    <x v="0"/>
    <x v="1"/>
    <x v="1"/>
    <x v="0"/>
    <x v="0"/>
    <x v="0"/>
    <x v="0"/>
    <x v="1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</r>
  <r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1"/>
    <x v="0"/>
  </r>
  <r>
    <x v="1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1"/>
    <x v="0"/>
  </r>
  <r>
    <x v="1"/>
    <x v="1"/>
    <x v="0"/>
    <x v="0"/>
    <x v="1"/>
    <x v="1"/>
    <x v="0"/>
    <x v="1"/>
    <x v="1"/>
    <x v="0"/>
    <x v="0"/>
    <x v="0"/>
    <x v="0"/>
    <x v="1"/>
    <x v="0"/>
    <x v="0"/>
    <x v="0"/>
    <x v="0"/>
    <x v="1"/>
    <x v="0"/>
    <x v="1"/>
    <x v="1"/>
    <x v="0"/>
  </r>
  <r>
    <x v="1"/>
    <x v="1"/>
    <x v="0"/>
    <x v="0"/>
    <x v="1"/>
    <x v="1"/>
    <x v="0"/>
    <x v="1"/>
    <x v="1"/>
    <x v="0"/>
    <x v="0"/>
    <x v="0"/>
    <x v="0"/>
    <x v="1"/>
    <x v="0"/>
    <x v="0"/>
    <x v="0"/>
    <x v="0"/>
    <x v="0"/>
    <x v="0"/>
    <x v="1"/>
    <x v="1"/>
    <x v="0"/>
  </r>
  <r>
    <x v="1"/>
    <x v="1"/>
    <x v="0"/>
    <x v="0"/>
    <x v="1"/>
    <x v="1"/>
    <x v="0"/>
    <x v="1"/>
    <x v="1"/>
    <x v="0"/>
    <x v="0"/>
    <x v="0"/>
    <x v="0"/>
    <x v="1"/>
    <x v="0"/>
    <x v="0"/>
    <x v="0"/>
    <x v="0"/>
    <x v="0"/>
    <x v="0"/>
    <x v="1"/>
    <x v="1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1"/>
    <x v="1"/>
    <x v="0"/>
    <x v="1"/>
    <x v="1"/>
    <x v="0"/>
    <x v="0"/>
    <x v="0"/>
    <x v="0"/>
    <x v="1"/>
    <x v="0"/>
    <x v="0"/>
    <x v="0"/>
    <x v="0"/>
    <x v="0"/>
    <x v="0"/>
    <x v="1"/>
    <x v="1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</r>
  <r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</r>
  <r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38EEC-A49F-4FB9-9AC7-9442D8ECF8F3}" name="PivotTable3" cacheId="286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4" firstHeaderRow="1" firstDataRow="1" firstDataCol="1"/>
  <pivotFields count="23"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</pivotFields>
  <rowFields count="1">
    <field x="-2"/>
  </rowFields>
  <rowItems count="2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</rowItems>
  <colItems count="1">
    <i/>
  </colItems>
  <dataFields count="23">
    <dataField name="Count of bailschedule" fld="0" subtotal="count" baseField="0" baseItem="0"/>
    <dataField name="Count of ccta" fld="1" subtotal="count" baseField="0" baseItem="0"/>
    <dataField name="Count of collections" fld="2" subtotal="count" baseField="0" baseItem="0"/>
    <dataField name="Count of collectionssu" fld="3" subtotal="count" baseField="0" baseItem="0"/>
    <dataField name="Count of courtroom" fld="4" subtotal="count" baseField="0" baseItem="0"/>
    <dataField name="Count of courtroomsu" fld="5" subtotal="count" baseField="0" baseItem="0"/>
    <dataField name="Count of ct_developer" fld="6" subtotal="count" baseField="0" baseItem="0"/>
    <dataField name="Count of ct_user" fld="7" subtotal="count" baseField="0" baseItem="0"/>
    <dataField name="Count of ctrmprocessing" fld="8" subtotal="count" baseField="0" baseItem="0"/>
    <dataField name="Count of eus" fld="9" subtotal="count" baseField="0" baseItem="0"/>
    <dataField name="Count of fiscal1" fld="10" subtotal="count" baseField="0" baseItem="0"/>
    <dataField name="Count of fiscal2" fld="11" subtotal="count" baseField="0" baseItem="0"/>
    <dataField name="Count of fiscalsu" fld="12" subtotal="count" baseField="0" baseItem="0"/>
    <dataField name="Count of impact" fld="13" subtotal="count" baseField="0" baseItem="0"/>
    <dataField name="Count of inquiry" fld="14" subtotal="count" baseField="0" baseItem="0"/>
    <dataField name="Count of inquirypub" fld="15" subtotal="count" baseField="0" baseItem="0"/>
    <dataField name="Count of interpreter" fld="16" subtotal="count" baseField="0" baseItem="0"/>
    <dataField name="Count of jbsis" fld="17" subtotal="count" baseField="0" baseItem="0"/>
    <dataField name="Count of jibsissu" fld="18" subtotal="count" baseField="0" baseItem="0"/>
    <dataField name="Count of judges" fld="19" subtotal="count" baseField="0" baseItem="0"/>
    <dataField name="Count of noncourtroom" fld="20" subtotal="count" baseField="0" baseItem="0"/>
    <dataField name="Count of noncourtroomsu" fld="21" subtotal="count" baseField="0" baseItem="0"/>
    <dataField name="Count of omni" fld="22" subtotal="count" baseField="0" baseItem="0"/>
  </dataFields>
  <formats count="9">
    <format dxfId="7">
      <pivotArea type="all" dataOnly="0" outline="0" fieldPosition="0"/>
    </format>
    <format dxfId="8">
      <pivotArea outline="0" collapsedLevelsAreSubtotals="1" fieldPosition="0"/>
    </format>
    <format dxfId="9">
      <pivotArea field="-2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11">
      <pivotArea dataOnly="0" labelOnly="1" grandCol="1" outline="0" axis="axisCol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-2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2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1CB-DA6E-43D7-8970-FA016D79048D}">
  <dimension ref="A1:AG233"/>
  <sheetViews>
    <sheetView tabSelected="1" zoomScaleNormal="100" workbookViewId="0">
      <pane ySplit="1" topLeftCell="A2" activePane="bottomLeft" state="frozen"/>
      <selection pane="bottomLeft" activeCell="A9" sqref="A9:A10"/>
    </sheetView>
  </sheetViews>
  <sheetFormatPr defaultColWidth="9.140625" defaultRowHeight="15"/>
  <cols>
    <col min="1" max="1" width="8.5703125" style="105" customWidth="1"/>
    <col min="2" max="2" width="47.7109375" style="1" customWidth="1"/>
    <col min="3" max="3" width="38.7109375" style="96" customWidth="1"/>
    <col min="4" max="4" width="15.5703125" style="1" bestFit="1" customWidth="1"/>
    <col min="5" max="5" width="27.7109375" style="77" customWidth="1"/>
    <col min="6" max="28" width="4.5703125" style="2" customWidth="1"/>
    <col min="29" max="29" width="4.5703125" style="85" customWidth="1"/>
    <col min="30" max="30" width="9" bestFit="1" customWidth="1"/>
    <col min="31" max="31" width="7.85546875" bestFit="1" customWidth="1"/>
    <col min="32" max="32" width="116.28515625" style="1" bestFit="1" customWidth="1"/>
    <col min="33" max="16384" width="9.140625" style="1"/>
  </cols>
  <sheetData>
    <row r="1" spans="1:33" s="29" customFormat="1" ht="82.5" customHeight="1">
      <c r="A1" s="131" t="s">
        <v>0</v>
      </c>
      <c r="B1" s="129" t="s">
        <v>1</v>
      </c>
      <c r="C1" s="129" t="s">
        <v>2</v>
      </c>
      <c r="D1" s="129" t="s">
        <v>3</v>
      </c>
      <c r="E1" s="159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83" t="s">
        <v>28</v>
      </c>
      <c r="AD1" s="130" t="s">
        <v>29</v>
      </c>
      <c r="AE1" s="130" t="s">
        <v>30</v>
      </c>
      <c r="AF1" s="129" t="s">
        <v>31</v>
      </c>
    </row>
    <row r="2" spans="1:33" s="29" customFormat="1">
      <c r="A2" s="138">
        <v>1</v>
      </c>
      <c r="B2" s="133" t="s">
        <v>32</v>
      </c>
      <c r="C2" s="134" t="s">
        <v>33</v>
      </c>
      <c r="D2" s="133" t="s">
        <v>34</v>
      </c>
      <c r="E2" s="163" t="s">
        <v>35</v>
      </c>
      <c r="F2" s="238"/>
      <c r="G2" s="238"/>
      <c r="H2" s="238"/>
      <c r="I2" s="238"/>
      <c r="J2" s="238"/>
      <c r="K2" s="238"/>
      <c r="L2" s="238" t="s">
        <v>36</v>
      </c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>
        <f t="shared" ref="AC2:AC9" si="0">COUNTIF(F2:AB2,"X")</f>
        <v>1</v>
      </c>
      <c r="AD2" s="125">
        <v>80</v>
      </c>
      <c r="AE2" s="126">
        <f t="shared" ref="AE2:AE22" si="1" xml:space="preserve"> (AD2/200)</f>
        <v>0.4</v>
      </c>
      <c r="AF2" s="88" t="s">
        <v>37</v>
      </c>
      <c r="AG2" s="164"/>
    </row>
    <row r="3" spans="1:33">
      <c r="A3" s="137">
        <v>2</v>
      </c>
      <c r="B3" s="63" t="s">
        <v>38</v>
      </c>
      <c r="C3" s="109" t="s">
        <v>39</v>
      </c>
      <c r="D3" s="63" t="s">
        <v>40</v>
      </c>
      <c r="E3" s="163" t="s">
        <v>35</v>
      </c>
      <c r="F3" s="238"/>
      <c r="G3" s="238"/>
      <c r="H3" s="238"/>
      <c r="I3" s="238"/>
      <c r="J3" s="238"/>
      <c r="K3" s="238"/>
      <c r="L3" s="238" t="s">
        <v>36</v>
      </c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>
        <f t="shared" si="0"/>
        <v>1</v>
      </c>
      <c r="AD3" s="122">
        <v>12</v>
      </c>
      <c r="AE3" s="123">
        <f t="shared" si="1"/>
        <v>0.06</v>
      </c>
      <c r="AF3" s="88" t="s">
        <v>37</v>
      </c>
      <c r="AG3" s="164"/>
    </row>
    <row r="4" spans="1:33">
      <c r="A4" s="103">
        <v>3</v>
      </c>
      <c r="B4" s="165" t="s">
        <v>41</v>
      </c>
      <c r="C4" s="158" t="s">
        <v>42</v>
      </c>
      <c r="D4" s="165" t="s">
        <v>43</v>
      </c>
      <c r="E4" s="163" t="s">
        <v>35</v>
      </c>
      <c r="F4" s="238"/>
      <c r="G4" s="238"/>
      <c r="H4" s="238"/>
      <c r="I4" s="238"/>
      <c r="J4" s="238"/>
      <c r="K4" s="238"/>
      <c r="L4" s="238" t="s">
        <v>36</v>
      </c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>
        <f t="shared" si="0"/>
        <v>1</v>
      </c>
      <c r="AD4" s="122">
        <v>5</v>
      </c>
      <c r="AE4" s="123">
        <f t="shared" si="1"/>
        <v>2.5000000000000001E-2</v>
      </c>
      <c r="AF4" s="157"/>
      <c r="AG4" s="164"/>
    </row>
    <row r="5" spans="1:33">
      <c r="A5" s="139">
        <v>4</v>
      </c>
      <c r="B5" s="140" t="s">
        <v>44</v>
      </c>
      <c r="C5" s="141" t="s">
        <v>45</v>
      </c>
      <c r="D5" s="140" t="s">
        <v>34</v>
      </c>
      <c r="E5" s="142" t="s">
        <v>35</v>
      </c>
      <c r="F5" s="143"/>
      <c r="G5" s="143"/>
      <c r="H5" s="143"/>
      <c r="I5" s="143"/>
      <c r="J5" s="143"/>
      <c r="K5" s="143"/>
      <c r="L5" s="143" t="s">
        <v>36</v>
      </c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>
        <f t="shared" si="0"/>
        <v>1</v>
      </c>
      <c r="AD5" s="144">
        <v>1</v>
      </c>
      <c r="AE5" s="145">
        <f t="shared" si="1"/>
        <v>5.0000000000000001E-3</v>
      </c>
      <c r="AF5" s="88" t="s">
        <v>46</v>
      </c>
      <c r="AG5" s="164"/>
    </row>
    <row r="6" spans="1:33">
      <c r="A6" s="103">
        <v>5</v>
      </c>
      <c r="B6" s="63" t="s">
        <v>47</v>
      </c>
      <c r="C6" s="109" t="s">
        <v>48</v>
      </c>
      <c r="D6" s="151" t="s">
        <v>34</v>
      </c>
      <c r="E6" s="163" t="s">
        <v>35</v>
      </c>
      <c r="F6" s="238"/>
      <c r="G6" s="238"/>
      <c r="H6" s="238"/>
      <c r="I6" s="238"/>
      <c r="J6" s="238"/>
      <c r="K6" s="238"/>
      <c r="L6" s="238" t="s">
        <v>36</v>
      </c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>
        <f t="shared" si="0"/>
        <v>1</v>
      </c>
      <c r="AD6" s="122">
        <v>4</v>
      </c>
      <c r="AE6" s="123">
        <f t="shared" si="1"/>
        <v>0.02</v>
      </c>
      <c r="AF6" s="88" t="s">
        <v>37</v>
      </c>
      <c r="AG6" s="164"/>
    </row>
    <row r="7" spans="1:33">
      <c r="A7" s="137">
        <v>6</v>
      </c>
      <c r="B7" s="63" t="s">
        <v>49</v>
      </c>
      <c r="C7" s="109" t="s">
        <v>50</v>
      </c>
      <c r="D7" s="63" t="s">
        <v>51</v>
      </c>
      <c r="E7" s="163" t="s">
        <v>35</v>
      </c>
      <c r="F7" s="238"/>
      <c r="G7" s="238"/>
      <c r="H7" s="238"/>
      <c r="I7" s="238"/>
      <c r="J7" s="238"/>
      <c r="K7" s="238"/>
      <c r="L7" s="238" t="s">
        <v>36</v>
      </c>
      <c r="M7" s="238"/>
      <c r="N7" s="238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>
        <f t="shared" si="0"/>
        <v>1</v>
      </c>
      <c r="AD7" s="122">
        <v>46</v>
      </c>
      <c r="AE7" s="123">
        <f t="shared" si="1"/>
        <v>0.23</v>
      </c>
      <c r="AF7" s="88" t="s">
        <v>37</v>
      </c>
      <c r="AG7" s="164"/>
    </row>
    <row r="8" spans="1:33">
      <c r="A8" s="103">
        <v>7</v>
      </c>
      <c r="B8" s="63" t="s">
        <v>52</v>
      </c>
      <c r="C8" s="109" t="s">
        <v>53</v>
      </c>
      <c r="D8" s="63" t="s">
        <v>34</v>
      </c>
      <c r="E8" s="163" t="s">
        <v>35</v>
      </c>
      <c r="F8" s="238"/>
      <c r="G8" s="238"/>
      <c r="H8" s="238"/>
      <c r="I8" s="238"/>
      <c r="J8" s="238"/>
      <c r="K8" s="238"/>
      <c r="L8" s="238" t="s">
        <v>36</v>
      </c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238"/>
      <c r="X8" s="238"/>
      <c r="Y8" s="238"/>
      <c r="Z8" s="238"/>
      <c r="AA8" s="238"/>
      <c r="AB8" s="238"/>
      <c r="AC8" s="238">
        <f t="shared" si="0"/>
        <v>1</v>
      </c>
      <c r="AD8" s="122">
        <v>0</v>
      </c>
      <c r="AE8" s="123">
        <f t="shared" si="1"/>
        <v>0</v>
      </c>
      <c r="AF8" s="88" t="s">
        <v>37</v>
      </c>
      <c r="AG8" s="164"/>
    </row>
    <row r="9" spans="1:33">
      <c r="A9" s="137">
        <v>8</v>
      </c>
      <c r="B9" s="165" t="s">
        <v>54</v>
      </c>
      <c r="C9" s="158" t="s">
        <v>55</v>
      </c>
      <c r="D9" s="166" t="s">
        <v>40</v>
      </c>
      <c r="E9" s="163" t="s">
        <v>56</v>
      </c>
      <c r="F9" s="238" t="s">
        <v>36</v>
      </c>
      <c r="G9" s="238" t="s">
        <v>36</v>
      </c>
      <c r="H9" s="238" t="s">
        <v>36</v>
      </c>
      <c r="I9" s="238" t="s">
        <v>36</v>
      </c>
      <c r="J9" s="238" t="s">
        <v>36</v>
      </c>
      <c r="K9" s="238" t="s">
        <v>36</v>
      </c>
      <c r="L9" s="238" t="s">
        <v>36</v>
      </c>
      <c r="M9" s="238" t="s">
        <v>36</v>
      </c>
      <c r="N9" s="238" t="s">
        <v>36</v>
      </c>
      <c r="O9" s="238"/>
      <c r="P9" s="238"/>
      <c r="Q9" s="238"/>
      <c r="R9" s="238"/>
      <c r="S9" s="238" t="s">
        <v>36</v>
      </c>
      <c r="T9" s="238"/>
      <c r="U9" s="238"/>
      <c r="V9" s="238"/>
      <c r="W9" s="238"/>
      <c r="X9" s="238" t="s">
        <v>36</v>
      </c>
      <c r="Y9" s="238"/>
      <c r="Z9" s="238"/>
      <c r="AA9" s="238" t="s">
        <v>36</v>
      </c>
      <c r="AB9" s="238"/>
      <c r="AC9" s="238">
        <f t="shared" si="0"/>
        <v>12</v>
      </c>
      <c r="AD9" s="122">
        <v>70990</v>
      </c>
      <c r="AE9" s="123">
        <f t="shared" si="1"/>
        <v>354.95</v>
      </c>
      <c r="AF9" s="157"/>
      <c r="AG9" s="164"/>
    </row>
    <row r="10" spans="1:33">
      <c r="A10" s="137">
        <v>8.1</v>
      </c>
      <c r="B10" s="112" t="s">
        <v>57</v>
      </c>
      <c r="C10" s="167" t="s">
        <v>58</v>
      </c>
      <c r="D10" s="101" t="s">
        <v>40</v>
      </c>
      <c r="E10" s="163" t="s">
        <v>56</v>
      </c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168"/>
      <c r="AD10" s="122">
        <v>1499</v>
      </c>
      <c r="AE10" s="123">
        <f t="shared" si="1"/>
        <v>7.4950000000000001</v>
      </c>
      <c r="AF10" s="157"/>
      <c r="AG10" s="164"/>
    </row>
    <row r="11" spans="1:33">
      <c r="A11" s="137">
        <v>9</v>
      </c>
      <c r="B11" s="165" t="s">
        <v>59</v>
      </c>
      <c r="C11" s="158" t="s">
        <v>60</v>
      </c>
      <c r="D11" s="166" t="s">
        <v>40</v>
      </c>
      <c r="E11" s="163" t="s">
        <v>56</v>
      </c>
      <c r="F11" s="238" t="s">
        <v>36</v>
      </c>
      <c r="G11" s="238" t="s">
        <v>36</v>
      </c>
      <c r="H11" s="238" t="s">
        <v>36</v>
      </c>
      <c r="I11" s="238" t="s">
        <v>36</v>
      </c>
      <c r="J11" s="238" t="s">
        <v>36</v>
      </c>
      <c r="K11" s="238" t="s">
        <v>36</v>
      </c>
      <c r="L11" s="238" t="s">
        <v>36</v>
      </c>
      <c r="M11" s="238" t="s">
        <v>36</v>
      </c>
      <c r="N11" s="238" t="s">
        <v>36</v>
      </c>
      <c r="O11" s="238"/>
      <c r="P11" s="238"/>
      <c r="Q11" s="238"/>
      <c r="R11" s="238"/>
      <c r="S11" s="238" t="s">
        <v>36</v>
      </c>
      <c r="T11" s="238" t="s">
        <v>36</v>
      </c>
      <c r="U11" s="238"/>
      <c r="V11" s="238"/>
      <c r="W11" s="238"/>
      <c r="X11" s="238" t="s">
        <v>36</v>
      </c>
      <c r="Y11" s="238" t="s">
        <v>36</v>
      </c>
      <c r="Z11" s="238" t="s">
        <v>36</v>
      </c>
      <c r="AA11" s="238" t="s">
        <v>36</v>
      </c>
      <c r="AB11" s="238"/>
      <c r="AC11" s="238">
        <f>COUNTIF(F11:AB11,"X")</f>
        <v>15</v>
      </c>
      <c r="AD11" s="122">
        <v>14220</v>
      </c>
      <c r="AE11" s="123">
        <f t="shared" si="1"/>
        <v>71.099999999999994</v>
      </c>
      <c r="AF11" s="157"/>
      <c r="AG11" s="164"/>
    </row>
    <row r="12" spans="1:33">
      <c r="A12" s="137">
        <v>9.1</v>
      </c>
      <c r="B12" s="113" t="s">
        <v>61</v>
      </c>
      <c r="C12" s="106" t="s">
        <v>62</v>
      </c>
      <c r="D12" s="106" t="s">
        <v>63</v>
      </c>
      <c r="E12" s="163" t="s">
        <v>56</v>
      </c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168"/>
      <c r="AD12" s="122">
        <v>18544</v>
      </c>
      <c r="AE12" s="123">
        <f t="shared" si="1"/>
        <v>92.72</v>
      </c>
      <c r="AF12" s="157"/>
      <c r="AG12" s="164"/>
    </row>
    <row r="13" spans="1:33">
      <c r="A13" s="137">
        <v>9.1999999999999993</v>
      </c>
      <c r="B13" s="112" t="s">
        <v>64</v>
      </c>
      <c r="C13" s="167" t="s">
        <v>65</v>
      </c>
      <c r="D13" s="100" t="s">
        <v>34</v>
      </c>
      <c r="E13" s="163" t="s">
        <v>56</v>
      </c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168"/>
      <c r="AD13" s="122">
        <v>15989</v>
      </c>
      <c r="AE13" s="123">
        <f t="shared" si="1"/>
        <v>79.944999999999993</v>
      </c>
      <c r="AF13" s="157"/>
      <c r="AG13" s="164"/>
    </row>
    <row r="14" spans="1:33">
      <c r="A14" s="137">
        <v>10</v>
      </c>
      <c r="B14" s="165" t="s">
        <v>66</v>
      </c>
      <c r="C14" s="158" t="s">
        <v>67</v>
      </c>
      <c r="D14" s="165" t="s">
        <v>34</v>
      </c>
      <c r="E14" s="163" t="s">
        <v>56</v>
      </c>
      <c r="F14" s="238" t="s">
        <v>36</v>
      </c>
      <c r="G14" s="238" t="s">
        <v>36</v>
      </c>
      <c r="H14" s="238" t="s">
        <v>36</v>
      </c>
      <c r="I14" s="238" t="s">
        <v>36</v>
      </c>
      <c r="J14" s="238" t="s">
        <v>36</v>
      </c>
      <c r="K14" s="238" t="s">
        <v>36</v>
      </c>
      <c r="L14" s="238" t="s">
        <v>36</v>
      </c>
      <c r="M14" s="238" t="s">
        <v>36</v>
      </c>
      <c r="N14" s="238" t="s">
        <v>36</v>
      </c>
      <c r="O14" s="238"/>
      <c r="P14" s="238"/>
      <c r="Q14" s="238"/>
      <c r="R14" s="238"/>
      <c r="S14" s="238" t="s">
        <v>36</v>
      </c>
      <c r="T14" s="238"/>
      <c r="U14" s="238"/>
      <c r="V14" s="238"/>
      <c r="W14" s="238"/>
      <c r="X14" s="238" t="s">
        <v>36</v>
      </c>
      <c r="Y14" s="238"/>
      <c r="Z14" s="238" t="s">
        <v>36</v>
      </c>
      <c r="AA14" s="238" t="s">
        <v>36</v>
      </c>
      <c r="AB14" s="238"/>
      <c r="AC14" s="238">
        <f t="shared" ref="AC14:AC20" si="2">COUNTIF(F14:AB14,"X")</f>
        <v>13</v>
      </c>
      <c r="AD14" s="122">
        <v>7962</v>
      </c>
      <c r="AE14" s="123">
        <f t="shared" si="1"/>
        <v>39.81</v>
      </c>
      <c r="AF14" s="157"/>
      <c r="AG14" s="164"/>
    </row>
    <row r="15" spans="1:33">
      <c r="A15" s="103">
        <v>11</v>
      </c>
      <c r="B15" s="165" t="s">
        <v>68</v>
      </c>
      <c r="C15" s="158" t="s">
        <v>69</v>
      </c>
      <c r="D15" s="165" t="s">
        <v>40</v>
      </c>
      <c r="E15" s="163" t="s">
        <v>56</v>
      </c>
      <c r="F15" s="238"/>
      <c r="G15" s="238"/>
      <c r="H15" s="238"/>
      <c r="I15" s="238"/>
      <c r="J15" s="238" t="s">
        <v>36</v>
      </c>
      <c r="K15" s="238" t="s">
        <v>36</v>
      </c>
      <c r="L15" s="238" t="s">
        <v>36</v>
      </c>
      <c r="M15" s="238"/>
      <c r="N15" s="238"/>
      <c r="O15" s="238"/>
      <c r="P15" s="238"/>
      <c r="Q15" s="238"/>
      <c r="R15" s="238"/>
      <c r="S15" s="238" t="s">
        <v>36</v>
      </c>
      <c r="T15" s="238"/>
      <c r="U15" s="238"/>
      <c r="V15" s="238"/>
      <c r="W15" s="238"/>
      <c r="X15" s="238"/>
      <c r="Y15" s="238"/>
      <c r="Z15" s="238"/>
      <c r="AA15" s="238" t="s">
        <v>36</v>
      </c>
      <c r="AB15" s="238"/>
      <c r="AC15" s="238">
        <f t="shared" si="2"/>
        <v>5</v>
      </c>
      <c r="AD15" s="122">
        <v>16</v>
      </c>
      <c r="AE15" s="123">
        <f t="shared" si="1"/>
        <v>0.08</v>
      </c>
      <c r="AF15" s="157"/>
      <c r="AG15" s="164"/>
    </row>
    <row r="16" spans="1:33">
      <c r="A16" s="152">
        <v>12</v>
      </c>
      <c r="B16" s="146" t="s">
        <v>70</v>
      </c>
      <c r="C16" s="147" t="s">
        <v>71</v>
      </c>
      <c r="D16" s="146" t="s">
        <v>34</v>
      </c>
      <c r="E16" s="142" t="s">
        <v>56</v>
      </c>
      <c r="F16" s="238" t="s">
        <v>36</v>
      </c>
      <c r="G16" s="238" t="s">
        <v>36</v>
      </c>
      <c r="H16" s="238" t="s">
        <v>36</v>
      </c>
      <c r="I16" s="238" t="s">
        <v>36</v>
      </c>
      <c r="J16" s="238" t="s">
        <v>36</v>
      </c>
      <c r="K16" s="238" t="s">
        <v>36</v>
      </c>
      <c r="L16" s="238" t="s">
        <v>36</v>
      </c>
      <c r="M16" s="238" t="s">
        <v>36</v>
      </c>
      <c r="N16" s="238" t="s">
        <v>36</v>
      </c>
      <c r="O16" s="238"/>
      <c r="P16" s="238"/>
      <c r="Q16" s="238"/>
      <c r="R16" s="238"/>
      <c r="S16" s="238" t="s">
        <v>36</v>
      </c>
      <c r="T16" s="238"/>
      <c r="U16" s="238"/>
      <c r="V16" s="238"/>
      <c r="W16" s="238"/>
      <c r="X16" s="238" t="s">
        <v>36</v>
      </c>
      <c r="Y16" s="238"/>
      <c r="Z16" s="238" t="s">
        <v>36</v>
      </c>
      <c r="AA16" s="238" t="s">
        <v>36</v>
      </c>
      <c r="AB16" s="238"/>
      <c r="AC16" s="238">
        <f t="shared" si="2"/>
        <v>13</v>
      </c>
      <c r="AD16" s="122">
        <v>23</v>
      </c>
      <c r="AE16" s="123">
        <f t="shared" si="1"/>
        <v>0.115</v>
      </c>
      <c r="AF16" s="157"/>
      <c r="AG16" s="164"/>
    </row>
    <row r="17" spans="1:33">
      <c r="A17" s="103">
        <v>13</v>
      </c>
      <c r="B17" s="165" t="s">
        <v>72</v>
      </c>
      <c r="C17" s="158" t="s">
        <v>73</v>
      </c>
      <c r="D17" s="166" t="s">
        <v>40</v>
      </c>
      <c r="E17" s="163" t="s">
        <v>56</v>
      </c>
      <c r="F17" s="238" t="s">
        <v>36</v>
      </c>
      <c r="G17" s="238" t="s">
        <v>36</v>
      </c>
      <c r="H17" s="238"/>
      <c r="I17" s="238"/>
      <c r="J17" s="238" t="s">
        <v>36</v>
      </c>
      <c r="K17" s="238" t="s">
        <v>36</v>
      </c>
      <c r="L17" s="238" t="s">
        <v>36</v>
      </c>
      <c r="M17" s="238" t="s">
        <v>36</v>
      </c>
      <c r="N17" s="238" t="s">
        <v>36</v>
      </c>
      <c r="O17" s="238"/>
      <c r="P17" s="238"/>
      <c r="Q17" s="238"/>
      <c r="R17" s="238"/>
      <c r="S17" s="238" t="s">
        <v>36</v>
      </c>
      <c r="T17" s="238"/>
      <c r="U17" s="238"/>
      <c r="V17" s="238"/>
      <c r="W17" s="238"/>
      <c r="X17" s="238" t="s">
        <v>36</v>
      </c>
      <c r="Y17" s="238"/>
      <c r="Z17" s="238" t="s">
        <v>36</v>
      </c>
      <c r="AA17" s="238" t="s">
        <v>36</v>
      </c>
      <c r="AB17" s="238"/>
      <c r="AC17" s="238">
        <f t="shared" si="2"/>
        <v>11</v>
      </c>
      <c r="AD17" s="122">
        <v>233</v>
      </c>
      <c r="AE17" s="123">
        <f t="shared" si="1"/>
        <v>1.165</v>
      </c>
      <c r="AF17" s="157"/>
      <c r="AG17" s="164"/>
    </row>
    <row r="18" spans="1:33">
      <c r="A18" s="103">
        <v>14</v>
      </c>
      <c r="B18" s="165" t="s">
        <v>74</v>
      </c>
      <c r="C18" s="158" t="s">
        <v>75</v>
      </c>
      <c r="D18" s="166" t="s">
        <v>34</v>
      </c>
      <c r="E18" s="163" t="s">
        <v>56</v>
      </c>
      <c r="F18" s="238" t="s">
        <v>36</v>
      </c>
      <c r="G18" s="238" t="s">
        <v>36</v>
      </c>
      <c r="H18" s="238"/>
      <c r="I18" s="238"/>
      <c r="J18" s="238" t="s">
        <v>36</v>
      </c>
      <c r="K18" s="238" t="s">
        <v>36</v>
      </c>
      <c r="L18" s="238" t="s">
        <v>36</v>
      </c>
      <c r="M18" s="238" t="s">
        <v>36</v>
      </c>
      <c r="N18" s="238" t="s">
        <v>36</v>
      </c>
      <c r="O18" s="238"/>
      <c r="P18" s="238"/>
      <c r="Q18" s="238"/>
      <c r="R18" s="238"/>
      <c r="S18" s="238" t="s">
        <v>36</v>
      </c>
      <c r="T18" s="238" t="s">
        <v>36</v>
      </c>
      <c r="U18" s="238"/>
      <c r="V18" s="238"/>
      <c r="W18" s="238"/>
      <c r="X18" s="238" t="s">
        <v>36</v>
      </c>
      <c r="Y18" s="238" t="s">
        <v>36</v>
      </c>
      <c r="Z18" s="238" t="s">
        <v>36</v>
      </c>
      <c r="AA18" s="238" t="s">
        <v>36</v>
      </c>
      <c r="AB18" s="238"/>
      <c r="AC18" s="238">
        <f t="shared" si="2"/>
        <v>13</v>
      </c>
      <c r="AD18" s="122">
        <v>60</v>
      </c>
      <c r="AE18" s="123">
        <f t="shared" si="1"/>
        <v>0.3</v>
      </c>
      <c r="AF18" s="157"/>
      <c r="AG18" s="164"/>
    </row>
    <row r="19" spans="1:33">
      <c r="A19" s="104">
        <v>15</v>
      </c>
      <c r="B19" s="169" t="s">
        <v>76</v>
      </c>
      <c r="C19" s="170" t="s">
        <v>77</v>
      </c>
      <c r="D19" s="169" t="s">
        <v>34</v>
      </c>
      <c r="E19" s="171" t="s">
        <v>78</v>
      </c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68">
        <f t="shared" si="2"/>
        <v>0</v>
      </c>
      <c r="AD19" s="127">
        <v>0</v>
      </c>
      <c r="AE19" s="128">
        <f t="shared" si="1"/>
        <v>0</v>
      </c>
      <c r="AF19" s="173" t="s">
        <v>79</v>
      </c>
      <c r="AG19" s="164"/>
    </row>
    <row r="20" spans="1:33">
      <c r="A20" s="103">
        <v>16</v>
      </c>
      <c r="B20" s="174" t="s">
        <v>80</v>
      </c>
      <c r="C20" s="158" t="s">
        <v>81</v>
      </c>
      <c r="D20" s="165" t="s">
        <v>82</v>
      </c>
      <c r="E20" s="163" t="s">
        <v>78</v>
      </c>
      <c r="F20" s="238" t="s">
        <v>36</v>
      </c>
      <c r="G20" s="238" t="s">
        <v>36</v>
      </c>
      <c r="H20" s="238" t="s">
        <v>36</v>
      </c>
      <c r="I20" s="238" t="s">
        <v>36</v>
      </c>
      <c r="J20" s="238" t="s">
        <v>36</v>
      </c>
      <c r="K20" s="238" t="s">
        <v>36</v>
      </c>
      <c r="L20" s="238" t="s">
        <v>36</v>
      </c>
      <c r="M20" s="238" t="s">
        <v>36</v>
      </c>
      <c r="N20" s="238" t="s">
        <v>36</v>
      </c>
      <c r="O20" s="238"/>
      <c r="P20" s="238" t="s">
        <v>36</v>
      </c>
      <c r="Q20" s="238" t="s">
        <v>36</v>
      </c>
      <c r="R20" s="238" t="s">
        <v>36</v>
      </c>
      <c r="S20" s="238" t="s">
        <v>36</v>
      </c>
      <c r="T20" s="238"/>
      <c r="U20" s="238"/>
      <c r="V20" s="238"/>
      <c r="W20" s="238" t="s">
        <v>36</v>
      </c>
      <c r="X20" s="238" t="s">
        <v>36</v>
      </c>
      <c r="Y20" s="238"/>
      <c r="Z20" s="238" t="s">
        <v>36</v>
      </c>
      <c r="AA20" s="238" t="s">
        <v>36</v>
      </c>
      <c r="AB20" s="238"/>
      <c r="AC20" s="168">
        <f t="shared" si="2"/>
        <v>17</v>
      </c>
      <c r="AD20" s="122">
        <v>235413</v>
      </c>
      <c r="AE20" s="123">
        <f t="shared" si="1"/>
        <v>1177.0650000000001</v>
      </c>
      <c r="AF20" s="157"/>
      <c r="AG20" s="164"/>
    </row>
    <row r="21" spans="1:33">
      <c r="A21" s="103">
        <v>16.100000000000001</v>
      </c>
      <c r="B21" s="112" t="s">
        <v>83</v>
      </c>
      <c r="C21" s="106" t="s">
        <v>84</v>
      </c>
      <c r="D21" s="101" t="s">
        <v>51</v>
      </c>
      <c r="E21" s="163" t="s">
        <v>78</v>
      </c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168"/>
      <c r="AD21" s="122">
        <v>391</v>
      </c>
      <c r="AE21" s="123">
        <f t="shared" si="1"/>
        <v>1.9550000000000001</v>
      </c>
      <c r="AF21" s="157"/>
      <c r="AG21" s="164"/>
    </row>
    <row r="22" spans="1:33">
      <c r="A22" s="103">
        <v>16.2</v>
      </c>
      <c r="B22" s="175" t="s">
        <v>85</v>
      </c>
      <c r="C22" s="158" t="s">
        <v>86</v>
      </c>
      <c r="D22" s="165" t="s">
        <v>34</v>
      </c>
      <c r="E22" s="163" t="s">
        <v>78</v>
      </c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168"/>
      <c r="AD22" s="122">
        <v>192463</v>
      </c>
      <c r="AE22" s="123">
        <f t="shared" si="1"/>
        <v>962.31500000000005</v>
      </c>
      <c r="AF22" s="157"/>
      <c r="AG22" s="164"/>
    </row>
    <row r="23" spans="1:33">
      <c r="A23" s="103">
        <v>16.3</v>
      </c>
      <c r="B23" s="175" t="s">
        <v>87</v>
      </c>
      <c r="C23" s="158" t="s">
        <v>88</v>
      </c>
      <c r="D23" s="165" t="s">
        <v>51</v>
      </c>
      <c r="E23" s="163" t="s">
        <v>78</v>
      </c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168"/>
      <c r="AD23" s="165"/>
      <c r="AE23" s="165"/>
      <c r="AF23" s="157"/>
      <c r="AG23" s="164"/>
    </row>
    <row r="24" spans="1:33">
      <c r="A24" s="103">
        <v>16.399999999999999</v>
      </c>
      <c r="B24" s="175" t="s">
        <v>89</v>
      </c>
      <c r="C24" s="158" t="s">
        <v>90</v>
      </c>
      <c r="D24" s="165" t="s">
        <v>51</v>
      </c>
      <c r="E24" s="163" t="s">
        <v>78</v>
      </c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168"/>
      <c r="AD24" s="165"/>
      <c r="AE24" s="165"/>
      <c r="AF24" s="157"/>
      <c r="AG24" s="164"/>
    </row>
    <row r="25" spans="1:33">
      <c r="A25" s="103">
        <v>16.5</v>
      </c>
      <c r="B25" s="175" t="s">
        <v>91</v>
      </c>
      <c r="C25" s="158" t="s">
        <v>92</v>
      </c>
      <c r="D25" s="165" t="s">
        <v>51</v>
      </c>
      <c r="E25" s="163" t="s">
        <v>78</v>
      </c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168"/>
      <c r="AD25" s="165"/>
      <c r="AE25" s="165"/>
      <c r="AF25" s="157"/>
      <c r="AG25" s="164"/>
    </row>
    <row r="26" spans="1:33">
      <c r="A26" s="103">
        <v>17</v>
      </c>
      <c r="B26" s="174" t="s">
        <v>93</v>
      </c>
      <c r="C26" s="158" t="s">
        <v>94</v>
      </c>
      <c r="D26" s="165" t="s">
        <v>43</v>
      </c>
      <c r="E26" s="163" t="s">
        <v>78</v>
      </c>
      <c r="F26" s="238" t="s">
        <v>36</v>
      </c>
      <c r="G26" s="238" t="s">
        <v>36</v>
      </c>
      <c r="H26" s="238" t="s">
        <v>36</v>
      </c>
      <c r="I26" s="238" t="s">
        <v>36</v>
      </c>
      <c r="J26" s="238" t="s">
        <v>36</v>
      </c>
      <c r="K26" s="238" t="s">
        <v>36</v>
      </c>
      <c r="L26" s="238" t="s">
        <v>36</v>
      </c>
      <c r="M26" s="238" t="s">
        <v>36</v>
      </c>
      <c r="N26" s="238" t="s">
        <v>36</v>
      </c>
      <c r="O26" s="238" t="s">
        <v>36</v>
      </c>
      <c r="P26" s="238" t="s">
        <v>36</v>
      </c>
      <c r="Q26" s="238" t="s">
        <v>36</v>
      </c>
      <c r="R26" s="238" t="s">
        <v>36</v>
      </c>
      <c r="S26" s="238" t="s">
        <v>36</v>
      </c>
      <c r="T26" s="238" t="s">
        <v>36</v>
      </c>
      <c r="U26" s="238"/>
      <c r="V26" s="238"/>
      <c r="W26" s="238" t="s">
        <v>36</v>
      </c>
      <c r="X26" s="238" t="s">
        <v>36</v>
      </c>
      <c r="Y26" s="238" t="s">
        <v>36</v>
      </c>
      <c r="Z26" s="238" t="s">
        <v>36</v>
      </c>
      <c r="AA26" s="238" t="s">
        <v>36</v>
      </c>
      <c r="AB26" s="238"/>
      <c r="AC26" s="168">
        <f>COUNTIF(F26:AB26,"X")</f>
        <v>20</v>
      </c>
      <c r="AD26" s="122">
        <v>237720</v>
      </c>
      <c r="AE26" s="123">
        <f t="shared" ref="AE26:AE51" si="3" xml:space="preserve"> (AD26/200)</f>
        <v>1188.5999999999999</v>
      </c>
      <c r="AF26" s="157"/>
      <c r="AG26" s="164"/>
    </row>
    <row r="27" spans="1:33">
      <c r="A27" s="103">
        <v>17.100000000000001</v>
      </c>
      <c r="B27" s="175" t="s">
        <v>95</v>
      </c>
      <c r="C27" s="158" t="s">
        <v>96</v>
      </c>
      <c r="D27" s="165" t="s">
        <v>34</v>
      </c>
      <c r="E27" s="163" t="s">
        <v>78</v>
      </c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168"/>
      <c r="AD27" s="122">
        <v>1671</v>
      </c>
      <c r="AE27" s="123">
        <f t="shared" si="3"/>
        <v>8.3550000000000004</v>
      </c>
      <c r="AF27" s="157"/>
      <c r="AG27" s="164"/>
    </row>
    <row r="28" spans="1:33">
      <c r="A28" s="103">
        <v>17.2</v>
      </c>
      <c r="B28" s="112" t="s">
        <v>97</v>
      </c>
      <c r="C28" s="106" t="s">
        <v>98</v>
      </c>
      <c r="D28" s="100" t="s">
        <v>34</v>
      </c>
      <c r="E28" s="163" t="s">
        <v>78</v>
      </c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168"/>
      <c r="AD28" s="122">
        <v>57689</v>
      </c>
      <c r="AE28" s="123">
        <f t="shared" si="3"/>
        <v>288.44499999999999</v>
      </c>
      <c r="AF28" s="157"/>
      <c r="AG28" s="164"/>
    </row>
    <row r="29" spans="1:33">
      <c r="A29" s="104">
        <v>18</v>
      </c>
      <c r="B29" s="169" t="s">
        <v>99</v>
      </c>
      <c r="C29" s="170" t="s">
        <v>100</v>
      </c>
      <c r="D29" s="169" t="s">
        <v>34</v>
      </c>
      <c r="E29" s="171" t="s">
        <v>78</v>
      </c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68">
        <f t="shared" ref="AC29:AC36" si="4">COUNTIF(F29:AB29,"X")</f>
        <v>0</v>
      </c>
      <c r="AD29" s="127">
        <v>0</v>
      </c>
      <c r="AE29" s="128">
        <f t="shared" si="3"/>
        <v>0</v>
      </c>
      <c r="AF29" s="173" t="s">
        <v>79</v>
      </c>
      <c r="AG29" s="164"/>
    </row>
    <row r="30" spans="1:33">
      <c r="A30" s="103">
        <v>19</v>
      </c>
      <c r="B30" s="165" t="s">
        <v>101</v>
      </c>
      <c r="C30" s="158" t="s">
        <v>102</v>
      </c>
      <c r="D30" s="165" t="s">
        <v>43</v>
      </c>
      <c r="E30" s="163" t="s">
        <v>78</v>
      </c>
      <c r="F30" s="238" t="s">
        <v>36</v>
      </c>
      <c r="G30" s="238" t="s">
        <v>36</v>
      </c>
      <c r="H30" s="238"/>
      <c r="I30" s="238"/>
      <c r="J30" s="238"/>
      <c r="K30" s="238"/>
      <c r="L30" s="238" t="s">
        <v>36</v>
      </c>
      <c r="M30" s="238" t="s">
        <v>36</v>
      </c>
      <c r="N30" s="238" t="s">
        <v>36</v>
      </c>
      <c r="O30" s="238"/>
      <c r="P30" s="238"/>
      <c r="Q30" s="238"/>
      <c r="R30" s="238"/>
      <c r="S30" s="238" t="s">
        <v>36</v>
      </c>
      <c r="T30" s="238"/>
      <c r="U30" s="238"/>
      <c r="V30" s="238"/>
      <c r="W30" s="238"/>
      <c r="X30" s="238"/>
      <c r="Y30" s="238"/>
      <c r="Z30" s="238" t="s">
        <v>36</v>
      </c>
      <c r="AA30" s="238" t="s">
        <v>36</v>
      </c>
      <c r="AB30" s="238"/>
      <c r="AC30" s="168">
        <f t="shared" si="4"/>
        <v>8</v>
      </c>
      <c r="AD30" s="122">
        <v>1370</v>
      </c>
      <c r="AE30" s="123">
        <f t="shared" si="3"/>
        <v>6.85</v>
      </c>
      <c r="AF30" s="157"/>
      <c r="AG30" s="164"/>
    </row>
    <row r="31" spans="1:33">
      <c r="A31" s="103">
        <v>20</v>
      </c>
      <c r="B31" s="165" t="s">
        <v>103</v>
      </c>
      <c r="C31" s="158" t="s">
        <v>104</v>
      </c>
      <c r="D31" s="165" t="s">
        <v>43</v>
      </c>
      <c r="E31" s="163" t="s">
        <v>78</v>
      </c>
      <c r="F31" s="238" t="s">
        <v>36</v>
      </c>
      <c r="G31" s="238" t="s">
        <v>36</v>
      </c>
      <c r="H31" s="238"/>
      <c r="I31" s="238"/>
      <c r="J31" s="238"/>
      <c r="K31" s="238"/>
      <c r="L31" s="238" t="s">
        <v>36</v>
      </c>
      <c r="M31" s="238" t="s">
        <v>36</v>
      </c>
      <c r="N31" s="238" t="s">
        <v>36</v>
      </c>
      <c r="O31" s="238"/>
      <c r="P31" s="238"/>
      <c r="Q31" s="238"/>
      <c r="R31" s="238"/>
      <c r="S31" s="238" t="s">
        <v>36</v>
      </c>
      <c r="T31" s="238"/>
      <c r="U31" s="238"/>
      <c r="V31" s="238"/>
      <c r="W31" s="238"/>
      <c r="X31" s="238"/>
      <c r="Y31" s="238"/>
      <c r="Z31" s="238" t="s">
        <v>36</v>
      </c>
      <c r="AA31" s="238" t="s">
        <v>36</v>
      </c>
      <c r="AB31" s="238"/>
      <c r="AC31" s="168">
        <f t="shared" si="4"/>
        <v>8</v>
      </c>
      <c r="AD31" s="122">
        <v>896</v>
      </c>
      <c r="AE31" s="123">
        <f t="shared" si="3"/>
        <v>4.4800000000000004</v>
      </c>
      <c r="AF31" s="157"/>
      <c r="AG31" s="164"/>
    </row>
    <row r="32" spans="1:33">
      <c r="A32" s="103">
        <v>21</v>
      </c>
      <c r="B32" s="165" t="s">
        <v>105</v>
      </c>
      <c r="C32" s="158" t="s">
        <v>106</v>
      </c>
      <c r="D32" s="165" t="s">
        <v>51</v>
      </c>
      <c r="E32" s="163" t="s">
        <v>78</v>
      </c>
      <c r="F32" s="238" t="s">
        <v>36</v>
      </c>
      <c r="G32" s="238"/>
      <c r="H32" s="238"/>
      <c r="I32" s="238"/>
      <c r="J32" s="238"/>
      <c r="K32" s="238"/>
      <c r="L32" s="238" t="s">
        <v>36</v>
      </c>
      <c r="M32" s="238" t="s">
        <v>36</v>
      </c>
      <c r="N32" s="238"/>
      <c r="O32" s="238"/>
      <c r="P32" s="238"/>
      <c r="Q32" s="238"/>
      <c r="R32" s="238"/>
      <c r="S32" s="238" t="s">
        <v>36</v>
      </c>
      <c r="T32" s="238"/>
      <c r="U32" s="238"/>
      <c r="V32" s="238"/>
      <c r="W32" s="238"/>
      <c r="X32" s="238" t="s">
        <v>36</v>
      </c>
      <c r="Y32" s="238"/>
      <c r="Z32" s="238"/>
      <c r="AA32" s="238" t="s">
        <v>36</v>
      </c>
      <c r="AB32" s="238"/>
      <c r="AC32" s="168">
        <f t="shared" si="4"/>
        <v>6</v>
      </c>
      <c r="AD32" s="122">
        <v>5</v>
      </c>
      <c r="AE32" s="123">
        <f t="shared" si="3"/>
        <v>2.5000000000000001E-2</v>
      </c>
      <c r="AF32" s="157"/>
      <c r="AG32" s="164"/>
    </row>
    <row r="33" spans="1:33">
      <c r="A33" s="104">
        <v>22</v>
      </c>
      <c r="B33" s="169" t="s">
        <v>107</v>
      </c>
      <c r="C33" s="170" t="s">
        <v>108</v>
      </c>
      <c r="D33" s="169" t="s">
        <v>34</v>
      </c>
      <c r="E33" s="171" t="s">
        <v>78</v>
      </c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68">
        <f t="shared" si="4"/>
        <v>0</v>
      </c>
      <c r="AD33" s="127">
        <v>0</v>
      </c>
      <c r="AE33" s="128">
        <f t="shared" si="3"/>
        <v>0</v>
      </c>
      <c r="AF33" s="173" t="s">
        <v>79</v>
      </c>
      <c r="AG33" s="164"/>
    </row>
    <row r="34" spans="1:33">
      <c r="A34" s="103">
        <v>23</v>
      </c>
      <c r="B34" s="165" t="s">
        <v>109</v>
      </c>
      <c r="C34" s="158" t="s">
        <v>110</v>
      </c>
      <c r="D34" s="165" t="s">
        <v>43</v>
      </c>
      <c r="E34" s="163" t="s">
        <v>78</v>
      </c>
      <c r="F34" s="238" t="s">
        <v>36</v>
      </c>
      <c r="G34" s="238" t="s">
        <v>36</v>
      </c>
      <c r="H34" s="238" t="s">
        <v>36</v>
      </c>
      <c r="I34" s="238" t="s">
        <v>36</v>
      </c>
      <c r="J34" s="238"/>
      <c r="K34" s="238"/>
      <c r="L34" s="238" t="s">
        <v>36</v>
      </c>
      <c r="M34" s="238" t="s">
        <v>36</v>
      </c>
      <c r="N34" s="238" t="s">
        <v>36</v>
      </c>
      <c r="O34" s="238"/>
      <c r="P34" s="238" t="s">
        <v>36</v>
      </c>
      <c r="Q34" s="238" t="s">
        <v>36</v>
      </c>
      <c r="R34" s="238" t="s">
        <v>36</v>
      </c>
      <c r="S34" s="238" t="s">
        <v>36</v>
      </c>
      <c r="T34" s="238"/>
      <c r="U34" s="238"/>
      <c r="V34" s="238"/>
      <c r="W34" s="238"/>
      <c r="X34" s="238" t="s">
        <v>36</v>
      </c>
      <c r="Y34" s="238"/>
      <c r="Z34" s="238" t="s">
        <v>36</v>
      </c>
      <c r="AA34" s="238" t="s">
        <v>36</v>
      </c>
      <c r="AB34" s="238"/>
      <c r="AC34" s="168">
        <f t="shared" si="4"/>
        <v>14</v>
      </c>
      <c r="AD34" s="122">
        <v>6459</v>
      </c>
      <c r="AE34" s="123">
        <f t="shared" si="3"/>
        <v>32.295000000000002</v>
      </c>
      <c r="AF34" s="157"/>
      <c r="AG34" s="164"/>
    </row>
    <row r="35" spans="1:33">
      <c r="A35" s="103">
        <v>24</v>
      </c>
      <c r="B35" s="165" t="s">
        <v>111</v>
      </c>
      <c r="C35" s="158" t="s">
        <v>112</v>
      </c>
      <c r="D35" s="165" t="s">
        <v>40</v>
      </c>
      <c r="E35" s="163" t="s">
        <v>78</v>
      </c>
      <c r="F35" s="176"/>
      <c r="G35" s="176"/>
      <c r="H35" s="176"/>
      <c r="I35" s="176"/>
      <c r="J35" s="176"/>
      <c r="K35" s="176"/>
      <c r="L35" s="176" t="s">
        <v>36</v>
      </c>
      <c r="M35" s="176"/>
      <c r="N35" s="176"/>
      <c r="O35" s="176"/>
      <c r="P35" s="176"/>
      <c r="Q35" s="176"/>
      <c r="R35" s="176"/>
      <c r="S35" s="176" t="s">
        <v>36</v>
      </c>
      <c r="T35" s="176"/>
      <c r="U35" s="176"/>
      <c r="V35" s="176"/>
      <c r="W35" s="176"/>
      <c r="X35" s="176"/>
      <c r="Y35" s="176"/>
      <c r="Z35" s="176" t="s">
        <v>36</v>
      </c>
      <c r="AA35" s="176" t="s">
        <v>36</v>
      </c>
      <c r="AB35" s="176"/>
      <c r="AC35" s="168">
        <f t="shared" si="4"/>
        <v>4</v>
      </c>
      <c r="AD35" s="122">
        <v>0</v>
      </c>
      <c r="AE35" s="123">
        <f t="shared" si="3"/>
        <v>0</v>
      </c>
      <c r="AF35" s="157"/>
      <c r="AG35" s="164"/>
    </row>
    <row r="36" spans="1:33">
      <c r="A36" s="137">
        <v>25</v>
      </c>
      <c r="B36" s="177" t="s">
        <v>113</v>
      </c>
      <c r="C36" s="158" t="s">
        <v>114</v>
      </c>
      <c r="D36" s="165" t="s">
        <v>115</v>
      </c>
      <c r="E36" s="163" t="s">
        <v>78</v>
      </c>
      <c r="F36" s="238" t="s">
        <v>36</v>
      </c>
      <c r="G36" s="238" t="s">
        <v>36</v>
      </c>
      <c r="H36" s="238" t="s">
        <v>36</v>
      </c>
      <c r="I36" s="238" t="s">
        <v>36</v>
      </c>
      <c r="J36" s="238" t="s">
        <v>36</v>
      </c>
      <c r="K36" s="238" t="s">
        <v>36</v>
      </c>
      <c r="L36" s="238" t="s">
        <v>36</v>
      </c>
      <c r="M36" s="238" t="s">
        <v>36</v>
      </c>
      <c r="N36" s="238" t="s">
        <v>36</v>
      </c>
      <c r="O36" s="238"/>
      <c r="P36" s="238"/>
      <c r="Q36" s="238"/>
      <c r="R36" s="238"/>
      <c r="S36" s="238" t="s">
        <v>36</v>
      </c>
      <c r="T36" s="238"/>
      <c r="U36" s="238"/>
      <c r="V36" s="238"/>
      <c r="W36" s="238" t="s">
        <v>36</v>
      </c>
      <c r="X36" s="238" t="s">
        <v>36</v>
      </c>
      <c r="Y36" s="238"/>
      <c r="Z36" s="238" t="s">
        <v>36</v>
      </c>
      <c r="AA36" s="238" t="s">
        <v>36</v>
      </c>
      <c r="AB36" s="238"/>
      <c r="AC36" s="168">
        <f t="shared" si="4"/>
        <v>14</v>
      </c>
      <c r="AD36" s="122">
        <v>417876</v>
      </c>
      <c r="AE36" s="123">
        <f t="shared" si="3"/>
        <v>2089.38</v>
      </c>
      <c r="AF36" s="157"/>
      <c r="AG36" s="164"/>
    </row>
    <row r="37" spans="1:33">
      <c r="A37" s="103">
        <v>25.1</v>
      </c>
      <c r="B37" s="112" t="s">
        <v>116</v>
      </c>
      <c r="C37" s="100" t="s">
        <v>117</v>
      </c>
      <c r="D37" s="165" t="s">
        <v>51</v>
      </c>
      <c r="E37" s="163" t="s">
        <v>78</v>
      </c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  <c r="AA37" s="238"/>
      <c r="AB37" s="238"/>
      <c r="AC37" s="168"/>
      <c r="AD37" s="122">
        <v>5075</v>
      </c>
      <c r="AE37" s="123">
        <f t="shared" si="3"/>
        <v>25.375</v>
      </c>
      <c r="AF37" s="157"/>
      <c r="AG37" s="164"/>
    </row>
    <row r="38" spans="1:33">
      <c r="A38" s="103">
        <v>26</v>
      </c>
      <c r="B38" s="165" t="s">
        <v>118</v>
      </c>
      <c r="C38" s="158" t="s">
        <v>119</v>
      </c>
      <c r="D38" s="165" t="s">
        <v>34</v>
      </c>
      <c r="E38" s="163" t="s">
        <v>120</v>
      </c>
      <c r="F38" s="238"/>
      <c r="G38" s="238" t="s">
        <v>36</v>
      </c>
      <c r="H38" s="238"/>
      <c r="I38" s="238" t="s">
        <v>36</v>
      </c>
      <c r="J38" s="238"/>
      <c r="K38" s="238"/>
      <c r="L38" s="238" t="s">
        <v>36</v>
      </c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>
        <f t="shared" ref="AC38:AC46" si="5">COUNTIF(F38:AB38,"X")</f>
        <v>3</v>
      </c>
      <c r="AD38" s="122">
        <v>11</v>
      </c>
      <c r="AE38" s="123">
        <f t="shared" si="3"/>
        <v>5.5E-2</v>
      </c>
      <c r="AF38" s="157"/>
      <c r="AG38" s="164"/>
    </row>
    <row r="39" spans="1:33">
      <c r="A39" s="103">
        <v>27</v>
      </c>
      <c r="B39" s="165" t="s">
        <v>121</v>
      </c>
      <c r="C39" s="158" t="s">
        <v>122</v>
      </c>
      <c r="D39" s="165" t="s">
        <v>82</v>
      </c>
      <c r="E39" s="163" t="s">
        <v>120</v>
      </c>
      <c r="F39" s="238" t="s">
        <v>36</v>
      </c>
      <c r="G39" s="238"/>
      <c r="H39" s="238" t="s">
        <v>36</v>
      </c>
      <c r="I39" s="238" t="s">
        <v>36</v>
      </c>
      <c r="J39" s="238"/>
      <c r="K39" s="238"/>
      <c r="L39" s="238" t="s">
        <v>36</v>
      </c>
      <c r="M39" s="238" t="s">
        <v>36</v>
      </c>
      <c r="N39" s="238"/>
      <c r="O39" s="238"/>
      <c r="P39" s="238"/>
      <c r="Q39" s="238" t="s">
        <v>36</v>
      </c>
      <c r="R39" s="238" t="s">
        <v>36</v>
      </c>
      <c r="S39" s="238" t="s">
        <v>36</v>
      </c>
      <c r="T39" s="238"/>
      <c r="U39" s="238"/>
      <c r="V39" s="238"/>
      <c r="W39" s="238"/>
      <c r="X39" s="238"/>
      <c r="Y39" s="238"/>
      <c r="Z39" s="238"/>
      <c r="AA39" s="238" t="s">
        <v>36</v>
      </c>
      <c r="AB39" s="238"/>
      <c r="AC39" s="238">
        <f t="shared" si="5"/>
        <v>9</v>
      </c>
      <c r="AD39" s="122">
        <v>230271</v>
      </c>
      <c r="AE39" s="123">
        <f t="shared" si="3"/>
        <v>1151.355</v>
      </c>
      <c r="AF39" s="157"/>
      <c r="AG39" s="164"/>
    </row>
    <row r="40" spans="1:33">
      <c r="A40" s="103">
        <v>28</v>
      </c>
      <c r="B40" s="165" t="s">
        <v>123</v>
      </c>
      <c r="C40" s="158" t="s">
        <v>124</v>
      </c>
      <c r="D40" s="165" t="s">
        <v>40</v>
      </c>
      <c r="E40" s="163" t="s">
        <v>120</v>
      </c>
      <c r="F40" s="238"/>
      <c r="G40" s="238"/>
      <c r="H40" s="238" t="s">
        <v>36</v>
      </c>
      <c r="I40" s="238" t="s">
        <v>36</v>
      </c>
      <c r="J40" s="238"/>
      <c r="K40" s="238"/>
      <c r="L40" s="238" t="s">
        <v>36</v>
      </c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8">
        <f t="shared" si="5"/>
        <v>3</v>
      </c>
      <c r="AD40" s="122">
        <v>374</v>
      </c>
      <c r="AE40" s="123">
        <f t="shared" si="3"/>
        <v>1.87</v>
      </c>
      <c r="AF40" s="157"/>
      <c r="AG40" s="164"/>
    </row>
    <row r="41" spans="1:33">
      <c r="A41" s="103">
        <v>29</v>
      </c>
      <c r="B41" s="165" t="s">
        <v>125</v>
      </c>
      <c r="C41" s="158" t="s">
        <v>126</v>
      </c>
      <c r="D41" s="165" t="s">
        <v>40</v>
      </c>
      <c r="E41" s="163" t="s">
        <v>120</v>
      </c>
      <c r="F41" s="238"/>
      <c r="G41" s="238"/>
      <c r="H41" s="238"/>
      <c r="I41" s="238" t="s">
        <v>36</v>
      </c>
      <c r="J41" s="238"/>
      <c r="K41" s="238"/>
      <c r="L41" s="238" t="s">
        <v>36</v>
      </c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8">
        <f t="shared" si="5"/>
        <v>2</v>
      </c>
      <c r="AD41" s="122">
        <v>244</v>
      </c>
      <c r="AE41" s="123">
        <f t="shared" si="3"/>
        <v>1.22</v>
      </c>
      <c r="AF41" s="157"/>
      <c r="AG41" s="164"/>
    </row>
    <row r="42" spans="1:33">
      <c r="A42" s="152">
        <v>30</v>
      </c>
      <c r="B42" s="146" t="s">
        <v>127</v>
      </c>
      <c r="C42" s="147" t="s">
        <v>128</v>
      </c>
      <c r="D42" s="146" t="s">
        <v>34</v>
      </c>
      <c r="E42" s="142" t="s">
        <v>120</v>
      </c>
      <c r="F42" s="238"/>
      <c r="G42" s="238"/>
      <c r="H42" s="238"/>
      <c r="I42" s="238"/>
      <c r="J42" s="238"/>
      <c r="K42" s="238"/>
      <c r="L42" s="238"/>
      <c r="M42" s="238" t="s">
        <v>36</v>
      </c>
      <c r="N42" s="238"/>
      <c r="O42" s="238"/>
      <c r="P42" s="238"/>
      <c r="Q42" s="238"/>
      <c r="R42" s="238" t="s">
        <v>36</v>
      </c>
      <c r="S42" s="238"/>
      <c r="T42" s="238"/>
      <c r="U42" s="238"/>
      <c r="V42" s="238"/>
      <c r="W42" s="238"/>
      <c r="X42" s="238"/>
      <c r="Y42" s="238"/>
      <c r="Z42" s="238"/>
      <c r="AA42" s="238"/>
      <c r="AB42" s="238"/>
      <c r="AC42" s="238">
        <f t="shared" si="5"/>
        <v>2</v>
      </c>
      <c r="AD42" s="122">
        <v>4</v>
      </c>
      <c r="AE42" s="123">
        <f t="shared" si="3"/>
        <v>0.02</v>
      </c>
      <c r="AF42" s="157" t="s">
        <v>129</v>
      </c>
      <c r="AG42" s="164"/>
    </row>
    <row r="43" spans="1:33">
      <c r="A43" s="152">
        <v>31</v>
      </c>
      <c r="B43" s="146" t="s">
        <v>130</v>
      </c>
      <c r="C43" s="147" t="s">
        <v>131</v>
      </c>
      <c r="D43" s="146" t="s">
        <v>51</v>
      </c>
      <c r="E43" s="142" t="s">
        <v>120</v>
      </c>
      <c r="F43" s="238"/>
      <c r="G43" s="238"/>
      <c r="H43" s="238"/>
      <c r="I43" s="238" t="s">
        <v>36</v>
      </c>
      <c r="J43" s="238"/>
      <c r="K43" s="238"/>
      <c r="L43" s="238" t="s">
        <v>36</v>
      </c>
      <c r="M43" s="238" t="s">
        <v>36</v>
      </c>
      <c r="N43" s="238"/>
      <c r="O43" s="238"/>
      <c r="P43" s="238"/>
      <c r="Q43" s="238"/>
      <c r="R43" s="238" t="s">
        <v>36</v>
      </c>
      <c r="S43" s="238"/>
      <c r="T43" s="238"/>
      <c r="U43" s="238"/>
      <c r="V43" s="238"/>
      <c r="W43" s="238"/>
      <c r="X43" s="238"/>
      <c r="Y43" s="238"/>
      <c r="Z43" s="238"/>
      <c r="AA43" s="238"/>
      <c r="AB43" s="238"/>
      <c r="AC43" s="238">
        <f t="shared" si="5"/>
        <v>4</v>
      </c>
      <c r="AD43" s="122">
        <v>10</v>
      </c>
      <c r="AE43" s="123">
        <f t="shared" si="3"/>
        <v>0.05</v>
      </c>
      <c r="AF43" s="157" t="s">
        <v>129</v>
      </c>
      <c r="AG43" s="164"/>
    </row>
    <row r="44" spans="1:33">
      <c r="A44" s="103">
        <v>32</v>
      </c>
      <c r="B44" s="165" t="s">
        <v>132</v>
      </c>
      <c r="C44" s="158" t="s">
        <v>133</v>
      </c>
      <c r="D44" s="165" t="s">
        <v>34</v>
      </c>
      <c r="E44" s="163" t="s">
        <v>120</v>
      </c>
      <c r="F44" s="238"/>
      <c r="G44" s="238"/>
      <c r="H44" s="238" t="s">
        <v>36</v>
      </c>
      <c r="I44" s="238" t="s">
        <v>36</v>
      </c>
      <c r="J44" s="238"/>
      <c r="K44" s="238"/>
      <c r="L44" s="238" t="s">
        <v>36</v>
      </c>
      <c r="M44" s="238" t="s">
        <v>36</v>
      </c>
      <c r="N44" s="238"/>
      <c r="O44" s="238"/>
      <c r="P44" s="238"/>
      <c r="Q44" s="238"/>
      <c r="R44" s="238" t="s">
        <v>36</v>
      </c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>
        <f t="shared" si="5"/>
        <v>5</v>
      </c>
      <c r="AD44" s="122">
        <v>13</v>
      </c>
      <c r="AE44" s="123">
        <f t="shared" si="3"/>
        <v>6.5000000000000002E-2</v>
      </c>
      <c r="AF44" s="157"/>
      <c r="AG44" s="164"/>
    </row>
    <row r="45" spans="1:33">
      <c r="A45" s="137">
        <v>33</v>
      </c>
      <c r="B45" s="165" t="s">
        <v>134</v>
      </c>
      <c r="C45" s="158" t="s">
        <v>135</v>
      </c>
      <c r="D45" s="165" t="s">
        <v>115</v>
      </c>
      <c r="E45" s="163" t="s">
        <v>120</v>
      </c>
      <c r="F45" s="238"/>
      <c r="G45" s="238"/>
      <c r="H45" s="238"/>
      <c r="I45" s="238" t="s">
        <v>36</v>
      </c>
      <c r="J45" s="238"/>
      <c r="K45" s="238"/>
      <c r="L45" s="238" t="s">
        <v>36</v>
      </c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8">
        <f t="shared" si="5"/>
        <v>2</v>
      </c>
      <c r="AD45" s="122">
        <v>1197</v>
      </c>
      <c r="AE45" s="123">
        <f t="shared" si="3"/>
        <v>5.9850000000000003</v>
      </c>
      <c r="AF45" s="157"/>
      <c r="AG45" s="164"/>
    </row>
    <row r="46" spans="1:33">
      <c r="A46" s="137">
        <v>34</v>
      </c>
      <c r="B46" s="165" t="s">
        <v>136</v>
      </c>
      <c r="C46" s="158" t="s">
        <v>137</v>
      </c>
      <c r="D46" s="165" t="s">
        <v>43</v>
      </c>
      <c r="E46" s="163" t="s">
        <v>120</v>
      </c>
      <c r="F46" s="238"/>
      <c r="G46" s="238"/>
      <c r="H46" s="238"/>
      <c r="I46" s="238" t="s">
        <v>36</v>
      </c>
      <c r="J46" s="238"/>
      <c r="K46" s="238"/>
      <c r="L46" s="238" t="s">
        <v>36</v>
      </c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C46" s="238">
        <f t="shared" si="5"/>
        <v>2</v>
      </c>
      <c r="AD46" s="122">
        <v>1000</v>
      </c>
      <c r="AE46" s="123">
        <f t="shared" si="3"/>
        <v>5</v>
      </c>
      <c r="AF46" s="157"/>
      <c r="AG46" s="164"/>
    </row>
    <row r="47" spans="1:33">
      <c r="A47" s="103">
        <v>34.1</v>
      </c>
      <c r="B47" s="178" t="s">
        <v>138</v>
      </c>
      <c r="C47" s="158" t="s">
        <v>139</v>
      </c>
      <c r="D47" s="165" t="s">
        <v>51</v>
      </c>
      <c r="E47" s="163" t="s">
        <v>120</v>
      </c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168"/>
      <c r="AD47" s="122">
        <v>55</v>
      </c>
      <c r="AE47" s="123">
        <f t="shared" si="3"/>
        <v>0.27500000000000002</v>
      </c>
      <c r="AF47" s="157"/>
      <c r="AG47" s="164"/>
    </row>
    <row r="48" spans="1:33">
      <c r="A48" s="103">
        <v>34.200000000000003</v>
      </c>
      <c r="B48" s="178" t="s">
        <v>140</v>
      </c>
      <c r="C48" s="158" t="s">
        <v>141</v>
      </c>
      <c r="D48" s="165" t="s">
        <v>51</v>
      </c>
      <c r="E48" s="163" t="s">
        <v>120</v>
      </c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Y48" s="238"/>
      <c r="Z48" s="238"/>
      <c r="AA48" s="238"/>
      <c r="AB48" s="238"/>
      <c r="AC48" s="168"/>
      <c r="AD48" s="122">
        <v>200</v>
      </c>
      <c r="AE48" s="123">
        <f t="shared" si="3"/>
        <v>1</v>
      </c>
      <c r="AF48" s="157"/>
      <c r="AG48" s="164"/>
    </row>
    <row r="49" spans="1:33">
      <c r="A49" s="103">
        <v>35</v>
      </c>
      <c r="B49" s="165" t="s">
        <v>142</v>
      </c>
      <c r="C49" s="158" t="s">
        <v>143</v>
      </c>
      <c r="D49" s="165" t="s">
        <v>115</v>
      </c>
      <c r="E49" s="163" t="s">
        <v>120</v>
      </c>
      <c r="F49" s="238"/>
      <c r="G49" s="238"/>
      <c r="H49" s="238"/>
      <c r="I49" s="238" t="s">
        <v>36</v>
      </c>
      <c r="J49" s="238"/>
      <c r="K49" s="238"/>
      <c r="L49" s="238" t="s">
        <v>36</v>
      </c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>
        <f>COUNTIF(F49:AB49,"X")</f>
        <v>2</v>
      </c>
      <c r="AD49" s="122">
        <v>134</v>
      </c>
      <c r="AE49" s="123">
        <f t="shared" si="3"/>
        <v>0.67</v>
      </c>
      <c r="AF49" s="157"/>
      <c r="AG49" s="164"/>
    </row>
    <row r="50" spans="1:33">
      <c r="A50" s="103">
        <v>36</v>
      </c>
      <c r="B50" s="165" t="s">
        <v>144</v>
      </c>
      <c r="C50" s="158" t="s">
        <v>145</v>
      </c>
      <c r="D50" s="165" t="s">
        <v>43</v>
      </c>
      <c r="E50" s="163" t="s">
        <v>120</v>
      </c>
      <c r="F50" s="238"/>
      <c r="G50" s="238"/>
      <c r="H50" s="238"/>
      <c r="I50" s="238" t="s">
        <v>36</v>
      </c>
      <c r="J50" s="238"/>
      <c r="K50" s="238"/>
      <c r="L50" s="238" t="s">
        <v>36</v>
      </c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>
        <f>COUNTIF(F50:AB50,"X")</f>
        <v>2</v>
      </c>
      <c r="AD50" s="122">
        <v>222</v>
      </c>
      <c r="AE50" s="123">
        <f t="shared" si="3"/>
        <v>1.1100000000000001</v>
      </c>
      <c r="AF50" s="157"/>
      <c r="AG50" s="164"/>
    </row>
    <row r="51" spans="1:33">
      <c r="A51" s="103">
        <v>36.1</v>
      </c>
      <c r="B51" s="178" t="s">
        <v>146</v>
      </c>
      <c r="C51" s="102" t="s">
        <v>147</v>
      </c>
      <c r="D51" s="165" t="s">
        <v>51</v>
      </c>
      <c r="E51" s="163" t="s">
        <v>120</v>
      </c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168"/>
      <c r="AD51" s="122">
        <v>0</v>
      </c>
      <c r="AE51" s="123">
        <f t="shared" si="3"/>
        <v>0</v>
      </c>
      <c r="AF51" s="157"/>
      <c r="AG51" s="164"/>
    </row>
    <row r="52" spans="1:33">
      <c r="A52" s="103">
        <v>36.200000000000003</v>
      </c>
      <c r="B52" s="178" t="s">
        <v>148</v>
      </c>
      <c r="C52" s="106" t="s">
        <v>149</v>
      </c>
      <c r="D52" s="101" t="s">
        <v>51</v>
      </c>
      <c r="E52" s="163" t="s">
        <v>120</v>
      </c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168"/>
      <c r="AD52" s="165"/>
      <c r="AE52" s="165"/>
      <c r="AF52" s="157"/>
      <c r="AG52" s="164"/>
    </row>
    <row r="53" spans="1:33">
      <c r="A53" s="103">
        <v>37</v>
      </c>
      <c r="B53" s="165" t="s">
        <v>150</v>
      </c>
      <c r="C53" s="102" t="s">
        <v>151</v>
      </c>
      <c r="D53" s="165" t="s">
        <v>115</v>
      </c>
      <c r="E53" s="163" t="s">
        <v>120</v>
      </c>
      <c r="F53" s="238"/>
      <c r="G53" s="238"/>
      <c r="H53" s="238" t="s">
        <v>36</v>
      </c>
      <c r="I53" s="238" t="s">
        <v>36</v>
      </c>
      <c r="J53" s="238"/>
      <c r="K53" s="238"/>
      <c r="L53" s="238" t="s">
        <v>36</v>
      </c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>
        <f>COUNTIF(F53:AB53,"X")</f>
        <v>3</v>
      </c>
      <c r="AD53" s="122">
        <v>292</v>
      </c>
      <c r="AE53" s="123">
        <f t="shared" ref="AE53:AE58" si="6" xml:space="preserve"> (AD53/200)</f>
        <v>1.46</v>
      </c>
      <c r="AF53" s="157"/>
      <c r="AG53" s="164"/>
    </row>
    <row r="54" spans="1:33">
      <c r="A54" s="103">
        <v>38</v>
      </c>
      <c r="B54" s="165" t="s">
        <v>152</v>
      </c>
      <c r="C54" s="102" t="s">
        <v>153</v>
      </c>
      <c r="D54" s="165" t="s">
        <v>34</v>
      </c>
      <c r="E54" s="163" t="s">
        <v>120</v>
      </c>
      <c r="F54" s="238"/>
      <c r="G54" s="238"/>
      <c r="H54" s="238"/>
      <c r="I54" s="238" t="s">
        <v>36</v>
      </c>
      <c r="J54" s="238"/>
      <c r="K54" s="238"/>
      <c r="L54" s="238" t="s">
        <v>36</v>
      </c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Y54" s="238"/>
      <c r="Z54" s="238"/>
      <c r="AA54" s="238"/>
      <c r="AB54" s="238"/>
      <c r="AC54" s="238">
        <f>COUNTIF(F54:AB54,"X")</f>
        <v>2</v>
      </c>
      <c r="AD54" s="122">
        <v>6</v>
      </c>
      <c r="AE54" s="123">
        <f t="shared" si="6"/>
        <v>0.03</v>
      </c>
      <c r="AF54" s="157"/>
      <c r="AG54" s="164"/>
    </row>
    <row r="55" spans="1:33">
      <c r="A55" s="152">
        <v>39</v>
      </c>
      <c r="B55" s="146" t="s">
        <v>154</v>
      </c>
      <c r="C55" s="153" t="s">
        <v>155</v>
      </c>
      <c r="D55" s="146" t="s">
        <v>34</v>
      </c>
      <c r="E55" s="142" t="s">
        <v>156</v>
      </c>
      <c r="F55" s="238"/>
      <c r="G55" s="238"/>
      <c r="H55" s="238"/>
      <c r="I55" s="238"/>
      <c r="J55" s="238"/>
      <c r="K55" s="238"/>
      <c r="L55" s="238" t="s">
        <v>36</v>
      </c>
      <c r="M55" s="238"/>
      <c r="N55" s="238"/>
      <c r="O55" s="238"/>
      <c r="P55" s="238" t="s">
        <v>36</v>
      </c>
      <c r="Q55" s="238" t="s">
        <v>36</v>
      </c>
      <c r="R55" s="238" t="s">
        <v>36</v>
      </c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>
        <f>COUNTIF(F55:AB55,"X")</f>
        <v>4</v>
      </c>
      <c r="AD55" s="122">
        <v>5</v>
      </c>
      <c r="AE55" s="123">
        <f t="shared" si="6"/>
        <v>2.5000000000000001E-2</v>
      </c>
      <c r="AF55" s="157" t="s">
        <v>129</v>
      </c>
      <c r="AG55" s="164"/>
    </row>
    <row r="56" spans="1:33">
      <c r="A56" s="152">
        <v>39.1</v>
      </c>
      <c r="B56" s="156" t="s">
        <v>157</v>
      </c>
      <c r="C56" s="155" t="s">
        <v>158</v>
      </c>
      <c r="D56" s="146" t="s">
        <v>51</v>
      </c>
      <c r="E56" s="142" t="s">
        <v>156</v>
      </c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/>
      <c r="AA56" s="238"/>
      <c r="AB56" s="238"/>
      <c r="AC56" s="168"/>
      <c r="AD56" s="122">
        <v>0</v>
      </c>
      <c r="AE56" s="123">
        <f t="shared" si="6"/>
        <v>0</v>
      </c>
      <c r="AF56" s="157"/>
      <c r="AG56" s="164"/>
    </row>
    <row r="57" spans="1:33">
      <c r="A57" s="103">
        <v>40</v>
      </c>
      <c r="B57" s="165" t="s">
        <v>159</v>
      </c>
      <c r="C57" s="102" t="s">
        <v>160</v>
      </c>
      <c r="D57" s="165" t="s">
        <v>43</v>
      </c>
      <c r="E57" s="163" t="s">
        <v>156</v>
      </c>
      <c r="F57" s="238"/>
      <c r="G57" s="238"/>
      <c r="H57" s="238"/>
      <c r="I57" s="238"/>
      <c r="J57" s="238"/>
      <c r="K57" s="238"/>
      <c r="L57" s="238" t="s">
        <v>36</v>
      </c>
      <c r="M57" s="238"/>
      <c r="N57" s="238"/>
      <c r="O57" s="238"/>
      <c r="P57" s="238" t="s">
        <v>36</v>
      </c>
      <c r="Q57" s="238" t="s">
        <v>36</v>
      </c>
      <c r="R57" s="238" t="s">
        <v>36</v>
      </c>
      <c r="S57" s="238"/>
      <c r="T57" s="238"/>
      <c r="U57" s="238"/>
      <c r="V57" s="238"/>
      <c r="W57" s="238"/>
      <c r="X57" s="238"/>
      <c r="Y57" s="238"/>
      <c r="Z57" s="238"/>
      <c r="AA57" s="238"/>
      <c r="AB57" s="238"/>
      <c r="AC57" s="238">
        <f>COUNTIF(F57:AB57,"X")</f>
        <v>4</v>
      </c>
      <c r="AD57" s="122">
        <v>300</v>
      </c>
      <c r="AE57" s="123">
        <f t="shared" si="6"/>
        <v>1.5</v>
      </c>
      <c r="AF57" s="157"/>
      <c r="AG57" s="164"/>
    </row>
    <row r="58" spans="1:33">
      <c r="A58" s="103">
        <v>41</v>
      </c>
      <c r="B58" s="174" t="s">
        <v>161</v>
      </c>
      <c r="C58" s="102" t="s">
        <v>162</v>
      </c>
      <c r="D58" s="165" t="s">
        <v>43</v>
      </c>
      <c r="E58" s="163" t="s">
        <v>156</v>
      </c>
      <c r="F58" s="238" t="s">
        <v>36</v>
      </c>
      <c r="G58" s="238" t="s">
        <v>36</v>
      </c>
      <c r="H58" s="238" t="s">
        <v>36</v>
      </c>
      <c r="I58" s="238" t="s">
        <v>36</v>
      </c>
      <c r="J58" s="238"/>
      <c r="K58" s="238"/>
      <c r="L58" s="238" t="s">
        <v>36</v>
      </c>
      <c r="M58" s="238" t="s">
        <v>36</v>
      </c>
      <c r="N58" s="238" t="s">
        <v>36</v>
      </c>
      <c r="O58" s="238"/>
      <c r="P58" s="238" t="s">
        <v>36</v>
      </c>
      <c r="Q58" s="238" t="s">
        <v>36</v>
      </c>
      <c r="R58" s="238" t="s">
        <v>36</v>
      </c>
      <c r="S58" s="238" t="s">
        <v>36</v>
      </c>
      <c r="T58" s="238"/>
      <c r="U58" s="238"/>
      <c r="V58" s="238"/>
      <c r="W58" s="238"/>
      <c r="X58" s="238"/>
      <c r="Y58" s="238"/>
      <c r="Z58" s="238" t="s">
        <v>36</v>
      </c>
      <c r="AA58" s="238" t="s">
        <v>36</v>
      </c>
      <c r="AB58" s="238"/>
      <c r="AC58" s="238">
        <f>COUNTIF(F58:AB58,"X")</f>
        <v>13</v>
      </c>
      <c r="AD58" s="122">
        <v>24479</v>
      </c>
      <c r="AE58" s="123">
        <f t="shared" si="6"/>
        <v>122.395</v>
      </c>
      <c r="AF58" s="120" t="s">
        <v>163</v>
      </c>
      <c r="AG58" s="164"/>
    </row>
    <row r="59" spans="1:33">
      <c r="A59" s="103">
        <v>41.1</v>
      </c>
      <c r="B59" s="175" t="s">
        <v>164</v>
      </c>
      <c r="C59" s="102" t="s">
        <v>165</v>
      </c>
      <c r="D59" s="165" t="s">
        <v>34</v>
      </c>
      <c r="E59" s="163" t="s">
        <v>156</v>
      </c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  <c r="AA59" s="238"/>
      <c r="AB59" s="238"/>
      <c r="AC59" s="168"/>
      <c r="AD59" s="165"/>
      <c r="AE59" s="165"/>
      <c r="AF59" s="157"/>
      <c r="AG59" s="164"/>
    </row>
    <row r="60" spans="1:33">
      <c r="A60" s="152">
        <v>42</v>
      </c>
      <c r="B60" s="146" t="s">
        <v>166</v>
      </c>
      <c r="C60" s="153" t="s">
        <v>167</v>
      </c>
      <c r="D60" s="146" t="s">
        <v>43</v>
      </c>
      <c r="E60" s="142" t="s">
        <v>156</v>
      </c>
      <c r="F60" s="238" t="s">
        <v>36</v>
      </c>
      <c r="G60" s="238" t="s">
        <v>36</v>
      </c>
      <c r="H60" s="238" t="s">
        <v>36</v>
      </c>
      <c r="I60" s="238" t="s">
        <v>36</v>
      </c>
      <c r="J60" s="238"/>
      <c r="K60" s="238"/>
      <c r="L60" s="238" t="s">
        <v>36</v>
      </c>
      <c r="M60" s="238" t="s">
        <v>36</v>
      </c>
      <c r="N60" s="238" t="s">
        <v>36</v>
      </c>
      <c r="O60" s="238"/>
      <c r="P60" s="238" t="s">
        <v>36</v>
      </c>
      <c r="Q60" s="238" t="s">
        <v>36</v>
      </c>
      <c r="R60" s="238" t="s">
        <v>36</v>
      </c>
      <c r="S60" s="238" t="s">
        <v>36</v>
      </c>
      <c r="T60" s="238"/>
      <c r="U60" s="238"/>
      <c r="V60" s="238"/>
      <c r="W60" s="238"/>
      <c r="X60" s="238"/>
      <c r="Y60" s="238"/>
      <c r="Z60" s="238" t="s">
        <v>36</v>
      </c>
      <c r="AA60" s="238" t="s">
        <v>36</v>
      </c>
      <c r="AB60" s="238"/>
      <c r="AC60" s="238">
        <f>COUNTIF(F60:AB60,"X")</f>
        <v>13</v>
      </c>
      <c r="AD60" s="122">
        <v>365</v>
      </c>
      <c r="AE60" s="123">
        <f t="shared" ref="AE60:AE65" si="7" xml:space="preserve"> (AD60/200)</f>
        <v>1.825</v>
      </c>
      <c r="AF60" s="157" t="s">
        <v>129</v>
      </c>
      <c r="AG60" s="164"/>
    </row>
    <row r="61" spans="1:33">
      <c r="A61" s="152">
        <v>42.1</v>
      </c>
      <c r="B61" s="154" t="s">
        <v>168</v>
      </c>
      <c r="C61" s="155" t="s">
        <v>169</v>
      </c>
      <c r="D61" s="146" t="s">
        <v>51</v>
      </c>
      <c r="E61" s="142" t="s">
        <v>156</v>
      </c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168"/>
      <c r="AD61" s="122">
        <v>0</v>
      </c>
      <c r="AE61" s="123">
        <f t="shared" si="7"/>
        <v>0</v>
      </c>
      <c r="AF61" s="157"/>
      <c r="AG61" s="164"/>
    </row>
    <row r="62" spans="1:33">
      <c r="A62" s="152">
        <v>42.2</v>
      </c>
      <c r="B62" s="154" t="s">
        <v>170</v>
      </c>
      <c r="C62" s="155" t="s">
        <v>171</v>
      </c>
      <c r="D62" s="146" t="s">
        <v>51</v>
      </c>
      <c r="E62" s="142" t="s">
        <v>156</v>
      </c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Y62" s="238"/>
      <c r="Z62" s="238"/>
      <c r="AA62" s="238"/>
      <c r="AB62" s="238"/>
      <c r="AC62" s="168"/>
      <c r="AD62" s="122">
        <v>365</v>
      </c>
      <c r="AE62" s="123">
        <f t="shared" si="7"/>
        <v>1.825</v>
      </c>
      <c r="AF62" s="157"/>
      <c r="AG62" s="164"/>
    </row>
    <row r="63" spans="1:33">
      <c r="A63" s="152">
        <v>42.3</v>
      </c>
      <c r="B63" s="154" t="s">
        <v>172</v>
      </c>
      <c r="C63" s="155" t="s">
        <v>173</v>
      </c>
      <c r="D63" s="146" t="s">
        <v>51</v>
      </c>
      <c r="E63" s="142" t="s">
        <v>156</v>
      </c>
      <c r="F63" s="238"/>
      <c r="G63" s="238"/>
      <c r="H63" s="238"/>
      <c r="I63" s="238"/>
      <c r="J63" s="238"/>
      <c r="K63" s="238"/>
      <c r="L63" s="238"/>
      <c r="M63" s="238"/>
      <c r="N63" s="238"/>
      <c r="O63" s="238"/>
      <c r="P63" s="238"/>
      <c r="Q63" s="238"/>
      <c r="R63" s="238"/>
      <c r="S63" s="238"/>
      <c r="T63" s="238"/>
      <c r="U63" s="238"/>
      <c r="V63" s="238"/>
      <c r="W63" s="238"/>
      <c r="X63" s="238"/>
      <c r="Y63" s="238"/>
      <c r="Z63" s="238"/>
      <c r="AA63" s="238"/>
      <c r="AB63" s="238"/>
      <c r="AC63" s="168"/>
      <c r="AD63" s="122">
        <v>0</v>
      </c>
      <c r="AE63" s="123">
        <f t="shared" si="7"/>
        <v>0</v>
      </c>
      <c r="AF63" s="157"/>
      <c r="AG63" s="164"/>
    </row>
    <row r="64" spans="1:33">
      <c r="A64" s="103">
        <v>43</v>
      </c>
      <c r="B64" s="165" t="s">
        <v>174</v>
      </c>
      <c r="C64" s="102" t="s">
        <v>175</v>
      </c>
      <c r="D64" s="165" t="s">
        <v>34</v>
      </c>
      <c r="E64" s="163" t="s">
        <v>156</v>
      </c>
      <c r="F64" s="238" t="s">
        <v>36</v>
      </c>
      <c r="G64" s="238" t="s">
        <v>36</v>
      </c>
      <c r="H64" s="238" t="s">
        <v>36</v>
      </c>
      <c r="I64" s="238" t="s">
        <v>36</v>
      </c>
      <c r="J64" s="238"/>
      <c r="K64" s="238"/>
      <c r="L64" s="238" t="s">
        <v>36</v>
      </c>
      <c r="M64" s="238" t="s">
        <v>36</v>
      </c>
      <c r="N64" s="238" t="s">
        <v>36</v>
      </c>
      <c r="O64" s="238"/>
      <c r="P64" s="238" t="s">
        <v>36</v>
      </c>
      <c r="Q64" s="238" t="s">
        <v>36</v>
      </c>
      <c r="R64" s="238" t="s">
        <v>36</v>
      </c>
      <c r="S64" s="238" t="s">
        <v>36</v>
      </c>
      <c r="T64" s="238"/>
      <c r="U64" s="238"/>
      <c r="V64" s="238"/>
      <c r="W64" s="238"/>
      <c r="X64" s="238" t="s">
        <v>36</v>
      </c>
      <c r="Y64" s="238"/>
      <c r="Z64" s="238" t="s">
        <v>36</v>
      </c>
      <c r="AA64" s="238" t="s">
        <v>36</v>
      </c>
      <c r="AB64" s="238"/>
      <c r="AC64" s="238">
        <f>COUNTIF(F64:AB64,"X")</f>
        <v>14</v>
      </c>
      <c r="AD64" s="122">
        <v>15930</v>
      </c>
      <c r="AE64" s="123">
        <f t="shared" si="7"/>
        <v>79.650000000000006</v>
      </c>
      <c r="AF64" s="157"/>
      <c r="AG64" s="164"/>
    </row>
    <row r="65" spans="1:33">
      <c r="A65" s="103">
        <v>44</v>
      </c>
      <c r="B65" s="174" t="s">
        <v>176</v>
      </c>
      <c r="C65" s="102" t="s">
        <v>177</v>
      </c>
      <c r="D65" s="174" t="s">
        <v>82</v>
      </c>
      <c r="E65" s="163" t="s">
        <v>156</v>
      </c>
      <c r="F65" s="238" t="s">
        <v>36</v>
      </c>
      <c r="G65" s="238" t="s">
        <v>36</v>
      </c>
      <c r="H65" s="238" t="s">
        <v>36</v>
      </c>
      <c r="I65" s="238" t="s">
        <v>36</v>
      </c>
      <c r="J65" s="238" t="s">
        <v>36</v>
      </c>
      <c r="K65" s="238" t="s">
        <v>36</v>
      </c>
      <c r="L65" s="238" t="s">
        <v>36</v>
      </c>
      <c r="M65" s="238" t="s">
        <v>36</v>
      </c>
      <c r="N65" s="238" t="s">
        <v>36</v>
      </c>
      <c r="O65" s="238"/>
      <c r="P65" s="238" t="s">
        <v>36</v>
      </c>
      <c r="Q65" s="238" t="s">
        <v>36</v>
      </c>
      <c r="R65" s="238" t="s">
        <v>36</v>
      </c>
      <c r="S65" s="238" t="s">
        <v>36</v>
      </c>
      <c r="T65" s="238"/>
      <c r="U65" s="238"/>
      <c r="V65" s="238"/>
      <c r="W65" s="238"/>
      <c r="X65" s="238" t="s">
        <v>36</v>
      </c>
      <c r="Y65" s="238"/>
      <c r="Z65" s="238" t="s">
        <v>36</v>
      </c>
      <c r="AA65" s="238" t="s">
        <v>36</v>
      </c>
      <c r="AB65" s="238"/>
      <c r="AC65" s="238">
        <f>COUNTIF(F65:AB65,"X")</f>
        <v>16</v>
      </c>
      <c r="AD65" s="122">
        <v>347492</v>
      </c>
      <c r="AE65" s="123">
        <f t="shared" si="7"/>
        <v>1737.46</v>
      </c>
      <c r="AF65" s="157"/>
      <c r="AG65" s="164"/>
    </row>
    <row r="66" spans="1:33">
      <c r="A66" s="103">
        <v>44.1</v>
      </c>
      <c r="B66" s="175" t="s">
        <v>178</v>
      </c>
      <c r="C66" s="102"/>
      <c r="D66" s="174" t="s">
        <v>40</v>
      </c>
      <c r="E66" s="163" t="s">
        <v>156</v>
      </c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  <c r="AA66" s="238"/>
      <c r="AB66" s="238"/>
      <c r="AC66" s="168"/>
      <c r="AD66" s="165"/>
      <c r="AE66" s="165"/>
      <c r="AF66" s="157"/>
      <c r="AG66" s="164"/>
    </row>
    <row r="67" spans="1:33">
      <c r="A67" s="103">
        <v>44.2</v>
      </c>
      <c r="B67" s="175" t="s">
        <v>179</v>
      </c>
      <c r="C67" s="102" t="s">
        <v>180</v>
      </c>
      <c r="D67" s="174" t="s">
        <v>51</v>
      </c>
      <c r="E67" s="163" t="s">
        <v>156</v>
      </c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8"/>
      <c r="R67" s="238"/>
      <c r="S67" s="238"/>
      <c r="T67" s="238"/>
      <c r="U67" s="238"/>
      <c r="V67" s="238"/>
      <c r="W67" s="238"/>
      <c r="X67" s="238"/>
      <c r="Y67" s="238"/>
      <c r="Z67" s="238"/>
      <c r="AA67" s="238"/>
      <c r="AB67" s="238"/>
      <c r="AC67" s="168"/>
      <c r="AD67" s="122">
        <v>4752</v>
      </c>
      <c r="AE67" s="123">
        <f t="shared" ref="AE67:AE76" si="8" xml:space="preserve"> (AD67/200)</f>
        <v>23.76</v>
      </c>
      <c r="AF67" s="157"/>
      <c r="AG67" s="164"/>
    </row>
    <row r="68" spans="1:33">
      <c r="A68" s="103">
        <v>44.3</v>
      </c>
      <c r="B68" s="175" t="s">
        <v>181</v>
      </c>
      <c r="C68" s="102" t="s">
        <v>182</v>
      </c>
      <c r="D68" s="174" t="s">
        <v>40</v>
      </c>
      <c r="E68" s="163" t="s">
        <v>156</v>
      </c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8"/>
      <c r="R68" s="238"/>
      <c r="S68" s="238"/>
      <c r="T68" s="238"/>
      <c r="U68" s="238"/>
      <c r="V68" s="238"/>
      <c r="W68" s="238"/>
      <c r="X68" s="238"/>
      <c r="Y68" s="238"/>
      <c r="Z68" s="238"/>
      <c r="AA68" s="238"/>
      <c r="AB68" s="238"/>
      <c r="AC68" s="168"/>
      <c r="AD68" s="122">
        <v>130543</v>
      </c>
      <c r="AE68" s="123">
        <f t="shared" si="8"/>
        <v>652.71500000000003</v>
      </c>
      <c r="AF68" s="157"/>
      <c r="AG68" s="164"/>
    </row>
    <row r="69" spans="1:33">
      <c r="A69" s="103">
        <v>44.4</v>
      </c>
      <c r="B69" s="175" t="s">
        <v>183</v>
      </c>
      <c r="C69" s="106" t="s">
        <v>184</v>
      </c>
      <c r="D69" s="101" t="s">
        <v>51</v>
      </c>
      <c r="E69" s="163" t="s">
        <v>156</v>
      </c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8"/>
      <c r="S69" s="238"/>
      <c r="T69" s="238"/>
      <c r="U69" s="238"/>
      <c r="V69" s="238"/>
      <c r="W69" s="238"/>
      <c r="X69" s="238"/>
      <c r="Y69" s="238"/>
      <c r="Z69" s="238"/>
      <c r="AA69" s="238"/>
      <c r="AB69" s="238"/>
      <c r="AC69" s="168"/>
      <c r="AD69" s="122">
        <v>16761</v>
      </c>
      <c r="AE69" s="123">
        <f t="shared" si="8"/>
        <v>83.805000000000007</v>
      </c>
      <c r="AF69" s="157"/>
      <c r="AG69" s="164"/>
    </row>
    <row r="70" spans="1:33">
      <c r="A70" s="103">
        <v>45</v>
      </c>
      <c r="B70" s="174" t="s">
        <v>185</v>
      </c>
      <c r="C70" s="158" t="s">
        <v>186</v>
      </c>
      <c r="D70" s="174" t="s">
        <v>34</v>
      </c>
      <c r="E70" s="163" t="s">
        <v>156</v>
      </c>
      <c r="F70" s="238" t="s">
        <v>36</v>
      </c>
      <c r="G70" s="238" t="s">
        <v>36</v>
      </c>
      <c r="H70" s="238" t="s">
        <v>36</v>
      </c>
      <c r="I70" s="238" t="s">
        <v>36</v>
      </c>
      <c r="J70" s="238"/>
      <c r="K70" s="238"/>
      <c r="L70" s="238" t="s">
        <v>36</v>
      </c>
      <c r="M70" s="238" t="s">
        <v>36</v>
      </c>
      <c r="N70" s="238" t="s">
        <v>36</v>
      </c>
      <c r="O70" s="238"/>
      <c r="P70" s="238" t="s">
        <v>36</v>
      </c>
      <c r="Q70" s="238" t="s">
        <v>36</v>
      </c>
      <c r="R70" s="238" t="s">
        <v>36</v>
      </c>
      <c r="S70" s="238" t="s">
        <v>36</v>
      </c>
      <c r="T70" s="238"/>
      <c r="U70" s="238"/>
      <c r="V70" s="238"/>
      <c r="W70" s="238"/>
      <c r="X70" s="238"/>
      <c r="Y70" s="238"/>
      <c r="Z70" s="238" t="s">
        <v>36</v>
      </c>
      <c r="AA70" s="238" t="s">
        <v>36</v>
      </c>
      <c r="AB70" s="238"/>
      <c r="AC70" s="238">
        <f t="shared" ref="AC70:AC75" si="9">COUNTIF(F70:AB70,"X")</f>
        <v>13</v>
      </c>
      <c r="AD70" s="122">
        <v>6007</v>
      </c>
      <c r="AE70" s="123">
        <f t="shared" si="8"/>
        <v>30.035</v>
      </c>
      <c r="AF70" s="157"/>
      <c r="AG70" s="164"/>
    </row>
    <row r="71" spans="1:33">
      <c r="A71" s="103">
        <v>46</v>
      </c>
      <c r="B71" s="165" t="s">
        <v>187</v>
      </c>
      <c r="C71" s="158" t="s">
        <v>188</v>
      </c>
      <c r="D71" s="165" t="s">
        <v>51</v>
      </c>
      <c r="E71" s="163" t="s">
        <v>156</v>
      </c>
      <c r="F71" s="238" t="s">
        <v>36</v>
      </c>
      <c r="G71" s="238" t="s">
        <v>36</v>
      </c>
      <c r="H71" s="238" t="s">
        <v>36</v>
      </c>
      <c r="I71" s="238" t="s">
        <v>36</v>
      </c>
      <c r="J71" s="238"/>
      <c r="K71" s="238"/>
      <c r="L71" s="238" t="s">
        <v>36</v>
      </c>
      <c r="M71" s="238" t="s">
        <v>36</v>
      </c>
      <c r="N71" s="238" t="s">
        <v>36</v>
      </c>
      <c r="O71" s="238"/>
      <c r="P71" s="238" t="s">
        <v>36</v>
      </c>
      <c r="Q71" s="238" t="s">
        <v>36</v>
      </c>
      <c r="R71" s="238" t="s">
        <v>36</v>
      </c>
      <c r="S71" s="238" t="s">
        <v>36</v>
      </c>
      <c r="T71" s="238"/>
      <c r="U71" s="238"/>
      <c r="V71" s="238"/>
      <c r="W71" s="238"/>
      <c r="X71" s="238"/>
      <c r="Y71" s="238"/>
      <c r="Z71" s="238" t="s">
        <v>36</v>
      </c>
      <c r="AA71" s="238" t="s">
        <v>36</v>
      </c>
      <c r="AB71" s="238"/>
      <c r="AC71" s="238">
        <f t="shared" si="9"/>
        <v>13</v>
      </c>
      <c r="AD71" s="122">
        <v>6088</v>
      </c>
      <c r="AE71" s="123">
        <f t="shared" si="8"/>
        <v>30.44</v>
      </c>
      <c r="AF71" s="157"/>
      <c r="AG71" s="164"/>
    </row>
    <row r="72" spans="1:33">
      <c r="A72" s="103">
        <v>47</v>
      </c>
      <c r="B72" s="165" t="s">
        <v>189</v>
      </c>
      <c r="C72" s="158" t="s">
        <v>190</v>
      </c>
      <c r="D72" s="165" t="s">
        <v>51</v>
      </c>
      <c r="E72" s="163" t="s">
        <v>156</v>
      </c>
      <c r="F72" s="238" t="s">
        <v>36</v>
      </c>
      <c r="G72" s="238" t="s">
        <v>36</v>
      </c>
      <c r="H72" s="238" t="s">
        <v>36</v>
      </c>
      <c r="I72" s="238" t="s">
        <v>36</v>
      </c>
      <c r="J72" s="238"/>
      <c r="K72" s="238"/>
      <c r="L72" s="238" t="s">
        <v>36</v>
      </c>
      <c r="M72" s="238" t="s">
        <v>36</v>
      </c>
      <c r="N72" s="238" t="s">
        <v>36</v>
      </c>
      <c r="O72" s="238"/>
      <c r="P72" s="238" t="s">
        <v>36</v>
      </c>
      <c r="Q72" s="238" t="s">
        <v>36</v>
      </c>
      <c r="R72" s="238" t="s">
        <v>36</v>
      </c>
      <c r="S72" s="238" t="s">
        <v>36</v>
      </c>
      <c r="T72" s="238"/>
      <c r="U72" s="238"/>
      <c r="V72" s="238"/>
      <c r="W72" s="238"/>
      <c r="X72" s="238" t="s">
        <v>36</v>
      </c>
      <c r="Y72" s="238"/>
      <c r="Z72" s="238" t="s">
        <v>36</v>
      </c>
      <c r="AA72" s="238" t="s">
        <v>36</v>
      </c>
      <c r="AB72" s="238"/>
      <c r="AC72" s="238">
        <f t="shared" si="9"/>
        <v>14</v>
      </c>
      <c r="AD72" s="122">
        <v>15297</v>
      </c>
      <c r="AE72" s="123">
        <f t="shared" si="8"/>
        <v>76.484999999999999</v>
      </c>
      <c r="AF72" s="157"/>
      <c r="AG72" s="164"/>
    </row>
    <row r="73" spans="1:33">
      <c r="A73" s="103">
        <v>48</v>
      </c>
      <c r="B73" s="165" t="s">
        <v>191</v>
      </c>
      <c r="C73" s="158" t="s">
        <v>192</v>
      </c>
      <c r="D73" s="165" t="s">
        <v>34</v>
      </c>
      <c r="E73" s="163" t="s">
        <v>156</v>
      </c>
      <c r="F73" s="238" t="s">
        <v>36</v>
      </c>
      <c r="G73" s="238" t="s">
        <v>36</v>
      </c>
      <c r="H73" s="238" t="s">
        <v>36</v>
      </c>
      <c r="I73" s="238" t="s">
        <v>36</v>
      </c>
      <c r="J73" s="238"/>
      <c r="K73" s="238"/>
      <c r="L73" s="238" t="s">
        <v>36</v>
      </c>
      <c r="M73" s="238" t="s">
        <v>36</v>
      </c>
      <c r="N73" s="238" t="s">
        <v>36</v>
      </c>
      <c r="O73" s="238"/>
      <c r="P73" s="238"/>
      <c r="Q73" s="238"/>
      <c r="R73" s="238"/>
      <c r="S73" s="238" t="s">
        <v>36</v>
      </c>
      <c r="T73" s="238"/>
      <c r="U73" s="238"/>
      <c r="V73" s="238"/>
      <c r="W73" s="238"/>
      <c r="X73" s="238"/>
      <c r="Y73" s="238"/>
      <c r="Z73" s="238" t="s">
        <v>36</v>
      </c>
      <c r="AA73" s="238" t="s">
        <v>36</v>
      </c>
      <c r="AB73" s="238"/>
      <c r="AC73" s="238">
        <f t="shared" si="9"/>
        <v>10</v>
      </c>
      <c r="AD73" s="122">
        <v>35</v>
      </c>
      <c r="AE73" s="123">
        <f t="shared" si="8"/>
        <v>0.17499999999999999</v>
      </c>
      <c r="AF73" s="157"/>
      <c r="AG73" s="164"/>
    </row>
    <row r="74" spans="1:33">
      <c r="A74" s="103">
        <v>49</v>
      </c>
      <c r="B74" s="165" t="s">
        <v>193</v>
      </c>
      <c r="C74" s="158" t="s">
        <v>194</v>
      </c>
      <c r="D74" s="165" t="s">
        <v>34</v>
      </c>
      <c r="E74" s="163" t="s">
        <v>156</v>
      </c>
      <c r="F74" s="238"/>
      <c r="G74" s="238"/>
      <c r="H74" s="238"/>
      <c r="I74" s="238"/>
      <c r="J74" s="238"/>
      <c r="K74" s="238"/>
      <c r="L74" s="238" t="s">
        <v>36</v>
      </c>
      <c r="M74" s="238"/>
      <c r="N74" s="238"/>
      <c r="O74" s="238"/>
      <c r="P74" s="238"/>
      <c r="Q74" s="238"/>
      <c r="R74" s="238"/>
      <c r="S74" s="238" t="s">
        <v>36</v>
      </c>
      <c r="T74" s="238"/>
      <c r="U74" s="238"/>
      <c r="V74" s="238"/>
      <c r="W74" s="238"/>
      <c r="X74" s="238"/>
      <c r="Y74" s="238"/>
      <c r="Z74" s="238" t="s">
        <v>36</v>
      </c>
      <c r="AA74" s="238" t="s">
        <v>36</v>
      </c>
      <c r="AB74" s="238"/>
      <c r="AC74" s="238">
        <f t="shared" si="9"/>
        <v>4</v>
      </c>
      <c r="AD74" s="122">
        <v>1077</v>
      </c>
      <c r="AE74" s="123">
        <f t="shared" si="8"/>
        <v>5.3849999999999998</v>
      </c>
      <c r="AF74" s="157"/>
      <c r="AG74" s="164"/>
    </row>
    <row r="75" spans="1:33">
      <c r="A75" s="103">
        <v>50</v>
      </c>
      <c r="B75" s="174" t="s">
        <v>195</v>
      </c>
      <c r="C75" s="179" t="s">
        <v>196</v>
      </c>
      <c r="D75" s="174" t="s">
        <v>82</v>
      </c>
      <c r="E75" s="163" t="s">
        <v>197</v>
      </c>
      <c r="F75" s="238" t="s">
        <v>36</v>
      </c>
      <c r="G75" s="238" t="s">
        <v>36</v>
      </c>
      <c r="H75" s="238" t="s">
        <v>36</v>
      </c>
      <c r="I75" s="238" t="s">
        <v>36</v>
      </c>
      <c r="J75" s="238" t="s">
        <v>36</v>
      </c>
      <c r="K75" s="238" t="s">
        <v>36</v>
      </c>
      <c r="L75" s="238" t="s">
        <v>36</v>
      </c>
      <c r="M75" s="238" t="s">
        <v>36</v>
      </c>
      <c r="N75" s="238" t="s">
        <v>36</v>
      </c>
      <c r="O75" s="238"/>
      <c r="P75" s="238" t="s">
        <v>36</v>
      </c>
      <c r="Q75" s="238" t="s">
        <v>36</v>
      </c>
      <c r="R75" s="238" t="s">
        <v>36</v>
      </c>
      <c r="S75" s="238" t="s">
        <v>36</v>
      </c>
      <c r="T75" s="238"/>
      <c r="U75" s="238"/>
      <c r="V75" s="238"/>
      <c r="W75" s="238"/>
      <c r="X75" s="238" t="s">
        <v>36</v>
      </c>
      <c r="Y75" s="238"/>
      <c r="Z75" s="238" t="s">
        <v>36</v>
      </c>
      <c r="AA75" s="238" t="s">
        <v>36</v>
      </c>
      <c r="AB75" s="238"/>
      <c r="AC75" s="168">
        <f t="shared" si="9"/>
        <v>16</v>
      </c>
      <c r="AD75" s="122">
        <v>1061955</v>
      </c>
      <c r="AE75" s="123">
        <f t="shared" si="8"/>
        <v>5309.7749999999996</v>
      </c>
      <c r="AF75" s="157"/>
      <c r="AG75" s="164"/>
    </row>
    <row r="76" spans="1:33">
      <c r="A76" s="103">
        <v>50.1</v>
      </c>
      <c r="B76" s="175" t="s">
        <v>198</v>
      </c>
      <c r="C76" s="179" t="s">
        <v>199</v>
      </c>
      <c r="D76" s="174" t="s">
        <v>34</v>
      </c>
      <c r="E76" s="163" t="s">
        <v>197</v>
      </c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8"/>
      <c r="R76" s="238"/>
      <c r="S76" s="238"/>
      <c r="T76" s="238"/>
      <c r="U76" s="238"/>
      <c r="V76" s="238"/>
      <c r="W76" s="238"/>
      <c r="X76" s="238"/>
      <c r="Y76" s="238"/>
      <c r="Z76" s="238"/>
      <c r="AA76" s="238"/>
      <c r="AB76" s="238"/>
      <c r="AC76" s="168"/>
      <c r="AD76" s="122">
        <v>242499</v>
      </c>
      <c r="AE76" s="123">
        <f t="shared" si="8"/>
        <v>1212.4949999999999</v>
      </c>
      <c r="AF76" s="157"/>
      <c r="AG76" s="164"/>
    </row>
    <row r="77" spans="1:33">
      <c r="A77" s="103">
        <v>50.2</v>
      </c>
      <c r="B77" s="175" t="s">
        <v>200</v>
      </c>
      <c r="C77" s="179" t="s">
        <v>201</v>
      </c>
      <c r="D77" s="174" t="s">
        <v>40</v>
      </c>
      <c r="E77" s="163" t="s">
        <v>197</v>
      </c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238"/>
      <c r="S77" s="238"/>
      <c r="T77" s="238"/>
      <c r="U77" s="238"/>
      <c r="V77" s="238"/>
      <c r="W77" s="238"/>
      <c r="X77" s="238"/>
      <c r="Y77" s="238"/>
      <c r="Z77" s="238"/>
      <c r="AA77" s="238"/>
      <c r="AB77" s="238"/>
      <c r="AC77" s="168"/>
      <c r="AD77" s="165"/>
      <c r="AE77" s="165"/>
      <c r="AF77" s="157"/>
      <c r="AG77" s="164"/>
    </row>
    <row r="78" spans="1:33">
      <c r="A78" s="103">
        <v>50.3</v>
      </c>
      <c r="B78" s="175" t="s">
        <v>202</v>
      </c>
      <c r="C78" s="179" t="s">
        <v>203</v>
      </c>
      <c r="D78" s="174" t="s">
        <v>34</v>
      </c>
      <c r="E78" s="163" t="s">
        <v>197</v>
      </c>
      <c r="F78" s="238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238"/>
      <c r="R78" s="238"/>
      <c r="S78" s="238"/>
      <c r="T78" s="238"/>
      <c r="U78" s="238"/>
      <c r="V78" s="238"/>
      <c r="W78" s="238"/>
      <c r="X78" s="238"/>
      <c r="Y78" s="238"/>
      <c r="Z78" s="238"/>
      <c r="AA78" s="238"/>
      <c r="AB78" s="238"/>
      <c r="AC78" s="168"/>
      <c r="AD78" s="122">
        <v>88865</v>
      </c>
      <c r="AE78" s="123">
        <f xml:space="preserve"> (AD78/200)</f>
        <v>444.32499999999999</v>
      </c>
      <c r="AF78" s="157"/>
      <c r="AG78" s="164"/>
    </row>
    <row r="79" spans="1:33">
      <c r="A79" s="103">
        <v>50.4</v>
      </c>
      <c r="B79" s="175" t="s">
        <v>204</v>
      </c>
      <c r="C79" s="179" t="s">
        <v>205</v>
      </c>
      <c r="D79" s="174" t="s">
        <v>34</v>
      </c>
      <c r="E79" s="163" t="s">
        <v>197</v>
      </c>
      <c r="F79" s="238"/>
      <c r="G79" s="238"/>
      <c r="H79" s="238"/>
      <c r="I79" s="238"/>
      <c r="J79" s="238"/>
      <c r="K79" s="238"/>
      <c r="L79" s="238"/>
      <c r="M79" s="238"/>
      <c r="N79" s="238"/>
      <c r="O79" s="238"/>
      <c r="P79" s="238"/>
      <c r="Q79" s="238"/>
      <c r="R79" s="238"/>
      <c r="S79" s="238"/>
      <c r="T79" s="238"/>
      <c r="U79" s="238"/>
      <c r="V79" s="238"/>
      <c r="W79" s="238"/>
      <c r="X79" s="238"/>
      <c r="Y79" s="238"/>
      <c r="Z79" s="238"/>
      <c r="AA79" s="238"/>
      <c r="AB79" s="238"/>
      <c r="AC79" s="168"/>
      <c r="AD79" s="165"/>
      <c r="AE79" s="165"/>
      <c r="AF79" s="157"/>
      <c r="AG79" s="164"/>
    </row>
    <row r="80" spans="1:33">
      <c r="A80" s="103">
        <v>50.5</v>
      </c>
      <c r="B80" s="175" t="s">
        <v>206</v>
      </c>
      <c r="C80" s="179" t="s">
        <v>207</v>
      </c>
      <c r="D80" s="174" t="s">
        <v>51</v>
      </c>
      <c r="E80" s="163" t="s">
        <v>197</v>
      </c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8"/>
      <c r="R80" s="238"/>
      <c r="S80" s="238"/>
      <c r="T80" s="238"/>
      <c r="U80" s="238"/>
      <c r="V80" s="238"/>
      <c r="W80" s="238"/>
      <c r="X80" s="238"/>
      <c r="Y80" s="238"/>
      <c r="Z80" s="238"/>
      <c r="AA80" s="238"/>
      <c r="AB80" s="238"/>
      <c r="AC80" s="168"/>
      <c r="AD80" s="122"/>
      <c r="AE80" s="123"/>
      <c r="AF80" s="157"/>
      <c r="AG80" s="164"/>
    </row>
    <row r="81" spans="1:33">
      <c r="A81" s="103">
        <v>50.6</v>
      </c>
      <c r="B81" s="175" t="s">
        <v>208</v>
      </c>
      <c r="C81" s="179" t="s">
        <v>209</v>
      </c>
      <c r="D81" s="174" t="s">
        <v>34</v>
      </c>
      <c r="E81" s="163" t="s">
        <v>197</v>
      </c>
      <c r="F81" s="238"/>
      <c r="G81" s="238"/>
      <c r="H81" s="238"/>
      <c r="I81" s="238"/>
      <c r="J81" s="238"/>
      <c r="K81" s="238"/>
      <c r="L81" s="238"/>
      <c r="M81" s="238"/>
      <c r="N81" s="238"/>
      <c r="O81" s="238"/>
      <c r="P81" s="238"/>
      <c r="Q81" s="238"/>
      <c r="R81" s="238"/>
      <c r="S81" s="238"/>
      <c r="T81" s="238"/>
      <c r="U81" s="238"/>
      <c r="V81" s="238"/>
      <c r="W81" s="238"/>
      <c r="X81" s="238"/>
      <c r="Y81" s="238"/>
      <c r="Z81" s="238"/>
      <c r="AA81" s="238"/>
      <c r="AB81" s="238"/>
      <c r="AC81" s="168"/>
      <c r="AD81" s="165"/>
      <c r="AE81" s="165"/>
      <c r="AF81" s="157"/>
      <c r="AG81" s="164"/>
    </row>
    <row r="82" spans="1:33">
      <c r="A82" s="137">
        <v>51</v>
      </c>
      <c r="B82" s="165" t="s">
        <v>210</v>
      </c>
      <c r="C82" s="158" t="s">
        <v>211</v>
      </c>
      <c r="D82" s="165" t="s">
        <v>34</v>
      </c>
      <c r="E82" s="163" t="s">
        <v>197</v>
      </c>
      <c r="F82" s="238"/>
      <c r="G82" s="238" t="s">
        <v>36</v>
      </c>
      <c r="H82" s="238"/>
      <c r="I82" s="238"/>
      <c r="J82" s="238" t="s">
        <v>36</v>
      </c>
      <c r="K82" s="238" t="s">
        <v>36</v>
      </c>
      <c r="L82" s="238" t="s">
        <v>36</v>
      </c>
      <c r="M82" s="238" t="s">
        <v>36</v>
      </c>
      <c r="N82" s="238" t="s">
        <v>36</v>
      </c>
      <c r="O82" s="238"/>
      <c r="P82" s="238"/>
      <c r="Q82" s="238"/>
      <c r="R82" s="238"/>
      <c r="S82" s="238" t="s">
        <v>36</v>
      </c>
      <c r="T82" s="238"/>
      <c r="U82" s="238"/>
      <c r="V82" s="238"/>
      <c r="W82" s="238"/>
      <c r="X82" s="238" t="s">
        <v>36</v>
      </c>
      <c r="Y82" s="238"/>
      <c r="Z82" s="238"/>
      <c r="AA82" s="238"/>
      <c r="AB82" s="238"/>
      <c r="AC82" s="168">
        <f>COUNTIF(F82:AB82,"X")</f>
        <v>8</v>
      </c>
      <c r="AD82" s="122">
        <v>8414</v>
      </c>
      <c r="AE82" s="123">
        <f xml:space="preserve"> (AD82/200)</f>
        <v>42.07</v>
      </c>
      <c r="AF82" s="121" t="s">
        <v>212</v>
      </c>
      <c r="AG82" s="164"/>
    </row>
    <row r="83" spans="1:33" s="150" customFormat="1">
      <c r="A83" s="139">
        <v>52</v>
      </c>
      <c r="B83" s="146" t="s">
        <v>213</v>
      </c>
      <c r="C83" s="147" t="s">
        <v>214</v>
      </c>
      <c r="D83" s="146" t="s">
        <v>43</v>
      </c>
      <c r="E83" s="142" t="s">
        <v>197</v>
      </c>
      <c r="F83" s="143" t="s">
        <v>36</v>
      </c>
      <c r="G83" s="143" t="s">
        <v>36</v>
      </c>
      <c r="H83" s="143" t="s">
        <v>36</v>
      </c>
      <c r="I83" s="143" t="s">
        <v>36</v>
      </c>
      <c r="J83" s="143" t="s">
        <v>36</v>
      </c>
      <c r="K83" s="143" t="s">
        <v>36</v>
      </c>
      <c r="L83" s="143" t="s">
        <v>36</v>
      </c>
      <c r="M83" s="143" t="s">
        <v>36</v>
      </c>
      <c r="N83" s="143" t="s">
        <v>36</v>
      </c>
      <c r="O83" s="143"/>
      <c r="P83" s="143" t="s">
        <v>36</v>
      </c>
      <c r="Q83" s="143" t="s">
        <v>36</v>
      </c>
      <c r="R83" s="143" t="s">
        <v>36</v>
      </c>
      <c r="S83" s="143" t="s">
        <v>36</v>
      </c>
      <c r="T83" s="143"/>
      <c r="U83" s="143"/>
      <c r="V83" s="143"/>
      <c r="W83" s="143"/>
      <c r="X83" s="143" t="s">
        <v>36</v>
      </c>
      <c r="Y83" s="143"/>
      <c r="Z83" s="143"/>
      <c r="AA83" s="143" t="s">
        <v>36</v>
      </c>
      <c r="AB83" s="143"/>
      <c r="AC83" s="148">
        <f>COUNTIF(F83:AB83,"X")</f>
        <v>15</v>
      </c>
      <c r="AD83" s="144"/>
      <c r="AE83" s="145"/>
      <c r="AF83" s="149" t="s">
        <v>215</v>
      </c>
    </row>
    <row r="84" spans="1:33">
      <c r="A84" s="137">
        <v>53</v>
      </c>
      <c r="B84" s="174" t="s">
        <v>216</v>
      </c>
      <c r="C84" s="179" t="s">
        <v>214</v>
      </c>
      <c r="D84" s="174" t="s">
        <v>43</v>
      </c>
      <c r="E84" s="163" t="s">
        <v>197</v>
      </c>
      <c r="F84" s="238" t="s">
        <v>36</v>
      </c>
      <c r="G84" s="238" t="s">
        <v>36</v>
      </c>
      <c r="H84" s="238" t="s">
        <v>36</v>
      </c>
      <c r="I84" s="238" t="s">
        <v>36</v>
      </c>
      <c r="J84" s="238" t="s">
        <v>36</v>
      </c>
      <c r="K84" s="238" t="s">
        <v>36</v>
      </c>
      <c r="L84" s="238" t="s">
        <v>36</v>
      </c>
      <c r="M84" s="238" t="s">
        <v>36</v>
      </c>
      <c r="N84" s="238" t="s">
        <v>36</v>
      </c>
      <c r="O84" s="238"/>
      <c r="P84" s="238" t="s">
        <v>36</v>
      </c>
      <c r="Q84" s="238" t="s">
        <v>36</v>
      </c>
      <c r="R84" s="238" t="s">
        <v>36</v>
      </c>
      <c r="S84" s="238" t="s">
        <v>36</v>
      </c>
      <c r="T84" s="238" t="s">
        <v>36</v>
      </c>
      <c r="U84" s="238" t="s">
        <v>36</v>
      </c>
      <c r="V84" s="238" t="s">
        <v>36</v>
      </c>
      <c r="W84" s="238" t="s">
        <v>36</v>
      </c>
      <c r="X84" s="238" t="s">
        <v>36</v>
      </c>
      <c r="Y84" s="238" t="s">
        <v>36</v>
      </c>
      <c r="Z84" s="238" t="s">
        <v>36</v>
      </c>
      <c r="AA84" s="238" t="s">
        <v>36</v>
      </c>
      <c r="AB84" s="238"/>
      <c r="AC84" s="168">
        <f>COUNTIF(F84:AB84,"X")</f>
        <v>21</v>
      </c>
      <c r="AD84" s="122">
        <v>1974625</v>
      </c>
      <c r="AE84" s="123">
        <f xml:space="preserve"> (AD84/200)</f>
        <v>9873.125</v>
      </c>
      <c r="AF84" s="157"/>
      <c r="AG84" s="164"/>
    </row>
    <row r="85" spans="1:33">
      <c r="A85" s="103">
        <v>53.1</v>
      </c>
      <c r="B85" s="175" t="s">
        <v>217</v>
      </c>
      <c r="C85" s="179"/>
      <c r="D85" s="174" t="s">
        <v>82</v>
      </c>
      <c r="E85" s="163" t="s">
        <v>197</v>
      </c>
      <c r="F85" s="238"/>
      <c r="G85" s="238"/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238"/>
      <c r="S85" s="238"/>
      <c r="T85" s="238"/>
      <c r="U85" s="238"/>
      <c r="V85" s="238"/>
      <c r="W85" s="238"/>
      <c r="X85" s="238"/>
      <c r="Y85" s="238"/>
      <c r="Z85" s="238"/>
      <c r="AA85" s="238"/>
      <c r="AB85" s="238"/>
      <c r="AC85" s="168"/>
      <c r="AD85" s="165"/>
      <c r="AE85" s="165"/>
      <c r="AF85" s="157"/>
      <c r="AG85" s="164"/>
    </row>
    <row r="86" spans="1:33">
      <c r="A86" s="103">
        <v>53.2</v>
      </c>
      <c r="B86" s="175" t="s">
        <v>218</v>
      </c>
      <c r="C86" s="179" t="s">
        <v>219</v>
      </c>
      <c r="D86" s="174" t="s">
        <v>34</v>
      </c>
      <c r="E86" s="163" t="s">
        <v>197</v>
      </c>
      <c r="F86" s="238"/>
      <c r="G86" s="238"/>
      <c r="H86" s="238"/>
      <c r="I86" s="238"/>
      <c r="J86" s="238"/>
      <c r="K86" s="238"/>
      <c r="L86" s="238"/>
      <c r="M86" s="238"/>
      <c r="N86" s="238"/>
      <c r="O86" s="238"/>
      <c r="P86" s="238"/>
      <c r="Q86" s="238"/>
      <c r="R86" s="238"/>
      <c r="S86" s="238"/>
      <c r="T86" s="238"/>
      <c r="U86" s="238"/>
      <c r="V86" s="238"/>
      <c r="W86" s="238"/>
      <c r="X86" s="238"/>
      <c r="Y86" s="238"/>
      <c r="Z86" s="238"/>
      <c r="AA86" s="238"/>
      <c r="AB86" s="238"/>
      <c r="AC86" s="168"/>
      <c r="AD86" s="122">
        <v>764960</v>
      </c>
      <c r="AE86" s="123">
        <f t="shared" ref="AE86:AE120" si="10" xml:space="preserve"> (AD86/200)</f>
        <v>3824.8</v>
      </c>
      <c r="AF86" s="157"/>
      <c r="AG86" s="164"/>
    </row>
    <row r="87" spans="1:33">
      <c r="A87" s="103">
        <v>53.3</v>
      </c>
      <c r="B87" s="112" t="s">
        <v>220</v>
      </c>
      <c r="C87" s="106" t="s">
        <v>221</v>
      </c>
      <c r="D87" s="101" t="s">
        <v>34</v>
      </c>
      <c r="E87" s="163" t="s">
        <v>197</v>
      </c>
      <c r="F87" s="238"/>
      <c r="G87" s="238"/>
      <c r="H87" s="238"/>
      <c r="I87" s="238"/>
      <c r="J87" s="238"/>
      <c r="K87" s="238"/>
      <c r="L87" s="238"/>
      <c r="M87" s="238"/>
      <c r="N87" s="238"/>
      <c r="O87" s="238"/>
      <c r="P87" s="238"/>
      <c r="Q87" s="238"/>
      <c r="R87" s="238"/>
      <c r="S87" s="238"/>
      <c r="T87" s="238"/>
      <c r="U87" s="238"/>
      <c r="V87" s="238"/>
      <c r="W87" s="238"/>
      <c r="X87" s="238"/>
      <c r="Y87" s="238"/>
      <c r="Z87" s="238"/>
      <c r="AA87" s="238"/>
      <c r="AB87" s="238"/>
      <c r="AC87" s="168"/>
      <c r="AD87" s="122">
        <v>47</v>
      </c>
      <c r="AE87" s="123">
        <f t="shared" si="10"/>
        <v>0.23499999999999999</v>
      </c>
      <c r="AF87" s="157"/>
      <c r="AG87" s="164"/>
    </row>
    <row r="88" spans="1:33">
      <c r="A88" s="103">
        <v>54</v>
      </c>
      <c r="B88" s="165" t="s">
        <v>222</v>
      </c>
      <c r="C88" s="158" t="s">
        <v>223</v>
      </c>
      <c r="D88" s="165" t="s">
        <v>82</v>
      </c>
      <c r="E88" s="163" t="s">
        <v>197</v>
      </c>
      <c r="F88" s="238" t="s">
        <v>36</v>
      </c>
      <c r="G88" s="238" t="s">
        <v>36</v>
      </c>
      <c r="H88" s="238" t="s">
        <v>36</v>
      </c>
      <c r="I88" s="238" t="s">
        <v>36</v>
      </c>
      <c r="J88" s="238" t="s">
        <v>36</v>
      </c>
      <c r="K88" s="238" t="s">
        <v>36</v>
      </c>
      <c r="L88" s="238" t="s">
        <v>36</v>
      </c>
      <c r="M88" s="238" t="s">
        <v>36</v>
      </c>
      <c r="N88" s="238"/>
      <c r="O88" s="238"/>
      <c r="P88" s="238"/>
      <c r="Q88" s="238"/>
      <c r="R88" s="238"/>
      <c r="S88" s="238" t="s">
        <v>36</v>
      </c>
      <c r="T88" s="238"/>
      <c r="U88" s="238"/>
      <c r="V88" s="238"/>
      <c r="W88" s="238"/>
      <c r="X88" s="238" t="s">
        <v>36</v>
      </c>
      <c r="Y88" s="238"/>
      <c r="Z88" s="238"/>
      <c r="AA88" s="238" t="s">
        <v>36</v>
      </c>
      <c r="AB88" s="238"/>
      <c r="AC88" s="168">
        <f>COUNTIF(F88:AB88,"X")</f>
        <v>11</v>
      </c>
      <c r="AD88" s="122">
        <v>36619</v>
      </c>
      <c r="AE88" s="123">
        <f t="shared" si="10"/>
        <v>183.095</v>
      </c>
      <c r="AF88" s="157"/>
      <c r="AG88" s="164"/>
    </row>
    <row r="89" spans="1:33">
      <c r="A89" s="103">
        <v>54.1</v>
      </c>
      <c r="B89" s="112" t="s">
        <v>224</v>
      </c>
      <c r="C89" s="167" t="s">
        <v>225</v>
      </c>
      <c r="D89" s="101" t="s">
        <v>40</v>
      </c>
      <c r="E89" s="163" t="s">
        <v>197</v>
      </c>
      <c r="F89" s="238"/>
      <c r="G89" s="238"/>
      <c r="H89" s="238"/>
      <c r="I89" s="238"/>
      <c r="J89" s="238"/>
      <c r="K89" s="238"/>
      <c r="L89" s="238"/>
      <c r="M89" s="238"/>
      <c r="N89" s="238"/>
      <c r="O89" s="238"/>
      <c r="P89" s="238"/>
      <c r="Q89" s="238"/>
      <c r="R89" s="238"/>
      <c r="S89" s="238"/>
      <c r="T89" s="238"/>
      <c r="U89" s="238"/>
      <c r="V89" s="238"/>
      <c r="W89" s="238"/>
      <c r="X89" s="238"/>
      <c r="Y89" s="238"/>
      <c r="Z89" s="238"/>
      <c r="AA89" s="238"/>
      <c r="AB89" s="238"/>
      <c r="AC89" s="168"/>
      <c r="AD89" s="122">
        <v>185816</v>
      </c>
      <c r="AE89" s="123">
        <f t="shared" si="10"/>
        <v>929.08</v>
      </c>
      <c r="AF89" s="157"/>
      <c r="AG89" s="164"/>
    </row>
    <row r="90" spans="1:33">
      <c r="A90" s="103">
        <v>54.2</v>
      </c>
      <c r="B90" s="112" t="s">
        <v>226</v>
      </c>
      <c r="C90" s="167" t="s">
        <v>227</v>
      </c>
      <c r="D90" s="101" t="s">
        <v>82</v>
      </c>
      <c r="E90" s="163" t="s">
        <v>197</v>
      </c>
      <c r="F90" s="238"/>
      <c r="G90" s="238"/>
      <c r="H90" s="238"/>
      <c r="I90" s="238"/>
      <c r="J90" s="238"/>
      <c r="K90" s="238"/>
      <c r="L90" s="238"/>
      <c r="M90" s="238"/>
      <c r="N90" s="238"/>
      <c r="O90" s="238"/>
      <c r="P90" s="238"/>
      <c r="Q90" s="238"/>
      <c r="R90" s="238"/>
      <c r="S90" s="238"/>
      <c r="T90" s="238"/>
      <c r="U90" s="238"/>
      <c r="V90" s="238"/>
      <c r="W90" s="238"/>
      <c r="X90" s="238"/>
      <c r="Y90" s="238"/>
      <c r="Z90" s="238"/>
      <c r="AA90" s="238"/>
      <c r="AB90" s="238"/>
      <c r="AC90" s="168"/>
      <c r="AD90" s="122">
        <v>3366</v>
      </c>
      <c r="AE90" s="123">
        <f t="shared" si="10"/>
        <v>16.829999999999998</v>
      </c>
      <c r="AF90" s="157"/>
      <c r="AG90" s="164"/>
    </row>
    <row r="91" spans="1:33">
      <c r="A91" s="137">
        <v>55</v>
      </c>
      <c r="B91" s="165" t="s">
        <v>228</v>
      </c>
      <c r="C91" s="158" t="s">
        <v>229</v>
      </c>
      <c r="D91" s="165" t="s">
        <v>34</v>
      </c>
      <c r="E91" s="163" t="s">
        <v>230</v>
      </c>
      <c r="F91" s="238"/>
      <c r="G91" s="238" t="s">
        <v>36</v>
      </c>
      <c r="H91" s="238"/>
      <c r="I91" s="238"/>
      <c r="J91" s="238" t="s">
        <v>36</v>
      </c>
      <c r="K91" s="238" t="s">
        <v>36</v>
      </c>
      <c r="L91" s="238" t="s">
        <v>36</v>
      </c>
      <c r="M91" s="238"/>
      <c r="N91" s="238"/>
      <c r="O91" s="238"/>
      <c r="P91" s="238"/>
      <c r="Q91" s="238"/>
      <c r="R91" s="238"/>
      <c r="S91" s="238" t="s">
        <v>36</v>
      </c>
      <c r="T91" s="238"/>
      <c r="U91" s="238"/>
      <c r="V91" s="238"/>
      <c r="W91" s="238"/>
      <c r="X91" s="238" t="s">
        <v>36</v>
      </c>
      <c r="Y91" s="238"/>
      <c r="Z91" s="238" t="s">
        <v>36</v>
      </c>
      <c r="AA91" s="238" t="s">
        <v>36</v>
      </c>
      <c r="AB91" s="238"/>
      <c r="AC91" s="238">
        <f>COUNTIF(F91:AB91,"X")</f>
        <v>8</v>
      </c>
      <c r="AD91" s="122">
        <v>6900</v>
      </c>
      <c r="AE91" s="123">
        <f t="shared" si="10"/>
        <v>34.5</v>
      </c>
      <c r="AF91" s="157"/>
      <c r="AG91" s="164"/>
    </row>
    <row r="92" spans="1:33">
      <c r="A92" s="180">
        <v>55.1</v>
      </c>
      <c r="B92" s="181" t="s">
        <v>231</v>
      </c>
      <c r="C92" s="157" t="s">
        <v>232</v>
      </c>
      <c r="D92" s="157" t="s">
        <v>51</v>
      </c>
      <c r="E92" s="163" t="s">
        <v>230</v>
      </c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64"/>
    </row>
    <row r="93" spans="1:33">
      <c r="A93" s="137">
        <v>56</v>
      </c>
      <c r="B93" s="182" t="s">
        <v>233</v>
      </c>
      <c r="C93" s="158" t="s">
        <v>234</v>
      </c>
      <c r="D93" s="165" t="s">
        <v>34</v>
      </c>
      <c r="E93" s="163" t="s">
        <v>230</v>
      </c>
      <c r="F93" s="238"/>
      <c r="G93" s="238"/>
      <c r="H93" s="238"/>
      <c r="I93" s="238"/>
      <c r="J93" s="238"/>
      <c r="K93" s="238"/>
      <c r="L93" s="238" t="s">
        <v>36</v>
      </c>
      <c r="M93" s="238"/>
      <c r="N93" s="238"/>
      <c r="O93" s="238"/>
      <c r="P93" s="238"/>
      <c r="Q93" s="238"/>
      <c r="R93" s="238"/>
      <c r="S93" s="238"/>
      <c r="T93" s="238"/>
      <c r="U93" s="238"/>
      <c r="V93" s="238"/>
      <c r="W93" s="238"/>
      <c r="X93" s="238"/>
      <c r="Y93" s="238"/>
      <c r="Z93" s="238"/>
      <c r="AA93" s="238"/>
      <c r="AB93" s="238"/>
      <c r="AC93" s="238">
        <f>COUNTIF(F93:AB93,"X")</f>
        <v>1</v>
      </c>
      <c r="AD93" s="122">
        <v>20</v>
      </c>
      <c r="AE93" s="123">
        <f t="shared" si="10"/>
        <v>0.1</v>
      </c>
      <c r="AF93" s="157"/>
      <c r="AG93" s="164"/>
    </row>
    <row r="94" spans="1:33">
      <c r="A94" s="137">
        <v>56.1</v>
      </c>
      <c r="B94" s="112" t="s">
        <v>235</v>
      </c>
      <c r="C94" s="100" t="s">
        <v>236</v>
      </c>
      <c r="D94" s="101" t="s">
        <v>34</v>
      </c>
      <c r="E94" s="163" t="s">
        <v>230</v>
      </c>
      <c r="F94" s="238"/>
      <c r="G94" s="238"/>
      <c r="H94" s="238"/>
      <c r="I94" s="238"/>
      <c r="J94" s="238"/>
      <c r="K94" s="238"/>
      <c r="L94" s="238"/>
      <c r="M94" s="238"/>
      <c r="N94" s="238"/>
      <c r="O94" s="238"/>
      <c r="P94" s="238"/>
      <c r="Q94" s="238"/>
      <c r="R94" s="238"/>
      <c r="S94" s="238"/>
      <c r="T94" s="238"/>
      <c r="U94" s="238"/>
      <c r="V94" s="238"/>
      <c r="W94" s="238"/>
      <c r="X94" s="238"/>
      <c r="Y94" s="238"/>
      <c r="Z94" s="238"/>
      <c r="AA94" s="238"/>
      <c r="AB94" s="238"/>
      <c r="AC94" s="168"/>
      <c r="AD94" s="122">
        <v>17</v>
      </c>
      <c r="AE94" s="123">
        <f xml:space="preserve"> (AD94/200)</f>
        <v>8.5000000000000006E-2</v>
      </c>
      <c r="AF94" s="157"/>
      <c r="AG94" s="164"/>
    </row>
    <row r="95" spans="1:33">
      <c r="A95" s="137">
        <v>57</v>
      </c>
      <c r="B95" s="182" t="s">
        <v>237</v>
      </c>
      <c r="C95" s="158" t="s">
        <v>238</v>
      </c>
      <c r="D95" s="165" t="s">
        <v>51</v>
      </c>
      <c r="E95" s="163" t="s">
        <v>230</v>
      </c>
      <c r="F95" s="238"/>
      <c r="G95" s="238"/>
      <c r="H95" s="238"/>
      <c r="I95" s="238"/>
      <c r="J95" s="238"/>
      <c r="K95" s="238" t="s">
        <v>36</v>
      </c>
      <c r="L95" s="238" t="s">
        <v>36</v>
      </c>
      <c r="M95" s="238"/>
      <c r="N95" s="238" t="s">
        <v>36</v>
      </c>
      <c r="O95" s="238"/>
      <c r="P95" s="238"/>
      <c r="Q95" s="238"/>
      <c r="R95" s="238"/>
      <c r="S95" s="238" t="s">
        <v>36</v>
      </c>
      <c r="T95" s="238"/>
      <c r="U95" s="238"/>
      <c r="V95" s="238"/>
      <c r="W95" s="238"/>
      <c r="X95" s="238" t="s">
        <v>36</v>
      </c>
      <c r="Y95" s="238"/>
      <c r="Z95" s="238" t="s">
        <v>36</v>
      </c>
      <c r="AA95" s="238" t="s">
        <v>36</v>
      </c>
      <c r="AB95" s="238"/>
      <c r="AC95" s="238">
        <f>COUNTIF(F95:AB95,"X")</f>
        <v>7</v>
      </c>
      <c r="AD95" s="122">
        <v>13</v>
      </c>
      <c r="AE95" s="123">
        <f t="shared" si="10"/>
        <v>6.5000000000000002E-2</v>
      </c>
      <c r="AF95" s="157"/>
      <c r="AG95" s="164"/>
    </row>
    <row r="96" spans="1:33">
      <c r="A96" s="137">
        <v>57.1</v>
      </c>
      <c r="B96" s="183" t="s">
        <v>239</v>
      </c>
      <c r="C96" s="158" t="s">
        <v>240</v>
      </c>
      <c r="D96" s="165"/>
      <c r="E96" s="163" t="s">
        <v>230</v>
      </c>
      <c r="F96" s="238"/>
      <c r="G96" s="238"/>
      <c r="H96" s="238"/>
      <c r="I96" s="238"/>
      <c r="J96" s="238"/>
      <c r="K96" s="238"/>
      <c r="L96" s="238"/>
      <c r="M96" s="238"/>
      <c r="N96" s="238"/>
      <c r="O96" s="238"/>
      <c r="P96" s="238"/>
      <c r="Q96" s="238"/>
      <c r="R96" s="238"/>
      <c r="S96" s="238"/>
      <c r="T96" s="238"/>
      <c r="U96" s="238"/>
      <c r="V96" s="238"/>
      <c r="W96" s="238"/>
      <c r="X96" s="238"/>
      <c r="Y96" s="238"/>
      <c r="Z96" s="238"/>
      <c r="AA96" s="238"/>
      <c r="AB96" s="238"/>
      <c r="AC96" s="238"/>
      <c r="AD96" s="122"/>
      <c r="AE96" s="123"/>
      <c r="AF96" s="157" t="s">
        <v>241</v>
      </c>
      <c r="AG96" s="164"/>
    </row>
    <row r="97" spans="1:33">
      <c r="A97" s="137">
        <v>57.2</v>
      </c>
      <c r="B97" s="183" t="s">
        <v>242</v>
      </c>
      <c r="C97" s="158" t="s">
        <v>243</v>
      </c>
      <c r="D97" s="165"/>
      <c r="E97" s="163" t="s">
        <v>230</v>
      </c>
      <c r="F97" s="238"/>
      <c r="G97" s="238"/>
      <c r="H97" s="238"/>
      <c r="I97" s="238"/>
      <c r="J97" s="238"/>
      <c r="K97" s="238"/>
      <c r="L97" s="238"/>
      <c r="M97" s="238"/>
      <c r="N97" s="238"/>
      <c r="O97" s="238"/>
      <c r="P97" s="238"/>
      <c r="Q97" s="238"/>
      <c r="R97" s="238"/>
      <c r="S97" s="238"/>
      <c r="T97" s="238"/>
      <c r="U97" s="238"/>
      <c r="V97" s="238"/>
      <c r="W97" s="238"/>
      <c r="X97" s="238"/>
      <c r="Y97" s="238"/>
      <c r="Z97" s="238"/>
      <c r="AA97" s="238"/>
      <c r="AB97" s="238"/>
      <c r="AC97" s="238"/>
      <c r="AD97" s="122"/>
      <c r="AE97" s="123"/>
      <c r="AF97" s="157"/>
      <c r="AG97" s="164"/>
    </row>
    <row r="98" spans="1:33" ht="30">
      <c r="A98" s="103">
        <v>58</v>
      </c>
      <c r="B98" s="97" t="s">
        <v>244</v>
      </c>
      <c r="C98" s="97" t="s">
        <v>162</v>
      </c>
      <c r="D98" s="165" t="s">
        <v>43</v>
      </c>
      <c r="E98" s="163" t="s">
        <v>245</v>
      </c>
      <c r="F98" s="238"/>
      <c r="G98" s="238"/>
      <c r="H98" s="238"/>
      <c r="I98" s="238"/>
      <c r="J98" s="238"/>
      <c r="K98" s="238"/>
      <c r="L98" s="238" t="s">
        <v>36</v>
      </c>
      <c r="M98" s="238" t="s">
        <v>36</v>
      </c>
      <c r="N98" s="238"/>
      <c r="O98" s="238"/>
      <c r="P98" s="238" t="s">
        <v>36</v>
      </c>
      <c r="Q98" s="238" t="s">
        <v>36</v>
      </c>
      <c r="R98" s="238" t="s">
        <v>36</v>
      </c>
      <c r="S98" s="238"/>
      <c r="T98" s="238"/>
      <c r="U98" s="238"/>
      <c r="V98" s="238"/>
      <c r="W98" s="238"/>
      <c r="X98" s="238"/>
      <c r="Y98" s="238"/>
      <c r="Z98" s="238"/>
      <c r="AA98" s="238"/>
      <c r="AB98" s="238"/>
      <c r="AC98" s="168">
        <f>COUNTIF(F98:AB98,"X")</f>
        <v>5</v>
      </c>
      <c r="AD98" s="122">
        <v>24479</v>
      </c>
      <c r="AE98" s="123">
        <f t="shared" si="10"/>
        <v>122.395</v>
      </c>
      <c r="AF98" s="124" t="s">
        <v>246</v>
      </c>
      <c r="AG98" s="164"/>
    </row>
    <row r="99" spans="1:33">
      <c r="A99" s="103">
        <v>59</v>
      </c>
      <c r="B99" s="165" t="s">
        <v>247</v>
      </c>
      <c r="C99" s="158" t="s">
        <v>248</v>
      </c>
      <c r="D99" s="165" t="s">
        <v>40</v>
      </c>
      <c r="E99" s="163" t="s">
        <v>245</v>
      </c>
      <c r="F99" s="238"/>
      <c r="G99" s="238"/>
      <c r="H99" s="238"/>
      <c r="I99" s="238"/>
      <c r="J99" s="238"/>
      <c r="K99" s="238"/>
      <c r="L99" s="238" t="s">
        <v>36</v>
      </c>
      <c r="M99" s="238"/>
      <c r="N99" s="238"/>
      <c r="O99" s="238"/>
      <c r="P99" s="238"/>
      <c r="Q99" s="238"/>
      <c r="R99" s="238" t="s">
        <v>36</v>
      </c>
      <c r="S99" s="238"/>
      <c r="T99" s="238"/>
      <c r="U99" s="238"/>
      <c r="V99" s="238"/>
      <c r="W99" s="238"/>
      <c r="X99" s="238"/>
      <c r="Y99" s="238"/>
      <c r="Z99" s="238"/>
      <c r="AA99" s="238"/>
      <c r="AB99" s="238"/>
      <c r="AC99" s="168">
        <f>COUNTIF(F99:AB99,"X")</f>
        <v>2</v>
      </c>
      <c r="AD99" s="122">
        <v>3</v>
      </c>
      <c r="AE99" s="123">
        <f t="shared" si="10"/>
        <v>1.4999999999999999E-2</v>
      </c>
      <c r="AF99" s="157"/>
      <c r="AG99" s="164"/>
    </row>
    <row r="100" spans="1:33">
      <c r="A100" s="137">
        <v>60</v>
      </c>
      <c r="B100" s="165" t="s">
        <v>249</v>
      </c>
      <c r="C100" s="158" t="s">
        <v>250</v>
      </c>
      <c r="D100" s="165" t="s">
        <v>34</v>
      </c>
      <c r="E100" s="163" t="s">
        <v>245</v>
      </c>
      <c r="F100" s="238" t="s">
        <v>36</v>
      </c>
      <c r="G100" s="238" t="s">
        <v>36</v>
      </c>
      <c r="H100" s="238" t="s">
        <v>36</v>
      </c>
      <c r="I100" s="238" t="s">
        <v>36</v>
      </c>
      <c r="J100" s="238" t="s">
        <v>36</v>
      </c>
      <c r="K100" s="238" t="s">
        <v>36</v>
      </c>
      <c r="L100" s="238" t="s">
        <v>36</v>
      </c>
      <c r="M100" s="238" t="s">
        <v>36</v>
      </c>
      <c r="N100" s="238" t="s">
        <v>36</v>
      </c>
      <c r="O100" s="238"/>
      <c r="P100" s="238" t="s">
        <v>36</v>
      </c>
      <c r="Q100" s="238" t="s">
        <v>36</v>
      </c>
      <c r="R100" s="238" t="s">
        <v>36</v>
      </c>
      <c r="S100" s="238" t="s">
        <v>36</v>
      </c>
      <c r="T100" s="238"/>
      <c r="U100" s="238"/>
      <c r="V100" s="238"/>
      <c r="W100" s="238"/>
      <c r="X100" s="238" t="s">
        <v>36</v>
      </c>
      <c r="Y100" s="238"/>
      <c r="Z100" s="238" t="s">
        <v>36</v>
      </c>
      <c r="AA100" s="238" t="s">
        <v>36</v>
      </c>
      <c r="AB100" s="238"/>
      <c r="AC100" s="168">
        <f>COUNTIF(F100:AB100,"X")</f>
        <v>16</v>
      </c>
      <c r="AD100" s="122">
        <v>40676</v>
      </c>
      <c r="AE100" s="123">
        <f t="shared" si="10"/>
        <v>203.38</v>
      </c>
      <c r="AF100" s="157"/>
      <c r="AG100" s="164"/>
    </row>
    <row r="101" spans="1:33">
      <c r="A101" s="103">
        <v>61</v>
      </c>
      <c r="B101" s="174" t="s">
        <v>251</v>
      </c>
      <c r="C101" s="179" t="s">
        <v>252</v>
      </c>
      <c r="D101" s="174" t="s">
        <v>40</v>
      </c>
      <c r="E101" s="163" t="s">
        <v>245</v>
      </c>
      <c r="F101" s="238"/>
      <c r="G101" s="238"/>
      <c r="H101" s="238"/>
      <c r="I101" s="238"/>
      <c r="J101" s="238"/>
      <c r="K101" s="238"/>
      <c r="L101" s="238" t="s">
        <v>36</v>
      </c>
      <c r="M101" s="238"/>
      <c r="N101" s="238"/>
      <c r="O101" s="238"/>
      <c r="P101" s="238" t="s">
        <v>36</v>
      </c>
      <c r="Q101" s="238" t="s">
        <v>36</v>
      </c>
      <c r="R101" s="238" t="s">
        <v>36</v>
      </c>
      <c r="S101" s="238"/>
      <c r="T101" s="238"/>
      <c r="U101" s="238"/>
      <c r="V101" s="238"/>
      <c r="W101" s="238"/>
      <c r="X101" s="238"/>
      <c r="Y101" s="238"/>
      <c r="Z101" s="238"/>
      <c r="AA101" s="238"/>
      <c r="AB101" s="238"/>
      <c r="AC101" s="168">
        <f>COUNTIF(F101:AB101,"X")</f>
        <v>4</v>
      </c>
      <c r="AD101" s="122">
        <v>975</v>
      </c>
      <c r="AE101" s="123">
        <f t="shared" si="10"/>
        <v>4.875</v>
      </c>
      <c r="AF101" s="157"/>
      <c r="AG101" s="164"/>
    </row>
    <row r="102" spans="1:33">
      <c r="A102" s="103">
        <v>61.1</v>
      </c>
      <c r="B102" s="175" t="s">
        <v>253</v>
      </c>
      <c r="C102" s="179" t="s">
        <v>254</v>
      </c>
      <c r="D102" s="174" t="s">
        <v>51</v>
      </c>
      <c r="E102" s="163" t="s">
        <v>245</v>
      </c>
      <c r="F102" s="238"/>
      <c r="G102" s="238"/>
      <c r="H102" s="238"/>
      <c r="I102" s="238"/>
      <c r="J102" s="238"/>
      <c r="K102" s="238"/>
      <c r="L102" s="238"/>
      <c r="M102" s="238"/>
      <c r="N102" s="238"/>
      <c r="O102" s="238"/>
      <c r="P102" s="238"/>
      <c r="Q102" s="238"/>
      <c r="R102" s="238"/>
      <c r="S102" s="238"/>
      <c r="T102" s="238"/>
      <c r="U102" s="238"/>
      <c r="V102" s="238"/>
      <c r="W102" s="238"/>
      <c r="X102" s="238"/>
      <c r="Y102" s="238"/>
      <c r="Z102" s="238"/>
      <c r="AA102" s="238"/>
      <c r="AB102" s="238"/>
      <c r="AC102" s="168"/>
      <c r="AD102" s="122">
        <v>0</v>
      </c>
      <c r="AE102" s="123">
        <f t="shared" si="10"/>
        <v>0</v>
      </c>
      <c r="AF102" s="157"/>
      <c r="AG102" s="164"/>
    </row>
    <row r="103" spans="1:33">
      <c r="A103" s="103">
        <v>61.2</v>
      </c>
      <c r="B103" s="114" t="s">
        <v>255</v>
      </c>
      <c r="C103" s="106" t="s">
        <v>256</v>
      </c>
      <c r="D103" s="174" t="s">
        <v>51</v>
      </c>
      <c r="E103" s="163" t="s">
        <v>245</v>
      </c>
      <c r="F103" s="238"/>
      <c r="G103" s="238"/>
      <c r="H103" s="238"/>
      <c r="I103" s="238"/>
      <c r="J103" s="238"/>
      <c r="K103" s="238"/>
      <c r="L103" s="238"/>
      <c r="M103" s="238"/>
      <c r="N103" s="238"/>
      <c r="O103" s="238"/>
      <c r="P103" s="238"/>
      <c r="Q103" s="238"/>
      <c r="R103" s="238"/>
      <c r="S103" s="238"/>
      <c r="T103" s="238"/>
      <c r="U103" s="238"/>
      <c r="V103" s="238"/>
      <c r="W103" s="238"/>
      <c r="X103" s="238"/>
      <c r="Y103" s="238"/>
      <c r="Z103" s="238"/>
      <c r="AA103" s="238"/>
      <c r="AB103" s="238"/>
      <c r="AC103" s="168"/>
      <c r="AD103" s="122">
        <v>0</v>
      </c>
      <c r="AE103" s="123">
        <f t="shared" si="10"/>
        <v>0</v>
      </c>
      <c r="AF103" s="157"/>
      <c r="AG103" s="164"/>
    </row>
    <row r="104" spans="1:33">
      <c r="A104" s="103">
        <v>62</v>
      </c>
      <c r="B104" s="97" t="s">
        <v>257</v>
      </c>
      <c r="C104" s="99" t="s">
        <v>258</v>
      </c>
      <c r="D104" s="165" t="s">
        <v>40</v>
      </c>
      <c r="E104" s="163" t="s">
        <v>245</v>
      </c>
      <c r="F104" s="238"/>
      <c r="G104" s="238"/>
      <c r="H104" s="238"/>
      <c r="I104" s="238"/>
      <c r="J104" s="238"/>
      <c r="K104" s="238"/>
      <c r="L104" s="238" t="s">
        <v>36</v>
      </c>
      <c r="M104" s="238"/>
      <c r="N104" s="238"/>
      <c r="O104" s="238"/>
      <c r="P104" s="238"/>
      <c r="Q104" s="238"/>
      <c r="R104" s="238" t="s">
        <v>36</v>
      </c>
      <c r="S104" s="238"/>
      <c r="T104" s="238"/>
      <c r="U104" s="238"/>
      <c r="V104" s="238"/>
      <c r="W104" s="238"/>
      <c r="X104" s="238"/>
      <c r="Y104" s="238"/>
      <c r="Z104" s="238"/>
      <c r="AA104" s="238"/>
      <c r="AB104" s="238"/>
      <c r="AC104" s="238">
        <f>COUNTIF(F104:AB104,"X")</f>
        <v>2</v>
      </c>
      <c r="AD104" s="122">
        <v>424</v>
      </c>
      <c r="AE104" s="123">
        <f t="shared" si="10"/>
        <v>2.12</v>
      </c>
      <c r="AF104" s="98" t="s">
        <v>259</v>
      </c>
      <c r="AG104" s="164"/>
    </row>
    <row r="105" spans="1:33">
      <c r="A105" s="103">
        <v>63</v>
      </c>
      <c r="B105" s="165" t="s">
        <v>260</v>
      </c>
      <c r="C105" s="158" t="s">
        <v>261</v>
      </c>
      <c r="D105" s="165" t="s">
        <v>43</v>
      </c>
      <c r="E105" s="163" t="s">
        <v>245</v>
      </c>
      <c r="F105" s="238"/>
      <c r="G105" s="238"/>
      <c r="H105" s="238"/>
      <c r="I105" s="238" t="s">
        <v>36</v>
      </c>
      <c r="J105" s="238"/>
      <c r="K105" s="238"/>
      <c r="L105" s="238" t="s">
        <v>36</v>
      </c>
      <c r="M105" s="238"/>
      <c r="N105" s="238"/>
      <c r="O105" s="238"/>
      <c r="P105" s="238" t="s">
        <v>36</v>
      </c>
      <c r="Q105" s="238" t="s">
        <v>36</v>
      </c>
      <c r="R105" s="238" t="s">
        <v>36</v>
      </c>
      <c r="S105" s="238"/>
      <c r="T105" s="238"/>
      <c r="U105" s="238"/>
      <c r="V105" s="238"/>
      <c r="W105" s="238"/>
      <c r="X105" s="238"/>
      <c r="Y105" s="238"/>
      <c r="Z105" s="238"/>
      <c r="AA105" s="238"/>
      <c r="AB105" s="238"/>
      <c r="AC105" s="168">
        <f>COUNTIF(F105:AB105,"X")</f>
        <v>5</v>
      </c>
      <c r="AD105" s="122">
        <v>7884</v>
      </c>
      <c r="AE105" s="123">
        <f t="shared" si="10"/>
        <v>39.42</v>
      </c>
      <c r="AF105" s="157"/>
      <c r="AG105" s="164"/>
    </row>
    <row r="106" spans="1:33">
      <c r="A106" s="103">
        <v>64</v>
      </c>
      <c r="B106" s="165" t="s">
        <v>262</v>
      </c>
      <c r="C106" s="158" t="s">
        <v>263</v>
      </c>
      <c r="D106" s="165" t="s">
        <v>40</v>
      </c>
      <c r="E106" s="163" t="s">
        <v>245</v>
      </c>
      <c r="F106" s="238" t="s">
        <v>36</v>
      </c>
      <c r="G106" s="238"/>
      <c r="H106" s="238"/>
      <c r="I106" s="238" t="s">
        <v>36</v>
      </c>
      <c r="J106" s="238"/>
      <c r="K106" s="238"/>
      <c r="L106" s="238" t="s">
        <v>36</v>
      </c>
      <c r="M106" s="238" t="s">
        <v>36</v>
      </c>
      <c r="N106" s="238"/>
      <c r="O106" s="238"/>
      <c r="P106" s="238" t="s">
        <v>36</v>
      </c>
      <c r="Q106" s="238" t="s">
        <v>36</v>
      </c>
      <c r="R106" s="238" t="s">
        <v>36</v>
      </c>
      <c r="S106" s="238" t="s">
        <v>36</v>
      </c>
      <c r="T106" s="238"/>
      <c r="U106" s="238"/>
      <c r="V106" s="238"/>
      <c r="W106" s="238"/>
      <c r="X106" s="238"/>
      <c r="Y106" s="238"/>
      <c r="Z106" s="238"/>
      <c r="AA106" s="238" t="s">
        <v>36</v>
      </c>
      <c r="AB106" s="238"/>
      <c r="AC106" s="168">
        <f>COUNTIF(F106:AB106,"X")</f>
        <v>9</v>
      </c>
      <c r="AD106" s="122">
        <v>7441</v>
      </c>
      <c r="AE106" s="123">
        <f t="shared" si="10"/>
        <v>37.204999999999998</v>
      </c>
      <c r="AF106" s="157"/>
      <c r="AG106" s="164"/>
    </row>
    <row r="107" spans="1:33">
      <c r="A107" s="103">
        <v>64.099999999999994</v>
      </c>
      <c r="B107" s="178" t="s">
        <v>264</v>
      </c>
      <c r="C107" s="158" t="s">
        <v>264</v>
      </c>
      <c r="D107" s="165" t="s">
        <v>34</v>
      </c>
      <c r="E107" s="163" t="s">
        <v>245</v>
      </c>
      <c r="F107" s="238"/>
      <c r="G107" s="238"/>
      <c r="H107" s="238"/>
      <c r="I107" s="238"/>
      <c r="J107" s="238"/>
      <c r="K107" s="238"/>
      <c r="L107" s="238"/>
      <c r="M107" s="238"/>
      <c r="N107" s="238"/>
      <c r="O107" s="238"/>
      <c r="P107" s="238"/>
      <c r="Q107" s="238"/>
      <c r="R107" s="238"/>
      <c r="S107" s="238"/>
      <c r="T107" s="238"/>
      <c r="U107" s="238"/>
      <c r="V107" s="238"/>
      <c r="W107" s="238"/>
      <c r="X107" s="238"/>
      <c r="Y107" s="238"/>
      <c r="Z107" s="238"/>
      <c r="AA107" s="238"/>
      <c r="AB107" s="238"/>
      <c r="AC107" s="168"/>
      <c r="AD107" s="122">
        <v>120</v>
      </c>
      <c r="AE107" s="123">
        <f t="shared" si="10"/>
        <v>0.6</v>
      </c>
      <c r="AF107" s="157"/>
      <c r="AG107" s="164"/>
    </row>
    <row r="108" spans="1:33">
      <c r="A108" s="103">
        <v>65</v>
      </c>
      <c r="B108" s="165" t="s">
        <v>265</v>
      </c>
      <c r="C108" s="158" t="s">
        <v>266</v>
      </c>
      <c r="D108" s="165" t="s">
        <v>34</v>
      </c>
      <c r="E108" s="163" t="s">
        <v>245</v>
      </c>
      <c r="F108" s="238"/>
      <c r="G108" s="238"/>
      <c r="H108" s="238"/>
      <c r="I108" s="238"/>
      <c r="J108" s="238"/>
      <c r="K108" s="238"/>
      <c r="L108" s="238" t="s">
        <v>36</v>
      </c>
      <c r="M108" s="238"/>
      <c r="N108" s="238"/>
      <c r="O108" s="238"/>
      <c r="P108" s="238" t="s">
        <v>36</v>
      </c>
      <c r="Q108" s="238" t="s">
        <v>36</v>
      </c>
      <c r="R108" s="238" t="s">
        <v>36</v>
      </c>
      <c r="S108" s="238"/>
      <c r="T108" s="238"/>
      <c r="U108" s="238"/>
      <c r="V108" s="238"/>
      <c r="W108" s="238"/>
      <c r="X108" s="238"/>
      <c r="Y108" s="238"/>
      <c r="Z108" s="238"/>
      <c r="AA108" s="238"/>
      <c r="AB108" s="238"/>
      <c r="AC108" s="168">
        <f>COUNTIF(F108:AB108,"X")</f>
        <v>4</v>
      </c>
      <c r="AD108" s="122">
        <v>6</v>
      </c>
      <c r="AE108" s="123">
        <f t="shared" si="10"/>
        <v>0.03</v>
      </c>
      <c r="AF108" s="157"/>
      <c r="AG108" s="164"/>
    </row>
    <row r="109" spans="1:33">
      <c r="A109" s="103">
        <v>66</v>
      </c>
      <c r="B109" s="165" t="s">
        <v>267</v>
      </c>
      <c r="C109" s="158" t="s">
        <v>268</v>
      </c>
      <c r="D109" s="165" t="s">
        <v>40</v>
      </c>
      <c r="E109" s="163" t="s">
        <v>245</v>
      </c>
      <c r="F109" s="238"/>
      <c r="G109" s="238"/>
      <c r="H109" s="238"/>
      <c r="I109" s="238"/>
      <c r="J109" s="238"/>
      <c r="K109" s="238"/>
      <c r="L109" s="238" t="s">
        <v>36</v>
      </c>
      <c r="M109" s="238"/>
      <c r="N109" s="238"/>
      <c r="O109" s="238"/>
      <c r="P109" s="238" t="s">
        <v>36</v>
      </c>
      <c r="Q109" s="238" t="s">
        <v>36</v>
      </c>
      <c r="R109" s="238" t="s">
        <v>36</v>
      </c>
      <c r="S109" s="238"/>
      <c r="T109" s="238"/>
      <c r="U109" s="238"/>
      <c r="V109" s="238"/>
      <c r="W109" s="238"/>
      <c r="X109" s="238"/>
      <c r="Y109" s="238"/>
      <c r="Z109" s="238"/>
      <c r="AA109" s="238"/>
      <c r="AB109" s="238"/>
      <c r="AC109" s="168">
        <f>COUNTIF(F109:AB109,"X")</f>
        <v>4</v>
      </c>
      <c r="AD109" s="122">
        <v>102</v>
      </c>
      <c r="AE109" s="123">
        <f t="shared" si="10"/>
        <v>0.51</v>
      </c>
      <c r="AF109" s="157"/>
      <c r="AG109" s="164"/>
    </row>
    <row r="110" spans="1:33">
      <c r="A110" s="103">
        <v>66.099999999999994</v>
      </c>
      <c r="B110" s="114" t="s">
        <v>269</v>
      </c>
      <c r="C110" s="106" t="s">
        <v>269</v>
      </c>
      <c r="D110" s="107" t="s">
        <v>51</v>
      </c>
      <c r="E110" s="163" t="s">
        <v>245</v>
      </c>
      <c r="F110" s="238"/>
      <c r="G110" s="238"/>
      <c r="H110" s="238"/>
      <c r="I110" s="238"/>
      <c r="J110" s="238"/>
      <c r="K110" s="238"/>
      <c r="L110" s="238"/>
      <c r="M110" s="238"/>
      <c r="N110" s="238"/>
      <c r="O110" s="238"/>
      <c r="P110" s="238"/>
      <c r="Q110" s="238"/>
      <c r="R110" s="238"/>
      <c r="S110" s="238"/>
      <c r="T110" s="238"/>
      <c r="U110" s="238"/>
      <c r="V110" s="238"/>
      <c r="W110" s="238"/>
      <c r="X110" s="238"/>
      <c r="Y110" s="238"/>
      <c r="Z110" s="238"/>
      <c r="AA110" s="238"/>
      <c r="AB110" s="238"/>
      <c r="AC110" s="168"/>
      <c r="AD110" s="122">
        <v>1</v>
      </c>
      <c r="AE110" s="123">
        <f t="shared" si="10"/>
        <v>5.0000000000000001E-3</v>
      </c>
      <c r="AF110" s="157"/>
      <c r="AG110" s="164"/>
    </row>
    <row r="111" spans="1:33">
      <c r="A111" s="103">
        <v>67</v>
      </c>
      <c r="B111" s="165" t="s">
        <v>270</v>
      </c>
      <c r="C111" s="158" t="s">
        <v>271</v>
      </c>
      <c r="D111" s="165" t="s">
        <v>51</v>
      </c>
      <c r="E111" s="163" t="s">
        <v>245</v>
      </c>
      <c r="F111" s="238"/>
      <c r="G111" s="238"/>
      <c r="H111" s="238"/>
      <c r="I111" s="238"/>
      <c r="J111" s="238"/>
      <c r="K111" s="238"/>
      <c r="L111" s="238" t="s">
        <v>36</v>
      </c>
      <c r="M111" s="238"/>
      <c r="N111" s="238"/>
      <c r="O111" s="238"/>
      <c r="P111" s="238"/>
      <c r="Q111" s="238" t="s">
        <v>36</v>
      </c>
      <c r="R111" s="238" t="s">
        <v>36</v>
      </c>
      <c r="S111" s="238"/>
      <c r="T111" s="238"/>
      <c r="U111" s="238"/>
      <c r="V111" s="238"/>
      <c r="W111" s="238"/>
      <c r="X111" s="238"/>
      <c r="Y111" s="238"/>
      <c r="Z111" s="238"/>
      <c r="AA111" s="238"/>
      <c r="AB111" s="238"/>
      <c r="AC111" s="168">
        <f t="shared" ref="AC111:AC131" si="11">COUNTIF(F111:AB111,"X")</f>
        <v>3</v>
      </c>
      <c r="AD111" s="122">
        <v>484</v>
      </c>
      <c r="AE111" s="123">
        <f t="shared" si="10"/>
        <v>2.42</v>
      </c>
      <c r="AF111" s="157"/>
      <c r="AG111" s="164"/>
    </row>
    <row r="112" spans="1:33">
      <c r="A112" s="103">
        <v>68</v>
      </c>
      <c r="B112" s="165" t="s">
        <v>272</v>
      </c>
      <c r="C112" s="158" t="s">
        <v>273</v>
      </c>
      <c r="D112" s="165" t="s">
        <v>40</v>
      </c>
      <c r="E112" s="163" t="s">
        <v>245</v>
      </c>
      <c r="F112" s="238"/>
      <c r="G112" s="238"/>
      <c r="H112" s="238"/>
      <c r="I112" s="238"/>
      <c r="J112" s="238"/>
      <c r="K112" s="238"/>
      <c r="L112" s="238" t="s">
        <v>36</v>
      </c>
      <c r="M112" s="238"/>
      <c r="N112" s="238"/>
      <c r="O112" s="238"/>
      <c r="P112" s="238" t="s">
        <v>36</v>
      </c>
      <c r="Q112" s="238" t="s">
        <v>36</v>
      </c>
      <c r="R112" s="238" t="s">
        <v>36</v>
      </c>
      <c r="S112" s="238"/>
      <c r="T112" s="238"/>
      <c r="U112" s="238"/>
      <c r="V112" s="238"/>
      <c r="W112" s="238"/>
      <c r="X112" s="238"/>
      <c r="Y112" s="238"/>
      <c r="Z112" s="238"/>
      <c r="AA112" s="238"/>
      <c r="AB112" s="238"/>
      <c r="AC112" s="168">
        <f t="shared" si="11"/>
        <v>4</v>
      </c>
      <c r="AD112" s="122">
        <v>0</v>
      </c>
      <c r="AE112" s="123">
        <f t="shared" si="10"/>
        <v>0</v>
      </c>
      <c r="AF112" s="157"/>
      <c r="AG112" s="164"/>
    </row>
    <row r="113" spans="1:33">
      <c r="A113" s="103">
        <v>69</v>
      </c>
      <c r="B113" s="165" t="s">
        <v>274</v>
      </c>
      <c r="C113" s="179" t="s">
        <v>275</v>
      </c>
      <c r="D113" s="165" t="s">
        <v>43</v>
      </c>
      <c r="E113" s="184" t="s">
        <v>276</v>
      </c>
      <c r="F113" s="238"/>
      <c r="G113" s="238"/>
      <c r="H113" s="238"/>
      <c r="I113" s="238"/>
      <c r="J113" s="238"/>
      <c r="K113" s="238"/>
      <c r="L113" s="238" t="s">
        <v>36</v>
      </c>
      <c r="M113" s="238"/>
      <c r="N113" s="238"/>
      <c r="O113" s="238"/>
      <c r="P113" s="238"/>
      <c r="Q113" s="238" t="s">
        <v>36</v>
      </c>
      <c r="R113" s="238" t="s">
        <v>36</v>
      </c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>
        <f t="shared" si="11"/>
        <v>3</v>
      </c>
      <c r="AD113" s="122">
        <v>122</v>
      </c>
      <c r="AE113" s="123">
        <f t="shared" si="10"/>
        <v>0.61</v>
      </c>
      <c r="AF113" s="157"/>
      <c r="AG113" s="164"/>
    </row>
    <row r="114" spans="1:33">
      <c r="A114" s="103">
        <v>70</v>
      </c>
      <c r="B114" s="165" t="s">
        <v>277</v>
      </c>
      <c r="C114" s="179" t="s">
        <v>278</v>
      </c>
      <c r="D114" s="165" t="s">
        <v>34</v>
      </c>
      <c r="E114" s="184" t="s">
        <v>276</v>
      </c>
      <c r="F114" s="238"/>
      <c r="G114" s="238"/>
      <c r="H114" s="238"/>
      <c r="I114" s="238"/>
      <c r="J114" s="238"/>
      <c r="K114" s="238"/>
      <c r="L114" s="238"/>
      <c r="M114" s="238"/>
      <c r="N114" s="238"/>
      <c r="O114" s="238"/>
      <c r="P114" s="238"/>
      <c r="Q114" s="238" t="s">
        <v>36</v>
      </c>
      <c r="R114" s="238" t="s">
        <v>36</v>
      </c>
      <c r="S114" s="238"/>
      <c r="T114" s="238"/>
      <c r="U114" s="238"/>
      <c r="V114" s="238"/>
      <c r="W114" s="238"/>
      <c r="X114" s="238"/>
      <c r="Y114" s="238"/>
      <c r="Z114" s="238"/>
      <c r="AA114" s="238"/>
      <c r="AB114" s="238"/>
      <c r="AC114" s="238">
        <f t="shared" si="11"/>
        <v>2</v>
      </c>
      <c r="AD114" s="122">
        <v>1</v>
      </c>
      <c r="AE114" s="123">
        <f t="shared" si="10"/>
        <v>5.0000000000000001E-3</v>
      </c>
      <c r="AF114" s="157"/>
      <c r="AG114" s="164"/>
    </row>
    <row r="115" spans="1:33">
      <c r="A115" s="103">
        <v>71</v>
      </c>
      <c r="B115" s="165" t="s">
        <v>279</v>
      </c>
      <c r="C115" s="179" t="s">
        <v>280</v>
      </c>
      <c r="D115" s="165" t="s">
        <v>40</v>
      </c>
      <c r="E115" s="184" t="s">
        <v>276</v>
      </c>
      <c r="F115" s="238"/>
      <c r="G115" s="238"/>
      <c r="H115" s="238"/>
      <c r="I115" s="238"/>
      <c r="J115" s="238"/>
      <c r="K115" s="238"/>
      <c r="L115" s="238" t="s">
        <v>36</v>
      </c>
      <c r="M115" s="238"/>
      <c r="N115" s="238"/>
      <c r="O115" s="238"/>
      <c r="P115" s="238"/>
      <c r="Q115" s="238"/>
      <c r="R115" s="238" t="s">
        <v>36</v>
      </c>
      <c r="S115" s="238"/>
      <c r="T115" s="238"/>
      <c r="U115" s="238"/>
      <c r="V115" s="238"/>
      <c r="W115" s="238"/>
      <c r="X115" s="238"/>
      <c r="Y115" s="238"/>
      <c r="Z115" s="238"/>
      <c r="AA115" s="238"/>
      <c r="AB115" s="238"/>
      <c r="AC115" s="238">
        <f t="shared" si="11"/>
        <v>2</v>
      </c>
      <c r="AD115" s="122">
        <v>80</v>
      </c>
      <c r="AE115" s="123">
        <f t="shared" si="10"/>
        <v>0.4</v>
      </c>
      <c r="AF115" s="157"/>
      <c r="AG115" s="29"/>
    </row>
    <row r="116" spans="1:33">
      <c r="A116" s="103">
        <v>72</v>
      </c>
      <c r="B116" s="165" t="s">
        <v>281</v>
      </c>
      <c r="C116" s="179" t="s">
        <v>282</v>
      </c>
      <c r="D116" s="165" t="s">
        <v>51</v>
      </c>
      <c r="E116" s="184" t="s">
        <v>276</v>
      </c>
      <c r="F116" s="238"/>
      <c r="G116" s="238"/>
      <c r="H116" s="238"/>
      <c r="I116" s="238"/>
      <c r="J116" s="238"/>
      <c r="K116" s="238"/>
      <c r="L116" s="238" t="s">
        <v>36</v>
      </c>
      <c r="M116" s="238"/>
      <c r="N116" s="238"/>
      <c r="O116" s="238"/>
      <c r="P116" s="238"/>
      <c r="Q116" s="238" t="s">
        <v>36</v>
      </c>
      <c r="R116" s="238" t="s">
        <v>36</v>
      </c>
      <c r="S116" s="238"/>
      <c r="T116" s="238"/>
      <c r="U116" s="238"/>
      <c r="V116" s="238"/>
      <c r="W116" s="238"/>
      <c r="X116" s="238"/>
      <c r="Y116" s="238"/>
      <c r="Z116" s="238"/>
      <c r="AA116" s="238"/>
      <c r="AB116" s="238"/>
      <c r="AC116" s="238">
        <f t="shared" si="11"/>
        <v>3</v>
      </c>
      <c r="AD116" s="122">
        <v>5</v>
      </c>
      <c r="AE116" s="123">
        <f t="shared" si="10"/>
        <v>2.5000000000000001E-2</v>
      </c>
      <c r="AF116" s="157"/>
      <c r="AG116" s="164"/>
    </row>
    <row r="117" spans="1:33">
      <c r="A117" s="103">
        <v>73</v>
      </c>
      <c r="B117" s="165" t="s">
        <v>283</v>
      </c>
      <c r="C117" s="179" t="s">
        <v>284</v>
      </c>
      <c r="D117" s="165" t="s">
        <v>34</v>
      </c>
      <c r="E117" s="184" t="s">
        <v>276</v>
      </c>
      <c r="F117" s="238"/>
      <c r="G117" s="238"/>
      <c r="H117" s="238"/>
      <c r="I117" s="238"/>
      <c r="J117" s="238"/>
      <c r="K117" s="238"/>
      <c r="L117" s="238" t="s">
        <v>36</v>
      </c>
      <c r="M117" s="238"/>
      <c r="N117" s="238"/>
      <c r="O117" s="238"/>
      <c r="P117" s="238"/>
      <c r="Q117" s="238"/>
      <c r="R117" s="238" t="s">
        <v>36</v>
      </c>
      <c r="S117" s="238"/>
      <c r="T117" s="238"/>
      <c r="U117" s="238"/>
      <c r="V117" s="238"/>
      <c r="W117" s="238"/>
      <c r="X117" s="238"/>
      <c r="Y117" s="238"/>
      <c r="Z117" s="238"/>
      <c r="AA117" s="238"/>
      <c r="AB117" s="238"/>
      <c r="AC117" s="238">
        <f t="shared" si="11"/>
        <v>2</v>
      </c>
      <c r="AD117" s="122">
        <v>23</v>
      </c>
      <c r="AE117" s="123">
        <f t="shared" si="10"/>
        <v>0.115</v>
      </c>
      <c r="AF117" s="157"/>
      <c r="AG117" s="164"/>
    </row>
    <row r="118" spans="1:33">
      <c r="A118" s="103">
        <v>74</v>
      </c>
      <c r="B118" s="165" t="s">
        <v>285</v>
      </c>
      <c r="C118" s="179" t="s">
        <v>286</v>
      </c>
      <c r="D118" s="165" t="s">
        <v>34</v>
      </c>
      <c r="E118" s="184" t="s">
        <v>276</v>
      </c>
      <c r="F118" s="238"/>
      <c r="G118" s="238"/>
      <c r="H118" s="238"/>
      <c r="I118" s="238"/>
      <c r="J118" s="238"/>
      <c r="K118" s="238"/>
      <c r="L118" s="238" t="s">
        <v>36</v>
      </c>
      <c r="M118" s="238"/>
      <c r="N118" s="238"/>
      <c r="O118" s="238"/>
      <c r="P118" s="238"/>
      <c r="Q118" s="238" t="s">
        <v>36</v>
      </c>
      <c r="R118" s="238" t="s">
        <v>36</v>
      </c>
      <c r="S118" s="238"/>
      <c r="T118" s="238"/>
      <c r="U118" s="238"/>
      <c r="V118" s="238"/>
      <c r="W118" s="238"/>
      <c r="X118" s="238"/>
      <c r="Y118" s="238"/>
      <c r="Z118" s="238"/>
      <c r="AA118" s="238"/>
      <c r="AB118" s="238"/>
      <c r="AC118" s="238">
        <f t="shared" si="11"/>
        <v>3</v>
      </c>
      <c r="AD118" s="122">
        <v>21</v>
      </c>
      <c r="AE118" s="123">
        <f t="shared" si="10"/>
        <v>0.105</v>
      </c>
      <c r="AF118" s="157"/>
      <c r="AG118" s="164"/>
    </row>
    <row r="119" spans="1:33">
      <c r="A119" s="103">
        <v>75</v>
      </c>
      <c r="B119" s="165" t="s">
        <v>287</v>
      </c>
      <c r="C119" s="179" t="s">
        <v>288</v>
      </c>
      <c r="D119" s="165" t="s">
        <v>34</v>
      </c>
      <c r="E119" s="184" t="s">
        <v>276</v>
      </c>
      <c r="F119" s="238"/>
      <c r="G119" s="238"/>
      <c r="H119" s="238"/>
      <c r="I119" s="238"/>
      <c r="J119" s="238"/>
      <c r="K119" s="238"/>
      <c r="L119" s="238" t="s">
        <v>36</v>
      </c>
      <c r="M119" s="238"/>
      <c r="N119" s="238"/>
      <c r="O119" s="238"/>
      <c r="P119" s="238"/>
      <c r="Q119" s="238" t="s">
        <v>36</v>
      </c>
      <c r="R119" s="238" t="s">
        <v>36</v>
      </c>
      <c r="S119" s="238"/>
      <c r="T119" s="238"/>
      <c r="U119" s="238"/>
      <c r="V119" s="238"/>
      <c r="W119" s="238"/>
      <c r="X119" s="238"/>
      <c r="Y119" s="238"/>
      <c r="Z119" s="238"/>
      <c r="AA119" s="238"/>
      <c r="AB119" s="238"/>
      <c r="AC119" s="238">
        <f t="shared" si="11"/>
        <v>3</v>
      </c>
      <c r="AD119" s="122">
        <v>65</v>
      </c>
      <c r="AE119" s="123">
        <f t="shared" si="10"/>
        <v>0.32500000000000001</v>
      </c>
      <c r="AF119" s="157"/>
      <c r="AG119" s="164"/>
    </row>
    <row r="120" spans="1:33">
      <c r="A120" s="103">
        <v>76</v>
      </c>
      <c r="B120" s="165" t="s">
        <v>289</v>
      </c>
      <c r="C120" s="179" t="s">
        <v>290</v>
      </c>
      <c r="D120" s="165" t="s">
        <v>34</v>
      </c>
      <c r="E120" s="184" t="s">
        <v>276</v>
      </c>
      <c r="F120" s="238"/>
      <c r="G120" s="238"/>
      <c r="H120" s="238"/>
      <c r="I120" s="238"/>
      <c r="J120" s="238"/>
      <c r="K120" s="238"/>
      <c r="L120" s="238" t="s">
        <v>36</v>
      </c>
      <c r="M120" s="238"/>
      <c r="N120" s="238"/>
      <c r="O120" s="238"/>
      <c r="P120" s="238"/>
      <c r="Q120" s="238" t="s">
        <v>36</v>
      </c>
      <c r="R120" s="238" t="s">
        <v>36</v>
      </c>
      <c r="S120" s="238"/>
      <c r="T120" s="238"/>
      <c r="U120" s="238"/>
      <c r="V120" s="238"/>
      <c r="W120" s="238"/>
      <c r="X120" s="238"/>
      <c r="Y120" s="238"/>
      <c r="Z120" s="238"/>
      <c r="AA120" s="238"/>
      <c r="AB120" s="238"/>
      <c r="AC120" s="238">
        <f t="shared" si="11"/>
        <v>3</v>
      </c>
      <c r="AD120" s="122">
        <v>63</v>
      </c>
      <c r="AE120" s="123">
        <f t="shared" si="10"/>
        <v>0.315</v>
      </c>
      <c r="AF120" s="157"/>
      <c r="AG120" s="164"/>
    </row>
    <row r="121" spans="1:33">
      <c r="A121" s="103">
        <v>77</v>
      </c>
      <c r="B121" s="165" t="s">
        <v>291</v>
      </c>
      <c r="C121" s="179" t="s">
        <v>292</v>
      </c>
      <c r="D121" s="165" t="s">
        <v>51</v>
      </c>
      <c r="E121" s="184" t="s">
        <v>276</v>
      </c>
      <c r="F121" s="238"/>
      <c r="G121" s="238"/>
      <c r="H121" s="238"/>
      <c r="I121" s="238"/>
      <c r="J121" s="238"/>
      <c r="K121" s="238"/>
      <c r="L121" s="238" t="s">
        <v>36</v>
      </c>
      <c r="M121" s="238"/>
      <c r="N121" s="238"/>
      <c r="O121" s="238"/>
      <c r="P121" s="238"/>
      <c r="Q121" s="238" t="s">
        <v>36</v>
      </c>
      <c r="R121" s="238" t="s">
        <v>36</v>
      </c>
      <c r="S121" s="238"/>
      <c r="T121" s="238"/>
      <c r="U121" s="238"/>
      <c r="V121" s="238"/>
      <c r="W121" s="238"/>
      <c r="X121" s="238"/>
      <c r="Y121" s="238"/>
      <c r="Z121" s="238"/>
      <c r="AA121" s="238"/>
      <c r="AB121" s="238"/>
      <c r="AC121" s="238">
        <f t="shared" si="11"/>
        <v>3</v>
      </c>
      <c r="AD121" s="122">
        <v>4</v>
      </c>
      <c r="AE121" s="123">
        <f t="shared" ref="AE121:AE147" si="12" xml:space="preserve"> (AD121/200)</f>
        <v>0.02</v>
      </c>
      <c r="AF121" s="157"/>
      <c r="AG121" s="164"/>
    </row>
    <row r="122" spans="1:33">
      <c r="A122" s="103">
        <v>78</v>
      </c>
      <c r="B122" s="165" t="s">
        <v>293</v>
      </c>
      <c r="C122" s="179" t="s">
        <v>294</v>
      </c>
      <c r="D122" s="165" t="s">
        <v>34</v>
      </c>
      <c r="E122" s="184" t="s">
        <v>276</v>
      </c>
      <c r="F122" s="238"/>
      <c r="G122" s="238"/>
      <c r="H122" s="238"/>
      <c r="I122" s="238"/>
      <c r="J122" s="238"/>
      <c r="K122" s="238"/>
      <c r="L122" s="238" t="s">
        <v>36</v>
      </c>
      <c r="M122" s="238"/>
      <c r="N122" s="238"/>
      <c r="O122" s="238"/>
      <c r="P122" s="238"/>
      <c r="Q122" s="238" t="s">
        <v>36</v>
      </c>
      <c r="R122" s="238" t="s">
        <v>36</v>
      </c>
      <c r="S122" s="238"/>
      <c r="T122" s="238"/>
      <c r="U122" s="238"/>
      <c r="V122" s="238"/>
      <c r="W122" s="238"/>
      <c r="X122" s="238"/>
      <c r="Y122" s="238"/>
      <c r="Z122" s="238"/>
      <c r="AA122" s="238"/>
      <c r="AB122" s="238"/>
      <c r="AC122" s="238">
        <f t="shared" si="11"/>
        <v>3</v>
      </c>
      <c r="AD122" s="122">
        <v>48</v>
      </c>
      <c r="AE122" s="123">
        <f t="shared" si="12"/>
        <v>0.24</v>
      </c>
      <c r="AF122" s="157"/>
      <c r="AG122" s="164"/>
    </row>
    <row r="123" spans="1:33">
      <c r="A123" s="103">
        <v>79</v>
      </c>
      <c r="B123" s="165" t="s">
        <v>295</v>
      </c>
      <c r="C123" s="179" t="s">
        <v>296</v>
      </c>
      <c r="D123" s="165" t="s">
        <v>51</v>
      </c>
      <c r="E123" s="184" t="s">
        <v>276</v>
      </c>
      <c r="F123" s="238"/>
      <c r="G123" s="238"/>
      <c r="H123" s="238"/>
      <c r="I123" s="238"/>
      <c r="J123" s="238"/>
      <c r="K123" s="238"/>
      <c r="L123" s="238" t="s">
        <v>36</v>
      </c>
      <c r="M123" s="238"/>
      <c r="N123" s="238"/>
      <c r="O123" s="238"/>
      <c r="P123" s="238"/>
      <c r="Q123" s="238" t="s">
        <v>36</v>
      </c>
      <c r="R123" s="238" t="s">
        <v>36</v>
      </c>
      <c r="S123" s="238"/>
      <c r="T123" s="238"/>
      <c r="U123" s="238"/>
      <c r="V123" s="238"/>
      <c r="W123" s="238"/>
      <c r="X123" s="238"/>
      <c r="Y123" s="238"/>
      <c r="Z123" s="238"/>
      <c r="AA123" s="238"/>
      <c r="AB123" s="238"/>
      <c r="AC123" s="238">
        <f t="shared" si="11"/>
        <v>3</v>
      </c>
      <c r="AD123" s="122">
        <v>1</v>
      </c>
      <c r="AE123" s="123">
        <f t="shared" si="12"/>
        <v>5.0000000000000001E-3</v>
      </c>
      <c r="AF123" s="157"/>
      <c r="AG123" s="164"/>
    </row>
    <row r="124" spans="1:33">
      <c r="A124" s="103">
        <v>80</v>
      </c>
      <c r="B124" s="165" t="s">
        <v>297</v>
      </c>
      <c r="C124" s="158" t="s">
        <v>298</v>
      </c>
      <c r="D124" s="165" t="s">
        <v>40</v>
      </c>
      <c r="E124" s="163" t="s">
        <v>299</v>
      </c>
      <c r="F124" s="238"/>
      <c r="G124" s="238"/>
      <c r="H124" s="238"/>
      <c r="I124" s="238" t="s">
        <v>36</v>
      </c>
      <c r="J124" s="238"/>
      <c r="K124" s="238" t="s">
        <v>36</v>
      </c>
      <c r="L124" s="238" t="s">
        <v>36</v>
      </c>
      <c r="M124" s="238"/>
      <c r="N124" s="238"/>
      <c r="O124" s="238"/>
      <c r="P124" s="238"/>
      <c r="Q124" s="238"/>
      <c r="R124" s="238" t="s">
        <v>36</v>
      </c>
      <c r="S124" s="238" t="s">
        <v>36</v>
      </c>
      <c r="T124" s="238"/>
      <c r="U124" s="238"/>
      <c r="V124" s="238"/>
      <c r="W124" s="238"/>
      <c r="X124" s="238"/>
      <c r="Y124" s="238"/>
      <c r="Z124" s="238"/>
      <c r="AA124" s="238" t="s">
        <v>36</v>
      </c>
      <c r="AB124" s="238"/>
      <c r="AC124" s="168">
        <f t="shared" si="11"/>
        <v>6</v>
      </c>
      <c r="AD124" s="122">
        <v>1403</v>
      </c>
      <c r="AE124" s="123">
        <f t="shared" si="12"/>
        <v>7.0149999999999997</v>
      </c>
      <c r="AF124" s="157"/>
      <c r="AG124" s="164"/>
    </row>
    <row r="125" spans="1:33">
      <c r="A125" s="103">
        <v>81</v>
      </c>
      <c r="B125" s="165" t="s">
        <v>300</v>
      </c>
      <c r="C125" s="158" t="s">
        <v>301</v>
      </c>
      <c r="D125" s="165" t="s">
        <v>34</v>
      </c>
      <c r="E125" s="163" t="s">
        <v>299</v>
      </c>
      <c r="F125" s="238"/>
      <c r="G125" s="238"/>
      <c r="H125" s="238"/>
      <c r="I125" s="238"/>
      <c r="J125" s="238"/>
      <c r="K125" s="238"/>
      <c r="L125" s="238" t="s">
        <v>36</v>
      </c>
      <c r="M125" s="238"/>
      <c r="N125" s="238"/>
      <c r="O125" s="238"/>
      <c r="P125" s="238" t="s">
        <v>36</v>
      </c>
      <c r="Q125" s="238" t="s">
        <v>36</v>
      </c>
      <c r="R125" s="238" t="s">
        <v>36</v>
      </c>
      <c r="S125" s="238"/>
      <c r="T125" s="238"/>
      <c r="U125" s="238"/>
      <c r="V125" s="238"/>
      <c r="W125" s="238"/>
      <c r="X125" s="238"/>
      <c r="Y125" s="238"/>
      <c r="Z125" s="238"/>
      <c r="AA125" s="238"/>
      <c r="AB125" s="238"/>
      <c r="AC125" s="168">
        <f t="shared" si="11"/>
        <v>4</v>
      </c>
      <c r="AD125" s="122">
        <v>67</v>
      </c>
      <c r="AE125" s="123">
        <f t="shared" si="12"/>
        <v>0.33500000000000002</v>
      </c>
      <c r="AF125" s="157"/>
      <c r="AG125" s="164"/>
    </row>
    <row r="126" spans="1:33">
      <c r="A126" s="103">
        <v>82</v>
      </c>
      <c r="B126" s="169" t="s">
        <v>302</v>
      </c>
      <c r="C126" s="170" t="s">
        <v>303</v>
      </c>
      <c r="D126" s="169" t="s">
        <v>51</v>
      </c>
      <c r="E126" s="171" t="s">
        <v>299</v>
      </c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238">
        <f t="shared" si="11"/>
        <v>0</v>
      </c>
      <c r="AD126" s="127">
        <v>0</v>
      </c>
      <c r="AE126" s="128">
        <f t="shared" si="12"/>
        <v>0</v>
      </c>
      <c r="AF126" s="173" t="s">
        <v>79</v>
      </c>
      <c r="AG126" s="164"/>
    </row>
    <row r="127" spans="1:33">
      <c r="A127" s="103">
        <v>83</v>
      </c>
      <c r="B127" s="165" t="s">
        <v>304</v>
      </c>
      <c r="C127" s="158" t="s">
        <v>305</v>
      </c>
      <c r="D127" s="165" t="s">
        <v>34</v>
      </c>
      <c r="E127" s="163" t="s">
        <v>299</v>
      </c>
      <c r="F127" s="238"/>
      <c r="G127" s="238"/>
      <c r="H127" s="238"/>
      <c r="I127" s="238" t="s">
        <v>36</v>
      </c>
      <c r="J127" s="238"/>
      <c r="K127" s="238" t="s">
        <v>36</v>
      </c>
      <c r="L127" s="238" t="s">
        <v>36</v>
      </c>
      <c r="M127" s="238"/>
      <c r="N127" s="238" t="s">
        <v>36</v>
      </c>
      <c r="O127" s="238"/>
      <c r="P127" s="238"/>
      <c r="Q127" s="238"/>
      <c r="R127" s="238"/>
      <c r="S127" s="238" t="s">
        <v>36</v>
      </c>
      <c r="T127" s="238"/>
      <c r="U127" s="238"/>
      <c r="V127" s="238"/>
      <c r="W127" s="238"/>
      <c r="X127" s="238"/>
      <c r="Y127" s="238"/>
      <c r="Z127" s="238" t="s">
        <v>36</v>
      </c>
      <c r="AA127" s="238" t="s">
        <v>36</v>
      </c>
      <c r="AB127" s="238"/>
      <c r="AC127" s="168">
        <f t="shared" si="11"/>
        <v>7</v>
      </c>
      <c r="AD127" s="122">
        <v>22</v>
      </c>
      <c r="AE127" s="123">
        <f t="shared" si="12"/>
        <v>0.11</v>
      </c>
      <c r="AF127" s="157"/>
      <c r="AG127" s="164"/>
    </row>
    <row r="128" spans="1:33">
      <c r="A128" s="103">
        <v>84</v>
      </c>
      <c r="B128" s="165" t="s">
        <v>306</v>
      </c>
      <c r="C128" s="158" t="s">
        <v>307</v>
      </c>
      <c r="D128" s="165" t="s">
        <v>40</v>
      </c>
      <c r="E128" s="163" t="s">
        <v>299</v>
      </c>
      <c r="F128" s="238"/>
      <c r="G128" s="238"/>
      <c r="H128" s="238"/>
      <c r="I128" s="238"/>
      <c r="J128" s="238"/>
      <c r="K128" s="238"/>
      <c r="L128" s="238" t="s">
        <v>36</v>
      </c>
      <c r="M128" s="238"/>
      <c r="N128" s="238"/>
      <c r="O128" s="238"/>
      <c r="P128" s="238"/>
      <c r="Q128" s="238"/>
      <c r="R128" s="238"/>
      <c r="S128" s="238" t="s">
        <v>36</v>
      </c>
      <c r="T128" s="238"/>
      <c r="U128" s="238"/>
      <c r="V128" s="238"/>
      <c r="W128" s="238"/>
      <c r="X128" s="238"/>
      <c r="Y128" s="238"/>
      <c r="Z128" s="238"/>
      <c r="AA128" s="238"/>
      <c r="AB128" s="238"/>
      <c r="AC128" s="168">
        <f t="shared" si="11"/>
        <v>2</v>
      </c>
      <c r="AD128" s="122">
        <v>732</v>
      </c>
      <c r="AE128" s="123">
        <f t="shared" si="12"/>
        <v>3.66</v>
      </c>
      <c r="AF128" s="157"/>
      <c r="AG128" s="164"/>
    </row>
    <row r="129" spans="1:33">
      <c r="A129" s="103">
        <v>85</v>
      </c>
      <c r="B129" s="165" t="s">
        <v>308</v>
      </c>
      <c r="C129" s="158" t="s">
        <v>309</v>
      </c>
      <c r="D129" s="165" t="s">
        <v>43</v>
      </c>
      <c r="E129" s="163" t="s">
        <v>299</v>
      </c>
      <c r="F129" s="238"/>
      <c r="G129" s="238"/>
      <c r="H129" s="238"/>
      <c r="I129" s="238"/>
      <c r="J129" s="238"/>
      <c r="K129" s="238"/>
      <c r="L129" s="238" t="s">
        <v>36</v>
      </c>
      <c r="M129" s="238"/>
      <c r="N129" s="238"/>
      <c r="O129" s="238"/>
      <c r="P129" s="238"/>
      <c r="Q129" s="238"/>
      <c r="R129" s="238"/>
      <c r="S129" s="238" t="s">
        <v>36</v>
      </c>
      <c r="T129" s="238"/>
      <c r="U129" s="238"/>
      <c r="V129" s="238"/>
      <c r="W129" s="238"/>
      <c r="X129" s="238"/>
      <c r="Y129" s="238"/>
      <c r="Z129" s="238"/>
      <c r="AA129" s="238"/>
      <c r="AB129" s="238"/>
      <c r="AC129" s="168">
        <f t="shared" si="11"/>
        <v>2</v>
      </c>
      <c r="AD129" s="122">
        <v>11815</v>
      </c>
      <c r="AE129" s="123">
        <f t="shared" si="12"/>
        <v>59.075000000000003</v>
      </c>
      <c r="AF129" s="157"/>
      <c r="AG129" s="164"/>
    </row>
    <row r="130" spans="1:33">
      <c r="A130" s="103">
        <v>86</v>
      </c>
      <c r="B130" s="165" t="s">
        <v>310</v>
      </c>
      <c r="C130" s="158" t="s">
        <v>311</v>
      </c>
      <c r="D130" s="165" t="s">
        <v>51</v>
      </c>
      <c r="E130" s="163" t="s">
        <v>299</v>
      </c>
      <c r="F130" s="238"/>
      <c r="G130" s="238"/>
      <c r="H130" s="238"/>
      <c r="I130" s="238"/>
      <c r="J130" s="238"/>
      <c r="K130" s="238"/>
      <c r="L130" s="238" t="s">
        <v>36</v>
      </c>
      <c r="M130" s="238"/>
      <c r="N130" s="238"/>
      <c r="O130" s="238"/>
      <c r="P130" s="238"/>
      <c r="Q130" s="238"/>
      <c r="R130" s="238"/>
      <c r="S130" s="238" t="s">
        <v>36</v>
      </c>
      <c r="T130" s="238"/>
      <c r="U130" s="238"/>
      <c r="V130" s="238"/>
      <c r="W130" s="238"/>
      <c r="X130" s="238"/>
      <c r="Y130" s="238"/>
      <c r="Z130" s="238"/>
      <c r="AA130" s="238"/>
      <c r="AB130" s="238"/>
      <c r="AC130" s="168">
        <f t="shared" si="11"/>
        <v>2</v>
      </c>
      <c r="AD130" s="122">
        <v>6</v>
      </c>
      <c r="AE130" s="123">
        <f t="shared" si="12"/>
        <v>0.03</v>
      </c>
      <c r="AF130" s="157"/>
      <c r="AG130" s="164"/>
    </row>
    <row r="131" spans="1:33">
      <c r="A131" s="103">
        <v>87</v>
      </c>
      <c r="B131" s="165" t="s">
        <v>312</v>
      </c>
      <c r="C131" s="158" t="s">
        <v>313</v>
      </c>
      <c r="D131" s="165" t="s">
        <v>115</v>
      </c>
      <c r="E131" s="163" t="s">
        <v>299</v>
      </c>
      <c r="F131" s="238" t="s">
        <v>36</v>
      </c>
      <c r="G131" s="238" t="s">
        <v>36</v>
      </c>
      <c r="H131" s="238"/>
      <c r="I131" s="238"/>
      <c r="J131" s="238"/>
      <c r="K131" s="238" t="s">
        <v>36</v>
      </c>
      <c r="L131" s="238" t="s">
        <v>36</v>
      </c>
      <c r="M131" s="238" t="s">
        <v>36</v>
      </c>
      <c r="N131" s="238" t="s">
        <v>36</v>
      </c>
      <c r="O131" s="238"/>
      <c r="P131" s="238"/>
      <c r="Q131" s="238"/>
      <c r="R131" s="238"/>
      <c r="S131" s="238" t="s">
        <v>36</v>
      </c>
      <c r="T131" s="238"/>
      <c r="U131" s="238"/>
      <c r="V131" s="238"/>
      <c r="W131" s="238"/>
      <c r="X131" s="238" t="s">
        <v>36</v>
      </c>
      <c r="Y131" s="238"/>
      <c r="Z131" s="238" t="s">
        <v>36</v>
      </c>
      <c r="AA131" s="238" t="s">
        <v>36</v>
      </c>
      <c r="AB131" s="238"/>
      <c r="AC131" s="168">
        <f t="shared" si="11"/>
        <v>10</v>
      </c>
      <c r="AD131" s="122">
        <v>827</v>
      </c>
      <c r="AE131" s="123">
        <f t="shared" si="12"/>
        <v>4.1349999999999998</v>
      </c>
      <c r="AF131" s="157"/>
      <c r="AG131" s="164"/>
    </row>
    <row r="132" spans="1:33">
      <c r="A132" s="103">
        <v>87.1</v>
      </c>
      <c r="B132" s="112" t="s">
        <v>314</v>
      </c>
      <c r="C132" s="106" t="s">
        <v>315</v>
      </c>
      <c r="D132" s="101" t="s">
        <v>34</v>
      </c>
      <c r="E132" s="163" t="s">
        <v>299</v>
      </c>
      <c r="F132" s="238"/>
      <c r="G132" s="238"/>
      <c r="H132" s="238"/>
      <c r="I132" s="238"/>
      <c r="J132" s="238"/>
      <c r="K132" s="238"/>
      <c r="L132" s="238"/>
      <c r="M132" s="238"/>
      <c r="N132" s="238"/>
      <c r="O132" s="238"/>
      <c r="P132" s="238"/>
      <c r="Q132" s="238"/>
      <c r="R132" s="238"/>
      <c r="S132" s="238"/>
      <c r="T132" s="238"/>
      <c r="U132" s="238"/>
      <c r="V132" s="238"/>
      <c r="W132" s="238"/>
      <c r="X132" s="238"/>
      <c r="Y132" s="238"/>
      <c r="Z132" s="238"/>
      <c r="AA132" s="238"/>
      <c r="AB132" s="238"/>
      <c r="AC132" s="168"/>
      <c r="AD132" s="122">
        <v>32</v>
      </c>
      <c r="AE132" s="123">
        <f t="shared" si="12"/>
        <v>0.16</v>
      </c>
      <c r="AF132" s="157"/>
      <c r="AG132" s="164"/>
    </row>
    <row r="133" spans="1:33">
      <c r="A133" s="103">
        <v>88</v>
      </c>
      <c r="B133" s="174" t="s">
        <v>316</v>
      </c>
      <c r="C133" s="158" t="s">
        <v>317</v>
      </c>
      <c r="D133" s="165" t="s">
        <v>40</v>
      </c>
      <c r="E133" s="163" t="s">
        <v>299</v>
      </c>
      <c r="F133" s="238"/>
      <c r="G133" s="238" t="s">
        <v>36</v>
      </c>
      <c r="H133" s="238"/>
      <c r="I133" s="238"/>
      <c r="J133" s="238" t="s">
        <v>36</v>
      </c>
      <c r="K133" s="238" t="s">
        <v>36</v>
      </c>
      <c r="L133" s="238" t="s">
        <v>36</v>
      </c>
      <c r="M133" s="238"/>
      <c r="N133" s="238" t="s">
        <v>36</v>
      </c>
      <c r="O133" s="238"/>
      <c r="P133" s="238"/>
      <c r="Q133" s="238"/>
      <c r="R133" s="238"/>
      <c r="S133" s="238" t="s">
        <v>36</v>
      </c>
      <c r="T133" s="238"/>
      <c r="U133" s="238"/>
      <c r="V133" s="238"/>
      <c r="W133" s="238"/>
      <c r="X133" s="238"/>
      <c r="Y133" s="238"/>
      <c r="Z133" s="238" t="s">
        <v>36</v>
      </c>
      <c r="AA133" s="238" t="s">
        <v>36</v>
      </c>
      <c r="AB133" s="238"/>
      <c r="AC133" s="168">
        <f>COUNTIF(F133:AB133,"X")</f>
        <v>8</v>
      </c>
      <c r="AD133" s="122">
        <v>2719</v>
      </c>
      <c r="AE133" s="123">
        <f t="shared" si="12"/>
        <v>13.595000000000001</v>
      </c>
      <c r="AF133" s="157"/>
      <c r="AG133" s="164"/>
    </row>
    <row r="134" spans="1:33">
      <c r="A134" s="103">
        <v>89</v>
      </c>
      <c r="B134" s="165" t="s">
        <v>318</v>
      </c>
      <c r="C134" s="158" t="s">
        <v>319</v>
      </c>
      <c r="D134" s="165" t="s">
        <v>40</v>
      </c>
      <c r="E134" s="163" t="s">
        <v>320</v>
      </c>
      <c r="F134" s="238"/>
      <c r="G134" s="238"/>
      <c r="H134" s="238"/>
      <c r="I134" s="238"/>
      <c r="J134" s="238"/>
      <c r="K134" s="238"/>
      <c r="L134" s="238" t="s">
        <v>36</v>
      </c>
      <c r="M134" s="238"/>
      <c r="N134" s="238"/>
      <c r="O134" s="238"/>
      <c r="P134" s="238"/>
      <c r="Q134" s="238"/>
      <c r="R134" s="238"/>
      <c r="S134" s="238" t="s">
        <v>36</v>
      </c>
      <c r="T134" s="238"/>
      <c r="U134" s="238"/>
      <c r="V134" s="238"/>
      <c r="W134" s="238" t="s">
        <v>36</v>
      </c>
      <c r="X134" s="238" t="s">
        <v>36</v>
      </c>
      <c r="Y134" s="238"/>
      <c r="Z134" s="238"/>
      <c r="AA134" s="238"/>
      <c r="AB134" s="238"/>
      <c r="AC134" s="238">
        <f>COUNTIF(F134:AB134,"X")</f>
        <v>4</v>
      </c>
      <c r="AD134" s="122">
        <v>40</v>
      </c>
      <c r="AE134" s="123">
        <f t="shared" si="12"/>
        <v>0.2</v>
      </c>
      <c r="AF134" s="157"/>
      <c r="AG134" s="164"/>
    </row>
    <row r="135" spans="1:33">
      <c r="A135" s="137">
        <v>90</v>
      </c>
      <c r="B135" s="165" t="s">
        <v>321</v>
      </c>
      <c r="C135" s="158" t="s">
        <v>322</v>
      </c>
      <c r="D135" s="165" t="s">
        <v>40</v>
      </c>
      <c r="E135" s="163" t="s">
        <v>320</v>
      </c>
      <c r="F135" s="238"/>
      <c r="G135" s="238"/>
      <c r="H135" s="238"/>
      <c r="I135" s="238"/>
      <c r="J135" s="238"/>
      <c r="K135" s="238"/>
      <c r="L135" s="238" t="s">
        <v>36</v>
      </c>
      <c r="M135" s="238"/>
      <c r="N135" s="238"/>
      <c r="O135" s="238"/>
      <c r="P135" s="238"/>
      <c r="Q135" s="238"/>
      <c r="R135" s="238"/>
      <c r="S135" s="238" t="s">
        <v>36</v>
      </c>
      <c r="T135" s="238"/>
      <c r="U135" s="238"/>
      <c r="V135" s="238"/>
      <c r="W135" s="238" t="s">
        <v>36</v>
      </c>
      <c r="X135" s="238" t="s">
        <v>36</v>
      </c>
      <c r="Y135" s="238"/>
      <c r="Z135" s="238"/>
      <c r="AA135" s="238"/>
      <c r="AB135" s="238"/>
      <c r="AC135" s="238">
        <f>COUNTIF(F135:AB135,"X")</f>
        <v>4</v>
      </c>
      <c r="AD135" s="122">
        <v>2931</v>
      </c>
      <c r="AE135" s="123">
        <f t="shared" si="12"/>
        <v>14.654999999999999</v>
      </c>
      <c r="AF135" s="157"/>
      <c r="AG135" s="164"/>
    </row>
    <row r="136" spans="1:33">
      <c r="A136" s="103">
        <v>91</v>
      </c>
      <c r="B136" s="165" t="s">
        <v>323</v>
      </c>
      <c r="C136" s="158" t="s">
        <v>324</v>
      </c>
      <c r="D136" s="165" t="s">
        <v>34</v>
      </c>
      <c r="E136" s="163" t="s">
        <v>320</v>
      </c>
      <c r="F136" s="238"/>
      <c r="G136" s="238"/>
      <c r="H136" s="238"/>
      <c r="I136" s="238"/>
      <c r="J136" s="238"/>
      <c r="K136" s="238"/>
      <c r="L136" s="238" t="s">
        <v>36</v>
      </c>
      <c r="M136" s="238"/>
      <c r="N136" s="238"/>
      <c r="O136" s="238"/>
      <c r="P136" s="238"/>
      <c r="Q136" s="238"/>
      <c r="R136" s="238"/>
      <c r="S136" s="238" t="s">
        <v>36</v>
      </c>
      <c r="T136" s="238"/>
      <c r="U136" s="238"/>
      <c r="V136" s="238"/>
      <c r="W136" s="238"/>
      <c r="X136" s="238" t="s">
        <v>36</v>
      </c>
      <c r="Y136" s="238"/>
      <c r="Z136" s="238"/>
      <c r="AA136" s="238"/>
      <c r="AB136" s="238"/>
      <c r="AC136" s="238">
        <f>COUNTIF(F136:AB136,"X")</f>
        <v>3</v>
      </c>
      <c r="AD136" s="122">
        <v>30</v>
      </c>
      <c r="AE136" s="123">
        <f t="shared" si="12"/>
        <v>0.15</v>
      </c>
      <c r="AF136" s="157"/>
      <c r="AG136" s="164"/>
    </row>
    <row r="137" spans="1:33">
      <c r="A137" s="103">
        <v>92</v>
      </c>
      <c r="B137" s="165" t="s">
        <v>325</v>
      </c>
      <c r="C137" s="158" t="s">
        <v>326</v>
      </c>
      <c r="D137" s="165" t="s">
        <v>43</v>
      </c>
      <c r="E137" s="163" t="s">
        <v>320</v>
      </c>
      <c r="F137" s="238"/>
      <c r="G137" s="238"/>
      <c r="H137" s="238"/>
      <c r="I137" s="238"/>
      <c r="J137" s="238"/>
      <c r="K137" s="238"/>
      <c r="L137" s="238" t="s">
        <v>36</v>
      </c>
      <c r="M137" s="238"/>
      <c r="N137" s="238" t="s">
        <v>36</v>
      </c>
      <c r="O137" s="238"/>
      <c r="P137" s="238"/>
      <c r="Q137" s="238"/>
      <c r="R137" s="238"/>
      <c r="S137" s="238" t="s">
        <v>36</v>
      </c>
      <c r="T137" s="238"/>
      <c r="U137" s="238"/>
      <c r="V137" s="238"/>
      <c r="W137" s="238" t="s">
        <v>36</v>
      </c>
      <c r="X137" s="238" t="s">
        <v>36</v>
      </c>
      <c r="Y137" s="238"/>
      <c r="Z137" s="238" t="s">
        <v>36</v>
      </c>
      <c r="AA137" s="238" t="s">
        <v>36</v>
      </c>
      <c r="AB137" s="238"/>
      <c r="AC137" s="238">
        <f>COUNTIF(F137:AB137,"X")</f>
        <v>7</v>
      </c>
      <c r="AD137" s="122">
        <v>281</v>
      </c>
      <c r="AE137" s="123">
        <f t="shared" si="12"/>
        <v>1.405</v>
      </c>
      <c r="AF137" s="157"/>
      <c r="AG137" s="164"/>
    </row>
    <row r="138" spans="1:33">
      <c r="A138" s="103">
        <v>92.1</v>
      </c>
      <c r="B138" s="178" t="s">
        <v>327</v>
      </c>
      <c r="C138" s="158" t="s">
        <v>328</v>
      </c>
      <c r="D138" s="165" t="s">
        <v>34</v>
      </c>
      <c r="E138" s="163" t="s">
        <v>320</v>
      </c>
      <c r="F138" s="238"/>
      <c r="G138" s="238"/>
      <c r="H138" s="238"/>
      <c r="I138" s="238"/>
      <c r="J138" s="238"/>
      <c r="K138" s="238"/>
      <c r="L138" s="238"/>
      <c r="M138" s="238"/>
      <c r="N138" s="238"/>
      <c r="O138" s="238"/>
      <c r="P138" s="238"/>
      <c r="Q138" s="238"/>
      <c r="R138" s="238"/>
      <c r="S138" s="238"/>
      <c r="T138" s="238"/>
      <c r="U138" s="238"/>
      <c r="V138" s="238"/>
      <c r="W138" s="238"/>
      <c r="X138" s="238"/>
      <c r="Y138" s="238"/>
      <c r="Z138" s="238"/>
      <c r="AA138" s="238"/>
      <c r="AB138" s="238"/>
      <c r="AC138" s="168"/>
      <c r="AD138" s="122">
        <v>1319</v>
      </c>
      <c r="AE138" s="123">
        <f t="shared" si="12"/>
        <v>6.5949999999999998</v>
      </c>
      <c r="AF138" s="157"/>
      <c r="AG138" s="164"/>
    </row>
    <row r="139" spans="1:33">
      <c r="A139" s="103">
        <v>93</v>
      </c>
      <c r="B139" s="165" t="s">
        <v>329</v>
      </c>
      <c r="C139" s="158" t="s">
        <v>330</v>
      </c>
      <c r="D139" s="165" t="s">
        <v>40</v>
      </c>
      <c r="E139" s="163" t="s">
        <v>331</v>
      </c>
      <c r="F139" s="238" t="s">
        <v>36</v>
      </c>
      <c r="G139" s="238" t="s">
        <v>36</v>
      </c>
      <c r="H139" s="238" t="s">
        <v>36</v>
      </c>
      <c r="I139" s="238" t="s">
        <v>36</v>
      </c>
      <c r="J139" s="238" t="s">
        <v>36</v>
      </c>
      <c r="K139" s="238" t="s">
        <v>36</v>
      </c>
      <c r="L139" s="238" t="s">
        <v>36</v>
      </c>
      <c r="M139" s="238" t="s">
        <v>36</v>
      </c>
      <c r="N139" s="238" t="s">
        <v>36</v>
      </c>
      <c r="O139" s="238"/>
      <c r="P139" s="238"/>
      <c r="Q139" s="238"/>
      <c r="R139" s="238"/>
      <c r="S139" s="238" t="s">
        <v>36</v>
      </c>
      <c r="T139" s="238"/>
      <c r="U139" s="238"/>
      <c r="V139" s="238"/>
      <c r="W139" s="238"/>
      <c r="X139" s="238" t="s">
        <v>36</v>
      </c>
      <c r="Y139" s="238"/>
      <c r="Z139" s="238" t="s">
        <v>36</v>
      </c>
      <c r="AA139" s="238" t="s">
        <v>36</v>
      </c>
      <c r="AB139" s="238"/>
      <c r="AC139" s="238">
        <f>COUNTIF(F139:AB139,"X")</f>
        <v>13</v>
      </c>
      <c r="AD139" s="122">
        <v>918</v>
      </c>
      <c r="AE139" s="123">
        <f t="shared" si="12"/>
        <v>4.59</v>
      </c>
      <c r="AF139" s="157"/>
      <c r="AG139" s="164"/>
    </row>
    <row r="140" spans="1:33">
      <c r="A140" s="103">
        <v>94</v>
      </c>
      <c r="B140" s="165" t="s">
        <v>332</v>
      </c>
      <c r="C140" s="158" t="s">
        <v>333</v>
      </c>
      <c r="D140" s="165" t="s">
        <v>34</v>
      </c>
      <c r="E140" s="163" t="s">
        <v>331</v>
      </c>
      <c r="F140" s="238"/>
      <c r="G140" s="238"/>
      <c r="H140" s="238"/>
      <c r="I140" s="238"/>
      <c r="J140" s="238"/>
      <c r="K140" s="238"/>
      <c r="L140" s="238" t="s">
        <v>36</v>
      </c>
      <c r="M140" s="238"/>
      <c r="N140" s="238" t="s">
        <v>36</v>
      </c>
      <c r="O140" s="238"/>
      <c r="P140" s="238"/>
      <c r="Q140" s="238"/>
      <c r="R140" s="238"/>
      <c r="S140" s="238" t="s">
        <v>36</v>
      </c>
      <c r="T140" s="238"/>
      <c r="U140" s="238"/>
      <c r="V140" s="238"/>
      <c r="W140" s="238"/>
      <c r="X140" s="238"/>
      <c r="Y140" s="238"/>
      <c r="Z140" s="238" t="s">
        <v>36</v>
      </c>
      <c r="AA140" s="238"/>
      <c r="AB140" s="238"/>
      <c r="AC140" s="238">
        <f>COUNTIF(F140:AB140,"X")</f>
        <v>4</v>
      </c>
      <c r="AD140" s="122">
        <v>59</v>
      </c>
      <c r="AE140" s="123">
        <f t="shared" si="12"/>
        <v>0.29499999999999998</v>
      </c>
      <c r="AF140" s="157"/>
      <c r="AG140" s="164"/>
    </row>
    <row r="141" spans="1:33">
      <c r="A141" s="103">
        <v>94.1</v>
      </c>
      <c r="B141" s="112" t="s">
        <v>334</v>
      </c>
      <c r="C141" s="167" t="s">
        <v>335</v>
      </c>
      <c r="D141" s="101" t="s">
        <v>51</v>
      </c>
      <c r="E141" s="163" t="s">
        <v>331</v>
      </c>
      <c r="F141" s="238"/>
      <c r="G141" s="238"/>
      <c r="H141" s="238"/>
      <c r="I141" s="238"/>
      <c r="J141" s="238"/>
      <c r="K141" s="238"/>
      <c r="L141" s="238"/>
      <c r="M141" s="238"/>
      <c r="N141" s="238"/>
      <c r="O141" s="238"/>
      <c r="P141" s="238"/>
      <c r="Q141" s="238"/>
      <c r="R141" s="238"/>
      <c r="S141" s="238"/>
      <c r="T141" s="238"/>
      <c r="U141" s="238"/>
      <c r="V141" s="238"/>
      <c r="W141" s="238"/>
      <c r="X141" s="238"/>
      <c r="Y141" s="238"/>
      <c r="Z141" s="238"/>
      <c r="AA141" s="238"/>
      <c r="AB141" s="238"/>
      <c r="AC141" s="168"/>
      <c r="AD141" s="122">
        <v>41</v>
      </c>
      <c r="AE141" s="123">
        <f t="shared" si="12"/>
        <v>0.20499999999999999</v>
      </c>
      <c r="AF141" s="157"/>
      <c r="AG141" s="164"/>
    </row>
    <row r="142" spans="1:33">
      <c r="A142" s="116">
        <v>94.2</v>
      </c>
      <c r="B142" s="117" t="s">
        <v>336</v>
      </c>
      <c r="C142" s="106" t="s">
        <v>337</v>
      </c>
      <c r="D142" s="101" t="s">
        <v>51</v>
      </c>
      <c r="E142" s="185" t="s">
        <v>331</v>
      </c>
      <c r="F142" s="238"/>
      <c r="G142" s="238"/>
      <c r="H142" s="238"/>
      <c r="I142" s="238"/>
      <c r="J142" s="238"/>
      <c r="K142" s="238"/>
      <c r="L142" s="238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  <c r="W142" s="238"/>
      <c r="X142" s="238"/>
      <c r="Y142" s="238"/>
      <c r="Z142" s="238"/>
      <c r="AA142" s="238"/>
      <c r="AB142" s="238"/>
      <c r="AC142" s="168"/>
      <c r="AD142" s="122">
        <v>0</v>
      </c>
      <c r="AE142" s="123">
        <f t="shared" si="12"/>
        <v>0</v>
      </c>
      <c r="AF142" s="157"/>
      <c r="AG142" s="164"/>
    </row>
    <row r="143" spans="1:33">
      <c r="A143" s="103">
        <v>95</v>
      </c>
      <c r="B143" s="165" t="s">
        <v>338</v>
      </c>
      <c r="C143" s="158" t="s">
        <v>339</v>
      </c>
      <c r="D143" s="165" t="s">
        <v>34</v>
      </c>
      <c r="E143" s="163" t="s">
        <v>331</v>
      </c>
      <c r="F143" s="238" t="s">
        <v>36</v>
      </c>
      <c r="G143" s="238" t="s">
        <v>36</v>
      </c>
      <c r="H143" s="238" t="s">
        <v>36</v>
      </c>
      <c r="I143" s="238" t="s">
        <v>36</v>
      </c>
      <c r="J143" s="238" t="s">
        <v>36</v>
      </c>
      <c r="K143" s="238" t="s">
        <v>36</v>
      </c>
      <c r="L143" s="238" t="s">
        <v>36</v>
      </c>
      <c r="M143" s="238" t="s">
        <v>36</v>
      </c>
      <c r="N143" s="238" t="s">
        <v>36</v>
      </c>
      <c r="O143" s="238"/>
      <c r="P143" s="238"/>
      <c r="Q143" s="238"/>
      <c r="R143" s="238"/>
      <c r="S143" s="238" t="s">
        <v>36</v>
      </c>
      <c r="T143" s="238"/>
      <c r="U143" s="238"/>
      <c r="V143" s="238"/>
      <c r="W143" s="238"/>
      <c r="X143" s="238" t="s">
        <v>36</v>
      </c>
      <c r="Y143" s="238"/>
      <c r="Z143" s="238" t="s">
        <v>36</v>
      </c>
      <c r="AA143" s="238" t="s">
        <v>36</v>
      </c>
      <c r="AB143" s="238"/>
      <c r="AC143" s="238">
        <f>COUNTIF(F143:AB143,"X")</f>
        <v>13</v>
      </c>
      <c r="AD143" s="122">
        <v>7011</v>
      </c>
      <c r="AE143" s="123">
        <f t="shared" si="12"/>
        <v>35.055</v>
      </c>
      <c r="AF143" s="157"/>
      <c r="AG143" s="164"/>
    </row>
    <row r="144" spans="1:33">
      <c r="A144" s="103">
        <v>95.1</v>
      </c>
      <c r="B144" s="178" t="s">
        <v>340</v>
      </c>
      <c r="C144" s="158" t="s">
        <v>341</v>
      </c>
      <c r="D144" s="165" t="s">
        <v>51</v>
      </c>
      <c r="E144" s="163" t="s">
        <v>331</v>
      </c>
      <c r="F144" s="238"/>
      <c r="G144" s="238"/>
      <c r="H144" s="238"/>
      <c r="I144" s="238"/>
      <c r="J144" s="238"/>
      <c r="K144" s="238"/>
      <c r="L144" s="238"/>
      <c r="M144" s="238"/>
      <c r="N144" s="238"/>
      <c r="O144" s="238"/>
      <c r="P144" s="238"/>
      <c r="Q144" s="238"/>
      <c r="R144" s="238"/>
      <c r="S144" s="238"/>
      <c r="T144" s="238"/>
      <c r="U144" s="238"/>
      <c r="V144" s="238"/>
      <c r="W144" s="238"/>
      <c r="X144" s="238"/>
      <c r="Y144" s="238"/>
      <c r="Z144" s="238"/>
      <c r="AA144" s="238"/>
      <c r="AB144" s="238"/>
      <c r="AC144" s="168"/>
      <c r="AD144" s="122">
        <v>7392</v>
      </c>
      <c r="AE144" s="123">
        <f t="shared" si="12"/>
        <v>36.96</v>
      </c>
      <c r="AF144" s="157"/>
      <c r="AG144" s="164"/>
    </row>
    <row r="145" spans="1:33">
      <c r="A145" s="103">
        <v>96</v>
      </c>
      <c r="B145" s="165" t="s">
        <v>342</v>
      </c>
      <c r="C145" s="158" t="s">
        <v>343</v>
      </c>
      <c r="D145" s="165" t="s">
        <v>40</v>
      </c>
      <c r="E145" s="163" t="s">
        <v>331</v>
      </c>
      <c r="F145" s="238"/>
      <c r="G145" s="238"/>
      <c r="H145" s="238"/>
      <c r="I145" s="238" t="s">
        <v>36</v>
      </c>
      <c r="J145" s="238"/>
      <c r="K145" s="238" t="s">
        <v>36</v>
      </c>
      <c r="L145" s="238" t="s">
        <v>36</v>
      </c>
      <c r="M145" s="238"/>
      <c r="N145" s="238"/>
      <c r="O145" s="238"/>
      <c r="P145" s="238"/>
      <c r="Q145" s="238"/>
      <c r="R145" s="238"/>
      <c r="S145" s="238" t="s">
        <v>36</v>
      </c>
      <c r="T145" s="238"/>
      <c r="U145" s="238"/>
      <c r="V145" s="238"/>
      <c r="W145" s="238"/>
      <c r="X145" s="238"/>
      <c r="Y145" s="238"/>
      <c r="Z145" s="238"/>
      <c r="AA145" s="238"/>
      <c r="AB145" s="238"/>
      <c r="AC145" s="238">
        <f>COUNTIF(F145:AB145,"X")</f>
        <v>4</v>
      </c>
      <c r="AD145" s="122">
        <v>260</v>
      </c>
      <c r="AE145" s="123">
        <f t="shared" si="12"/>
        <v>1.3</v>
      </c>
      <c r="AF145" s="157"/>
      <c r="AG145" s="164"/>
    </row>
    <row r="146" spans="1:33">
      <c r="A146" s="103">
        <v>97</v>
      </c>
      <c r="B146" s="174" t="s">
        <v>344</v>
      </c>
      <c r="C146" s="158" t="s">
        <v>345</v>
      </c>
      <c r="D146" s="165" t="s">
        <v>40</v>
      </c>
      <c r="E146" s="163" t="s">
        <v>331</v>
      </c>
      <c r="F146" s="238" t="s">
        <v>36</v>
      </c>
      <c r="G146" s="238" t="s">
        <v>36</v>
      </c>
      <c r="H146" s="238" t="s">
        <v>36</v>
      </c>
      <c r="I146" s="238" t="s">
        <v>36</v>
      </c>
      <c r="J146" s="238" t="s">
        <v>36</v>
      </c>
      <c r="K146" s="238" t="s">
        <v>36</v>
      </c>
      <c r="L146" s="238" t="s">
        <v>36</v>
      </c>
      <c r="M146" s="238" t="s">
        <v>36</v>
      </c>
      <c r="N146" s="238" t="s">
        <v>36</v>
      </c>
      <c r="O146" s="238"/>
      <c r="P146" s="238" t="s">
        <v>36</v>
      </c>
      <c r="Q146" s="238" t="s">
        <v>36</v>
      </c>
      <c r="R146" s="238" t="s">
        <v>36</v>
      </c>
      <c r="S146" s="238" t="s">
        <v>36</v>
      </c>
      <c r="T146" s="238"/>
      <c r="U146" s="238"/>
      <c r="V146" s="238"/>
      <c r="W146" s="238"/>
      <c r="X146" s="238" t="s">
        <v>36</v>
      </c>
      <c r="Y146" s="238"/>
      <c r="Z146" s="238" t="s">
        <v>36</v>
      </c>
      <c r="AA146" s="238" t="s">
        <v>36</v>
      </c>
      <c r="AB146" s="238"/>
      <c r="AC146" s="238">
        <f>COUNTIF(F146:AB146,"X")</f>
        <v>16</v>
      </c>
      <c r="AD146" s="122">
        <v>168338</v>
      </c>
      <c r="AE146" s="123">
        <f t="shared" si="12"/>
        <v>841.69</v>
      </c>
      <c r="AF146" s="157"/>
      <c r="AG146" s="164"/>
    </row>
    <row r="147" spans="1:33">
      <c r="A147" s="103">
        <v>97.1</v>
      </c>
      <c r="B147" s="112" t="s">
        <v>346</v>
      </c>
      <c r="C147" s="167" t="s">
        <v>347</v>
      </c>
      <c r="D147" s="167" t="s">
        <v>43</v>
      </c>
      <c r="E147" s="163" t="s">
        <v>331</v>
      </c>
      <c r="F147" s="238"/>
      <c r="G147" s="238"/>
      <c r="H147" s="238"/>
      <c r="I147" s="238"/>
      <c r="J147" s="238"/>
      <c r="K147" s="238"/>
      <c r="L147" s="238"/>
      <c r="M147" s="238"/>
      <c r="N147" s="238"/>
      <c r="O147" s="238"/>
      <c r="P147" s="238"/>
      <c r="Q147" s="238"/>
      <c r="R147" s="238"/>
      <c r="S147" s="238"/>
      <c r="T147" s="238"/>
      <c r="U147" s="238"/>
      <c r="V147" s="238"/>
      <c r="W147" s="238"/>
      <c r="X147" s="238"/>
      <c r="Y147" s="238"/>
      <c r="Z147" s="238"/>
      <c r="AA147" s="238"/>
      <c r="AB147" s="238"/>
      <c r="AC147" s="168"/>
      <c r="AD147" s="122">
        <v>133035</v>
      </c>
      <c r="AE147" s="123">
        <f t="shared" si="12"/>
        <v>665.17499999999995</v>
      </c>
      <c r="AF147" s="157"/>
      <c r="AG147" s="164"/>
    </row>
    <row r="148" spans="1:33">
      <c r="A148" s="103">
        <v>97.2</v>
      </c>
      <c r="B148" s="175" t="s">
        <v>348</v>
      </c>
      <c r="C148" s="158"/>
      <c r="D148" s="165" t="s">
        <v>34</v>
      </c>
      <c r="E148" s="163" t="s">
        <v>331</v>
      </c>
      <c r="F148" s="238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238"/>
      <c r="R148" s="238"/>
      <c r="S148" s="238"/>
      <c r="T148" s="238"/>
      <c r="U148" s="238"/>
      <c r="V148" s="238"/>
      <c r="W148" s="238"/>
      <c r="X148" s="238"/>
      <c r="Y148" s="238"/>
      <c r="Z148" s="238"/>
      <c r="AA148" s="238"/>
      <c r="AB148" s="238"/>
      <c r="AC148" s="168"/>
      <c r="AD148" s="165"/>
      <c r="AE148" s="165"/>
      <c r="AF148" s="157"/>
      <c r="AG148" s="164"/>
    </row>
    <row r="149" spans="1:33">
      <c r="A149" s="103">
        <v>98</v>
      </c>
      <c r="B149" s="165" t="s">
        <v>349</v>
      </c>
      <c r="C149" s="158" t="s">
        <v>350</v>
      </c>
      <c r="D149" s="165" t="s">
        <v>34</v>
      </c>
      <c r="E149" s="163" t="s">
        <v>331</v>
      </c>
      <c r="F149" s="238"/>
      <c r="G149" s="238"/>
      <c r="H149" s="238"/>
      <c r="I149" s="238"/>
      <c r="J149" s="238"/>
      <c r="K149" s="238"/>
      <c r="L149" s="238"/>
      <c r="M149" s="238"/>
      <c r="N149" s="238"/>
      <c r="O149" s="238"/>
      <c r="P149" s="238"/>
      <c r="Q149" s="238"/>
      <c r="R149" s="238"/>
      <c r="S149" s="238"/>
      <c r="T149" s="238"/>
      <c r="U149" s="238"/>
      <c r="V149" s="238"/>
      <c r="W149" s="238"/>
      <c r="X149" s="238"/>
      <c r="Y149" s="238"/>
      <c r="Z149" s="238"/>
      <c r="AA149" s="238"/>
      <c r="AB149" s="238"/>
      <c r="AC149" s="238">
        <f>COUNTIF(F149:AB149,"X")</f>
        <v>0</v>
      </c>
      <c r="AD149" s="122">
        <v>15</v>
      </c>
      <c r="AE149" s="123">
        <f t="shared" ref="AE149:AE167" si="13" xml:space="preserve"> (AD149/200)</f>
        <v>7.4999999999999997E-2</v>
      </c>
      <c r="AF149" s="157"/>
      <c r="AG149" s="164"/>
    </row>
    <row r="150" spans="1:33">
      <c r="A150" s="103">
        <v>99</v>
      </c>
      <c r="B150" s="165" t="s">
        <v>351</v>
      </c>
      <c r="C150" s="158" t="s">
        <v>352</v>
      </c>
      <c r="D150" s="165" t="s">
        <v>34</v>
      </c>
      <c r="E150" s="163" t="s">
        <v>331</v>
      </c>
      <c r="F150" s="238"/>
      <c r="G150" s="238"/>
      <c r="H150" s="238"/>
      <c r="I150" s="238"/>
      <c r="J150" s="238"/>
      <c r="K150" s="238"/>
      <c r="L150" s="238" t="s">
        <v>36</v>
      </c>
      <c r="M150" s="238"/>
      <c r="N150" s="238"/>
      <c r="O150" s="238"/>
      <c r="P150" s="238"/>
      <c r="Q150" s="238"/>
      <c r="R150" s="238"/>
      <c r="S150" s="238" t="s">
        <v>36</v>
      </c>
      <c r="T150" s="238"/>
      <c r="U150" s="238"/>
      <c r="V150" s="238"/>
      <c r="W150" s="238"/>
      <c r="X150" s="238"/>
      <c r="Y150" s="238"/>
      <c r="Z150" s="238"/>
      <c r="AA150" s="238"/>
      <c r="AB150" s="238"/>
      <c r="AC150" s="238">
        <f>COUNTIF(F150:AB150,"X")</f>
        <v>2</v>
      </c>
      <c r="AD150" s="122">
        <v>12</v>
      </c>
      <c r="AE150" s="123">
        <f t="shared" si="13"/>
        <v>0.06</v>
      </c>
      <c r="AF150" s="157"/>
      <c r="AG150" s="164"/>
    </row>
    <row r="151" spans="1:33">
      <c r="A151" s="103">
        <v>100</v>
      </c>
      <c r="B151" s="165" t="s">
        <v>353</v>
      </c>
      <c r="C151" s="158" t="s">
        <v>354</v>
      </c>
      <c r="D151" s="165" t="s">
        <v>34</v>
      </c>
      <c r="E151" s="163" t="s">
        <v>331</v>
      </c>
      <c r="F151" s="238"/>
      <c r="G151" s="238"/>
      <c r="H151" s="238"/>
      <c r="I151" s="238"/>
      <c r="J151" s="238"/>
      <c r="K151" s="238" t="s">
        <v>36</v>
      </c>
      <c r="L151" s="238" t="s">
        <v>36</v>
      </c>
      <c r="M151" s="238"/>
      <c r="N151" s="238"/>
      <c r="O151" s="238"/>
      <c r="P151" s="238"/>
      <c r="Q151" s="238"/>
      <c r="R151" s="238"/>
      <c r="S151" s="238" t="s">
        <v>36</v>
      </c>
      <c r="T151" s="238"/>
      <c r="U151" s="238"/>
      <c r="V151" s="238"/>
      <c r="W151" s="238"/>
      <c r="X151" s="238"/>
      <c r="Y151" s="238"/>
      <c r="Z151" s="238"/>
      <c r="AA151" s="238" t="s">
        <v>36</v>
      </c>
      <c r="AB151" s="238"/>
      <c r="AC151" s="238">
        <f>COUNTIF(F151:AB151,"X")</f>
        <v>4</v>
      </c>
      <c r="AD151" s="122">
        <v>85</v>
      </c>
      <c r="AE151" s="123">
        <f t="shared" si="13"/>
        <v>0.42499999999999999</v>
      </c>
      <c r="AF151" s="157"/>
      <c r="AG151" s="164"/>
    </row>
    <row r="152" spans="1:33">
      <c r="A152" s="103">
        <v>100.1</v>
      </c>
      <c r="B152" s="118" t="s">
        <v>355</v>
      </c>
      <c r="C152" s="106" t="s">
        <v>356</v>
      </c>
      <c r="D152" s="101" t="s">
        <v>34</v>
      </c>
      <c r="E152" s="163" t="s">
        <v>331</v>
      </c>
      <c r="F152" s="238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238"/>
      <c r="S152" s="238"/>
      <c r="T152" s="238"/>
      <c r="U152" s="238"/>
      <c r="V152" s="238"/>
      <c r="W152" s="238"/>
      <c r="X152" s="238"/>
      <c r="Y152" s="238"/>
      <c r="Z152" s="238"/>
      <c r="AA152" s="238"/>
      <c r="AB152" s="238"/>
      <c r="AC152" s="168"/>
      <c r="AD152" s="122">
        <v>31</v>
      </c>
      <c r="AE152" s="123">
        <f t="shared" si="13"/>
        <v>0.155</v>
      </c>
      <c r="AF152" s="157"/>
      <c r="AG152" s="164"/>
    </row>
    <row r="153" spans="1:33">
      <c r="A153" s="103">
        <v>101</v>
      </c>
      <c r="B153" s="165" t="s">
        <v>357</v>
      </c>
      <c r="C153" s="158" t="s">
        <v>358</v>
      </c>
      <c r="D153" s="165" t="s">
        <v>43</v>
      </c>
      <c r="E153" s="163" t="s">
        <v>331</v>
      </c>
      <c r="F153" s="238"/>
      <c r="G153" s="238"/>
      <c r="H153" s="238"/>
      <c r="I153" s="238"/>
      <c r="J153" s="238"/>
      <c r="K153" s="238"/>
      <c r="L153" s="238" t="s">
        <v>36</v>
      </c>
      <c r="M153" s="238"/>
      <c r="N153" s="238"/>
      <c r="O153" s="238"/>
      <c r="P153" s="238"/>
      <c r="Q153" s="238"/>
      <c r="R153" s="238"/>
      <c r="S153" s="238" t="s">
        <v>36</v>
      </c>
      <c r="T153" s="238"/>
      <c r="U153" s="238"/>
      <c r="V153" s="238"/>
      <c r="W153" s="238"/>
      <c r="X153" s="238"/>
      <c r="Y153" s="238"/>
      <c r="Z153" s="238"/>
      <c r="AA153" s="238"/>
      <c r="AB153" s="238"/>
      <c r="AC153" s="238">
        <f>COUNTIF(F153:AB153,"X")</f>
        <v>2</v>
      </c>
      <c r="AD153" s="122">
        <v>721</v>
      </c>
      <c r="AE153" s="123">
        <f t="shared" si="13"/>
        <v>3.605</v>
      </c>
      <c r="AF153" s="121" t="s">
        <v>359</v>
      </c>
      <c r="AG153" s="164"/>
    </row>
    <row r="154" spans="1:33">
      <c r="A154" s="103">
        <v>102</v>
      </c>
      <c r="B154" s="165" t="s">
        <v>360</v>
      </c>
      <c r="C154" s="158" t="s">
        <v>361</v>
      </c>
      <c r="D154" s="165" t="s">
        <v>40</v>
      </c>
      <c r="E154" s="163" t="s">
        <v>362</v>
      </c>
      <c r="F154" s="238" t="s">
        <v>36</v>
      </c>
      <c r="G154" s="238" t="s">
        <v>36</v>
      </c>
      <c r="H154" s="238"/>
      <c r="I154" s="238"/>
      <c r="J154" s="238"/>
      <c r="K154" s="238"/>
      <c r="L154" s="238" t="s">
        <v>36</v>
      </c>
      <c r="M154" s="238" t="s">
        <v>36</v>
      </c>
      <c r="N154" s="238" t="s">
        <v>36</v>
      </c>
      <c r="O154" s="238"/>
      <c r="P154" s="238"/>
      <c r="Q154" s="238"/>
      <c r="R154" s="238" t="s">
        <v>36</v>
      </c>
      <c r="S154" s="238" t="s">
        <v>36</v>
      </c>
      <c r="T154" s="238"/>
      <c r="U154" s="238"/>
      <c r="V154" s="238"/>
      <c r="W154" s="238"/>
      <c r="X154" s="238"/>
      <c r="Y154" s="238"/>
      <c r="Z154" s="238" t="s">
        <v>36</v>
      </c>
      <c r="AA154" s="238" t="s">
        <v>36</v>
      </c>
      <c r="AB154" s="238"/>
      <c r="AC154" s="168">
        <f>COUNTIF(F154:AB154,"X")</f>
        <v>9</v>
      </c>
      <c r="AD154" s="122">
        <v>93</v>
      </c>
      <c r="AE154" s="123">
        <f t="shared" si="13"/>
        <v>0.46500000000000002</v>
      </c>
      <c r="AF154" s="157"/>
      <c r="AG154" s="164"/>
    </row>
    <row r="155" spans="1:33">
      <c r="A155" s="103">
        <v>103</v>
      </c>
      <c r="B155" s="165" t="s">
        <v>363</v>
      </c>
      <c r="C155" s="158" t="s">
        <v>364</v>
      </c>
      <c r="D155" s="165" t="s">
        <v>40</v>
      </c>
      <c r="E155" s="163" t="s">
        <v>362</v>
      </c>
      <c r="F155" s="238" t="s">
        <v>36</v>
      </c>
      <c r="G155" s="238" t="s">
        <v>36</v>
      </c>
      <c r="H155" s="238"/>
      <c r="I155" s="238"/>
      <c r="J155" s="238" t="s">
        <v>36</v>
      </c>
      <c r="K155" s="238" t="s">
        <v>36</v>
      </c>
      <c r="L155" s="238" t="s">
        <v>36</v>
      </c>
      <c r="M155" s="238" t="s">
        <v>36</v>
      </c>
      <c r="N155" s="238" t="s">
        <v>36</v>
      </c>
      <c r="O155" s="238"/>
      <c r="P155" s="238" t="s">
        <v>36</v>
      </c>
      <c r="Q155" s="238" t="s">
        <v>36</v>
      </c>
      <c r="R155" s="238" t="s">
        <v>36</v>
      </c>
      <c r="S155" s="238" t="s">
        <v>36</v>
      </c>
      <c r="T155" s="238"/>
      <c r="U155" s="238"/>
      <c r="V155" s="238"/>
      <c r="W155" s="238"/>
      <c r="X155" s="238" t="s">
        <v>36</v>
      </c>
      <c r="Y155" s="238"/>
      <c r="Z155" s="238" t="s">
        <v>36</v>
      </c>
      <c r="AA155" s="238" t="s">
        <v>36</v>
      </c>
      <c r="AB155" s="238"/>
      <c r="AC155" s="168">
        <f>COUNTIF(F155:AB155,"X")</f>
        <v>14</v>
      </c>
      <c r="AD155" s="122">
        <v>288</v>
      </c>
      <c r="AE155" s="123">
        <f t="shared" si="13"/>
        <v>1.44</v>
      </c>
      <c r="AF155" s="157"/>
      <c r="AG155" s="164"/>
    </row>
    <row r="156" spans="1:33">
      <c r="A156" s="103">
        <v>104</v>
      </c>
      <c r="B156" s="165" t="s">
        <v>365</v>
      </c>
      <c r="C156" s="158" t="s">
        <v>366</v>
      </c>
      <c r="D156" s="165" t="s">
        <v>40</v>
      </c>
      <c r="E156" s="163" t="s">
        <v>362</v>
      </c>
      <c r="F156" s="238" t="s">
        <v>36</v>
      </c>
      <c r="G156" s="238" t="s">
        <v>36</v>
      </c>
      <c r="H156" s="238"/>
      <c r="I156" s="238"/>
      <c r="J156" s="238"/>
      <c r="K156" s="238"/>
      <c r="L156" s="238" t="s">
        <v>36</v>
      </c>
      <c r="M156" s="238" t="s">
        <v>36</v>
      </c>
      <c r="N156" s="238" t="s">
        <v>36</v>
      </c>
      <c r="O156" s="238"/>
      <c r="P156" s="238"/>
      <c r="Q156" s="238"/>
      <c r="R156" s="238" t="s">
        <v>36</v>
      </c>
      <c r="S156" s="238" t="s">
        <v>36</v>
      </c>
      <c r="T156" s="238"/>
      <c r="U156" s="238"/>
      <c r="V156" s="238"/>
      <c r="W156" s="238"/>
      <c r="X156" s="238"/>
      <c r="Y156" s="238"/>
      <c r="Z156" s="238" t="s">
        <v>36</v>
      </c>
      <c r="AA156" s="238" t="s">
        <v>36</v>
      </c>
      <c r="AB156" s="238"/>
      <c r="AC156" s="168">
        <f>COUNTIF(F156:AB156,"X")</f>
        <v>9</v>
      </c>
      <c r="AD156" s="122">
        <v>105</v>
      </c>
      <c r="AE156" s="123">
        <f t="shared" si="13"/>
        <v>0.52500000000000002</v>
      </c>
      <c r="AF156" s="157"/>
      <c r="AG156" s="164"/>
    </row>
    <row r="157" spans="1:33">
      <c r="A157" s="103">
        <v>105</v>
      </c>
      <c r="B157" s="165" t="s">
        <v>367</v>
      </c>
      <c r="C157" s="158" t="s">
        <v>368</v>
      </c>
      <c r="D157" s="165" t="s">
        <v>34</v>
      </c>
      <c r="E157" s="163" t="s">
        <v>362</v>
      </c>
      <c r="F157" s="238" t="s">
        <v>36</v>
      </c>
      <c r="G157" s="238" t="s">
        <v>36</v>
      </c>
      <c r="H157" s="238" t="s">
        <v>36</v>
      </c>
      <c r="I157" s="238" t="s">
        <v>36</v>
      </c>
      <c r="J157" s="238" t="s">
        <v>36</v>
      </c>
      <c r="K157" s="238" t="s">
        <v>36</v>
      </c>
      <c r="L157" s="238" t="s">
        <v>36</v>
      </c>
      <c r="M157" s="238" t="s">
        <v>36</v>
      </c>
      <c r="N157" s="238" t="s">
        <v>36</v>
      </c>
      <c r="O157" s="238"/>
      <c r="P157" s="238" t="s">
        <v>36</v>
      </c>
      <c r="Q157" s="238" t="s">
        <v>36</v>
      </c>
      <c r="R157" s="238" t="s">
        <v>36</v>
      </c>
      <c r="S157" s="238" t="s">
        <v>36</v>
      </c>
      <c r="T157" s="238" t="s">
        <v>36</v>
      </c>
      <c r="U157" s="238"/>
      <c r="V157" s="238"/>
      <c r="W157" s="238"/>
      <c r="X157" s="238" t="s">
        <v>36</v>
      </c>
      <c r="Y157" s="238" t="s">
        <v>36</v>
      </c>
      <c r="Z157" s="238" t="s">
        <v>36</v>
      </c>
      <c r="AA157" s="238" t="s">
        <v>36</v>
      </c>
      <c r="AB157" s="238"/>
      <c r="AC157" s="168">
        <f>COUNTIF(F157:AB157,"X")</f>
        <v>18</v>
      </c>
      <c r="AD157" s="122">
        <v>6896</v>
      </c>
      <c r="AE157" s="123">
        <f t="shared" si="13"/>
        <v>34.479999999999997</v>
      </c>
      <c r="AF157" s="157"/>
      <c r="AG157" s="164"/>
    </row>
    <row r="158" spans="1:33">
      <c r="A158" s="103">
        <v>105.4</v>
      </c>
      <c r="B158" s="178" t="s">
        <v>369</v>
      </c>
      <c r="C158" s="158" t="s">
        <v>370</v>
      </c>
      <c r="D158" s="165" t="s">
        <v>51</v>
      </c>
      <c r="E158" s="163" t="s">
        <v>362</v>
      </c>
      <c r="F158" s="238"/>
      <c r="G158" s="238"/>
      <c r="H158" s="238"/>
      <c r="I158" s="238"/>
      <c r="J158" s="238"/>
      <c r="K158" s="238"/>
      <c r="L158" s="238"/>
      <c r="M158" s="238"/>
      <c r="N158" s="238"/>
      <c r="O158" s="238"/>
      <c r="P158" s="238"/>
      <c r="Q158" s="238"/>
      <c r="R158" s="238"/>
      <c r="S158" s="238"/>
      <c r="T158" s="238"/>
      <c r="U158" s="238"/>
      <c r="V158" s="238"/>
      <c r="W158" s="238"/>
      <c r="X158" s="238"/>
      <c r="Y158" s="238"/>
      <c r="Z158" s="238"/>
      <c r="AA158" s="238"/>
      <c r="AB158" s="238"/>
      <c r="AC158" s="168"/>
      <c r="AD158" s="122">
        <v>668</v>
      </c>
      <c r="AE158" s="123">
        <f t="shared" si="13"/>
        <v>3.34</v>
      </c>
      <c r="AF158" s="157"/>
      <c r="AG158" s="164"/>
    </row>
    <row r="159" spans="1:33">
      <c r="A159" s="103">
        <v>106</v>
      </c>
      <c r="B159" s="165" t="s">
        <v>371</v>
      </c>
      <c r="C159" s="158" t="s">
        <v>372</v>
      </c>
      <c r="D159" s="165" t="s">
        <v>34</v>
      </c>
      <c r="E159" s="163" t="s">
        <v>362</v>
      </c>
      <c r="F159" s="238" t="s">
        <v>36</v>
      </c>
      <c r="G159" s="238" t="s">
        <v>36</v>
      </c>
      <c r="H159" s="238"/>
      <c r="I159" s="238" t="s">
        <v>36</v>
      </c>
      <c r="J159" s="238" t="s">
        <v>36</v>
      </c>
      <c r="K159" s="238" t="s">
        <v>36</v>
      </c>
      <c r="L159" s="238" t="s">
        <v>36</v>
      </c>
      <c r="M159" s="238" t="s">
        <v>36</v>
      </c>
      <c r="N159" s="238" t="s">
        <v>36</v>
      </c>
      <c r="O159" s="238"/>
      <c r="P159" s="238" t="s">
        <v>36</v>
      </c>
      <c r="Q159" s="238" t="s">
        <v>36</v>
      </c>
      <c r="R159" s="238" t="s">
        <v>36</v>
      </c>
      <c r="S159" s="238" t="s">
        <v>36</v>
      </c>
      <c r="T159" s="238"/>
      <c r="U159" s="238"/>
      <c r="V159" s="238"/>
      <c r="W159" s="238"/>
      <c r="X159" s="238" t="s">
        <v>36</v>
      </c>
      <c r="Y159" s="238" t="s">
        <v>36</v>
      </c>
      <c r="Z159" s="238" t="s">
        <v>36</v>
      </c>
      <c r="AA159" s="238" t="s">
        <v>36</v>
      </c>
      <c r="AB159" s="238"/>
      <c r="AC159" s="168">
        <f>COUNTIF(F159:AB159,"X")</f>
        <v>16</v>
      </c>
      <c r="AD159" s="122">
        <v>3953</v>
      </c>
      <c r="AE159" s="123">
        <f t="shared" si="13"/>
        <v>19.765000000000001</v>
      </c>
      <c r="AF159" s="157"/>
      <c r="AG159" s="164"/>
    </row>
    <row r="160" spans="1:33">
      <c r="A160" s="103">
        <v>107</v>
      </c>
      <c r="B160" s="165" t="s">
        <v>373</v>
      </c>
      <c r="C160" s="158" t="s">
        <v>374</v>
      </c>
      <c r="D160" s="165" t="s">
        <v>51</v>
      </c>
      <c r="E160" s="163" t="s">
        <v>362</v>
      </c>
      <c r="F160" s="238" t="s">
        <v>36</v>
      </c>
      <c r="G160" s="238" t="s">
        <v>36</v>
      </c>
      <c r="H160" s="238"/>
      <c r="I160" s="238"/>
      <c r="J160" s="238" t="s">
        <v>36</v>
      </c>
      <c r="K160" s="238" t="s">
        <v>36</v>
      </c>
      <c r="L160" s="238" t="s">
        <v>36</v>
      </c>
      <c r="M160" s="238" t="s">
        <v>36</v>
      </c>
      <c r="N160" s="238" t="s">
        <v>36</v>
      </c>
      <c r="O160" s="238"/>
      <c r="P160" s="238" t="s">
        <v>36</v>
      </c>
      <c r="Q160" s="238" t="s">
        <v>36</v>
      </c>
      <c r="R160" s="238" t="s">
        <v>36</v>
      </c>
      <c r="S160" s="238" t="s">
        <v>36</v>
      </c>
      <c r="T160" s="238" t="s">
        <v>36</v>
      </c>
      <c r="U160" s="238"/>
      <c r="V160" s="238"/>
      <c r="W160" s="238"/>
      <c r="X160" s="238" t="s">
        <v>36</v>
      </c>
      <c r="Y160" s="238" t="s">
        <v>36</v>
      </c>
      <c r="Z160" s="238" t="s">
        <v>36</v>
      </c>
      <c r="AA160" s="238" t="s">
        <v>36</v>
      </c>
      <c r="AB160" s="238"/>
      <c r="AC160" s="168">
        <f>COUNTIF(F160:AB160,"X")</f>
        <v>16</v>
      </c>
      <c r="AD160" s="122">
        <v>7</v>
      </c>
      <c r="AE160" s="123">
        <f t="shared" si="13"/>
        <v>3.5000000000000003E-2</v>
      </c>
      <c r="AF160" s="157"/>
      <c r="AG160" s="164"/>
    </row>
    <row r="161" spans="1:33">
      <c r="A161" s="103">
        <v>108</v>
      </c>
      <c r="B161" s="165" t="s">
        <v>375</v>
      </c>
      <c r="C161" s="158" t="s">
        <v>376</v>
      </c>
      <c r="D161" s="165" t="s">
        <v>34</v>
      </c>
      <c r="E161" s="163" t="s">
        <v>362</v>
      </c>
      <c r="F161" s="238" t="s">
        <v>36</v>
      </c>
      <c r="G161" s="238" t="s">
        <v>36</v>
      </c>
      <c r="H161" s="238"/>
      <c r="I161" s="238"/>
      <c r="J161" s="238" t="s">
        <v>36</v>
      </c>
      <c r="K161" s="238" t="s">
        <v>36</v>
      </c>
      <c r="L161" s="238" t="s">
        <v>36</v>
      </c>
      <c r="M161" s="238" t="s">
        <v>36</v>
      </c>
      <c r="N161" s="238" t="s">
        <v>36</v>
      </c>
      <c r="O161" s="238"/>
      <c r="P161" s="238" t="s">
        <v>36</v>
      </c>
      <c r="Q161" s="238" t="s">
        <v>36</v>
      </c>
      <c r="R161" s="238" t="s">
        <v>36</v>
      </c>
      <c r="S161" s="238" t="s">
        <v>36</v>
      </c>
      <c r="T161" s="238"/>
      <c r="U161" s="238"/>
      <c r="V161" s="238"/>
      <c r="W161" s="238"/>
      <c r="X161" s="238"/>
      <c r="Y161" s="238"/>
      <c r="Z161" s="238" t="s">
        <v>36</v>
      </c>
      <c r="AA161" s="238" t="s">
        <v>36</v>
      </c>
      <c r="AB161" s="238"/>
      <c r="AC161" s="168">
        <f>COUNTIF(F161:AB161,"X")</f>
        <v>13</v>
      </c>
      <c r="AD161" s="122">
        <v>6</v>
      </c>
      <c r="AE161" s="123">
        <f t="shared" si="13"/>
        <v>0.03</v>
      </c>
      <c r="AF161" s="157"/>
      <c r="AG161" s="164"/>
    </row>
    <row r="162" spans="1:33">
      <c r="A162" s="103">
        <v>109</v>
      </c>
      <c r="B162" s="165" t="s">
        <v>377</v>
      </c>
      <c r="C162" s="158" t="s">
        <v>378</v>
      </c>
      <c r="D162" s="165" t="s">
        <v>40</v>
      </c>
      <c r="E162" s="163" t="s">
        <v>362</v>
      </c>
      <c r="F162" s="238" t="s">
        <v>36</v>
      </c>
      <c r="G162" s="238"/>
      <c r="H162" s="238" t="s">
        <v>36</v>
      </c>
      <c r="I162" s="238" t="s">
        <v>36</v>
      </c>
      <c r="J162" s="238" t="s">
        <v>36</v>
      </c>
      <c r="K162" s="238" t="s">
        <v>36</v>
      </c>
      <c r="L162" s="238" t="s">
        <v>36</v>
      </c>
      <c r="M162" s="238"/>
      <c r="N162" s="238" t="s">
        <v>36</v>
      </c>
      <c r="O162" s="238"/>
      <c r="P162" s="238"/>
      <c r="Q162" s="238" t="s">
        <v>36</v>
      </c>
      <c r="R162" s="238" t="s">
        <v>36</v>
      </c>
      <c r="S162" s="238" t="s">
        <v>36</v>
      </c>
      <c r="T162" s="238"/>
      <c r="U162" s="238"/>
      <c r="V162" s="238"/>
      <c r="W162" s="238"/>
      <c r="X162" s="238"/>
      <c r="Y162" s="238"/>
      <c r="Z162" s="238" t="s">
        <v>36</v>
      </c>
      <c r="AA162" s="238" t="s">
        <v>36</v>
      </c>
      <c r="AB162" s="238"/>
      <c r="AC162" s="168">
        <f>COUNTIF(F162:AB162,"X")</f>
        <v>12</v>
      </c>
      <c r="AD162" s="122">
        <v>18448</v>
      </c>
      <c r="AE162" s="123">
        <f t="shared" si="13"/>
        <v>92.24</v>
      </c>
      <c r="AF162" s="157"/>
      <c r="AG162" s="164"/>
    </row>
    <row r="163" spans="1:33">
      <c r="A163" s="103">
        <v>109.1</v>
      </c>
      <c r="B163" s="178" t="s">
        <v>379</v>
      </c>
      <c r="C163" s="158" t="s">
        <v>380</v>
      </c>
      <c r="D163" s="165" t="s">
        <v>51</v>
      </c>
      <c r="E163" s="163" t="s">
        <v>362</v>
      </c>
      <c r="F163" s="238"/>
      <c r="G163" s="238"/>
      <c r="H163" s="238"/>
      <c r="I163" s="238"/>
      <c r="J163" s="238"/>
      <c r="K163" s="238"/>
      <c r="L163" s="238"/>
      <c r="M163" s="238"/>
      <c r="N163" s="238"/>
      <c r="O163" s="238"/>
      <c r="P163" s="238"/>
      <c r="Q163" s="238"/>
      <c r="R163" s="238"/>
      <c r="S163" s="238"/>
      <c r="T163" s="238"/>
      <c r="U163" s="238"/>
      <c r="V163" s="238"/>
      <c r="W163" s="238"/>
      <c r="X163" s="238"/>
      <c r="Y163" s="238"/>
      <c r="Z163" s="238"/>
      <c r="AA163" s="238"/>
      <c r="AB163" s="238"/>
      <c r="AC163" s="168"/>
      <c r="AD163" s="122">
        <v>1</v>
      </c>
      <c r="AE163" s="123">
        <f t="shared" si="13"/>
        <v>5.0000000000000001E-3</v>
      </c>
      <c r="AF163" s="157"/>
      <c r="AG163" s="164"/>
    </row>
    <row r="164" spans="1:33">
      <c r="A164" s="103">
        <v>110</v>
      </c>
      <c r="B164" s="97" t="s">
        <v>381</v>
      </c>
      <c r="C164" s="97" t="s">
        <v>382</v>
      </c>
      <c r="D164" s="165" t="s">
        <v>40</v>
      </c>
      <c r="E164" s="163" t="s">
        <v>362</v>
      </c>
      <c r="F164" s="238" t="s">
        <v>36</v>
      </c>
      <c r="G164" s="238" t="s">
        <v>36</v>
      </c>
      <c r="H164" s="238" t="s">
        <v>36</v>
      </c>
      <c r="I164" s="238" t="s">
        <v>36</v>
      </c>
      <c r="J164" s="238" t="s">
        <v>36</v>
      </c>
      <c r="K164" s="238" t="s">
        <v>36</v>
      </c>
      <c r="L164" s="238" t="s">
        <v>36</v>
      </c>
      <c r="M164" s="238" t="s">
        <v>36</v>
      </c>
      <c r="N164" s="238" t="s">
        <v>36</v>
      </c>
      <c r="O164" s="238"/>
      <c r="P164" s="238" t="s">
        <v>36</v>
      </c>
      <c r="Q164" s="238" t="s">
        <v>36</v>
      </c>
      <c r="R164" s="238" t="s">
        <v>36</v>
      </c>
      <c r="S164" s="238" t="s">
        <v>36</v>
      </c>
      <c r="T164" s="238"/>
      <c r="U164" s="238"/>
      <c r="V164" s="238"/>
      <c r="W164" s="238" t="s">
        <v>36</v>
      </c>
      <c r="X164" s="238" t="s">
        <v>36</v>
      </c>
      <c r="Y164" s="238" t="s">
        <v>36</v>
      </c>
      <c r="Z164" s="238" t="s">
        <v>36</v>
      </c>
      <c r="AA164" s="238" t="s">
        <v>36</v>
      </c>
      <c r="AB164" s="238"/>
      <c r="AC164" s="168">
        <f>COUNTIF(F164:AB164,"X")</f>
        <v>18</v>
      </c>
      <c r="AD164" s="122">
        <v>33985</v>
      </c>
      <c r="AE164" s="123">
        <f t="shared" si="13"/>
        <v>169.92500000000001</v>
      </c>
      <c r="AF164" s="98" t="s">
        <v>383</v>
      </c>
      <c r="AG164" s="164"/>
    </row>
    <row r="165" spans="1:33">
      <c r="A165" s="103">
        <v>111</v>
      </c>
      <c r="B165" s="165" t="s">
        <v>384</v>
      </c>
      <c r="C165" s="158" t="s">
        <v>385</v>
      </c>
      <c r="D165" s="165" t="s">
        <v>40</v>
      </c>
      <c r="E165" s="163" t="s">
        <v>362</v>
      </c>
      <c r="F165" s="238"/>
      <c r="G165" s="238"/>
      <c r="H165" s="238"/>
      <c r="I165" s="238"/>
      <c r="J165" s="238"/>
      <c r="K165" s="238"/>
      <c r="L165" s="238" t="s">
        <v>36</v>
      </c>
      <c r="M165" s="238"/>
      <c r="N165" s="238"/>
      <c r="O165" s="238"/>
      <c r="P165" s="238"/>
      <c r="Q165" s="238"/>
      <c r="R165" s="238" t="s">
        <v>36</v>
      </c>
      <c r="S165" s="238"/>
      <c r="T165" s="238"/>
      <c r="U165" s="238"/>
      <c r="V165" s="238"/>
      <c r="W165" s="238"/>
      <c r="X165" s="238"/>
      <c r="Y165" s="238"/>
      <c r="Z165" s="238"/>
      <c r="AA165" s="238"/>
      <c r="AB165" s="238"/>
      <c r="AC165" s="168">
        <f>COUNTIF(F165:AB165,"X")</f>
        <v>2</v>
      </c>
      <c r="AD165" s="122">
        <v>3</v>
      </c>
      <c r="AE165" s="123">
        <f t="shared" si="13"/>
        <v>1.4999999999999999E-2</v>
      </c>
      <c r="AF165" s="157"/>
      <c r="AG165" s="164"/>
    </row>
    <row r="166" spans="1:33">
      <c r="A166" s="103">
        <v>112</v>
      </c>
      <c r="B166" s="165" t="s">
        <v>386</v>
      </c>
      <c r="C166" s="158" t="s">
        <v>387</v>
      </c>
      <c r="D166" s="165" t="s">
        <v>40</v>
      </c>
      <c r="E166" s="163" t="s">
        <v>388</v>
      </c>
      <c r="F166" s="238"/>
      <c r="G166" s="238"/>
      <c r="H166" s="238"/>
      <c r="I166" s="238" t="s">
        <v>36</v>
      </c>
      <c r="J166" s="238"/>
      <c r="K166" s="238"/>
      <c r="L166" s="238" t="s">
        <v>36</v>
      </c>
      <c r="M166" s="238" t="s">
        <v>36</v>
      </c>
      <c r="N166" s="238"/>
      <c r="O166" s="238"/>
      <c r="P166" s="238" t="s">
        <v>36</v>
      </c>
      <c r="Q166" s="238" t="s">
        <v>36</v>
      </c>
      <c r="R166" s="238" t="s">
        <v>36</v>
      </c>
      <c r="S166" s="238"/>
      <c r="T166" s="238"/>
      <c r="U166" s="238"/>
      <c r="V166" s="238"/>
      <c r="W166" s="238"/>
      <c r="X166" s="238" t="s">
        <v>36</v>
      </c>
      <c r="Y166" s="238"/>
      <c r="Z166" s="238"/>
      <c r="AA166" s="238"/>
      <c r="AB166" s="238"/>
      <c r="AC166" s="238">
        <f>COUNTIF(F166:AB166,"X")</f>
        <v>7</v>
      </c>
      <c r="AD166" s="122">
        <v>759</v>
      </c>
      <c r="AE166" s="123">
        <f t="shared" si="13"/>
        <v>3.7949999999999999</v>
      </c>
      <c r="AF166" s="157"/>
      <c r="AG166" s="164"/>
    </row>
    <row r="167" spans="1:33">
      <c r="A167" s="103">
        <v>113</v>
      </c>
      <c r="B167" s="174" t="s">
        <v>389</v>
      </c>
      <c r="C167" s="158" t="s">
        <v>390</v>
      </c>
      <c r="D167" s="165" t="s">
        <v>40</v>
      </c>
      <c r="E167" s="163" t="s">
        <v>388</v>
      </c>
      <c r="F167" s="176" t="s">
        <v>36</v>
      </c>
      <c r="G167" s="176" t="s">
        <v>36</v>
      </c>
      <c r="H167" s="176" t="s">
        <v>36</v>
      </c>
      <c r="I167" s="176" t="s">
        <v>36</v>
      </c>
      <c r="J167" s="176" t="s">
        <v>36</v>
      </c>
      <c r="K167" s="176" t="s">
        <v>36</v>
      </c>
      <c r="L167" s="176" t="s">
        <v>36</v>
      </c>
      <c r="M167" s="176" t="s">
        <v>36</v>
      </c>
      <c r="N167" s="176" t="s">
        <v>36</v>
      </c>
      <c r="O167" s="176"/>
      <c r="P167" s="176" t="s">
        <v>36</v>
      </c>
      <c r="Q167" s="176" t="s">
        <v>36</v>
      </c>
      <c r="R167" s="176" t="s">
        <v>36</v>
      </c>
      <c r="S167" s="176" t="s">
        <v>36</v>
      </c>
      <c r="T167" s="176"/>
      <c r="U167" s="176"/>
      <c r="V167" s="176" t="s">
        <v>36</v>
      </c>
      <c r="W167" s="176"/>
      <c r="X167" s="176" t="s">
        <v>36</v>
      </c>
      <c r="Y167" s="176"/>
      <c r="Z167" s="176" t="s">
        <v>36</v>
      </c>
      <c r="AA167" s="176" t="s">
        <v>36</v>
      </c>
      <c r="AB167" s="176"/>
      <c r="AC167" s="238">
        <f>COUNTIF(F167:AB167,"X")</f>
        <v>17</v>
      </c>
      <c r="AD167" s="122">
        <v>27027</v>
      </c>
      <c r="AE167" s="123">
        <f t="shared" si="13"/>
        <v>135.13499999999999</v>
      </c>
      <c r="AF167" s="157"/>
      <c r="AG167" s="164"/>
    </row>
    <row r="168" spans="1:33">
      <c r="A168" s="103">
        <v>113.1</v>
      </c>
      <c r="B168" s="175" t="s">
        <v>391</v>
      </c>
      <c r="C168" s="158" t="s">
        <v>392</v>
      </c>
      <c r="D168" s="165" t="s">
        <v>40</v>
      </c>
      <c r="E168" s="163" t="s">
        <v>388</v>
      </c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  <c r="AA168" s="176"/>
      <c r="AB168" s="176"/>
      <c r="AC168" s="168"/>
      <c r="AD168" s="122"/>
      <c r="AE168" s="123"/>
      <c r="AF168" s="157"/>
      <c r="AG168" s="164"/>
    </row>
    <row r="169" spans="1:33">
      <c r="A169" s="103">
        <v>113.2</v>
      </c>
      <c r="B169" s="175" t="s">
        <v>393</v>
      </c>
      <c r="C169" s="158" t="s">
        <v>394</v>
      </c>
      <c r="D169" s="165" t="s">
        <v>40</v>
      </c>
      <c r="E169" s="163" t="s">
        <v>388</v>
      </c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  <c r="AA169" s="176"/>
      <c r="AB169" s="176"/>
      <c r="AC169" s="168"/>
      <c r="AD169" s="122">
        <v>35936</v>
      </c>
      <c r="AE169" s="123">
        <f xml:space="preserve"> (AD169/200)</f>
        <v>179.68</v>
      </c>
      <c r="AF169" s="121" t="s">
        <v>395</v>
      </c>
      <c r="AG169" s="164"/>
    </row>
    <row r="170" spans="1:33">
      <c r="A170" s="103">
        <v>113.3</v>
      </c>
      <c r="B170" s="175" t="s">
        <v>396</v>
      </c>
      <c r="C170" s="158" t="s">
        <v>394</v>
      </c>
      <c r="D170" s="165" t="s">
        <v>40</v>
      </c>
      <c r="E170" s="163" t="s">
        <v>388</v>
      </c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68"/>
      <c r="AD170" s="165"/>
      <c r="AE170" s="165"/>
      <c r="AF170" s="121" t="s">
        <v>395</v>
      </c>
      <c r="AG170" s="164"/>
    </row>
    <row r="171" spans="1:33">
      <c r="A171" s="103">
        <v>113.4</v>
      </c>
      <c r="B171" s="175" t="s">
        <v>397</v>
      </c>
      <c r="C171" s="158" t="s">
        <v>394</v>
      </c>
      <c r="D171" s="165" t="s">
        <v>40</v>
      </c>
      <c r="E171" s="163" t="s">
        <v>388</v>
      </c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68"/>
      <c r="AD171" s="165"/>
      <c r="AE171" s="165"/>
      <c r="AF171" s="121" t="s">
        <v>395</v>
      </c>
      <c r="AG171" s="164"/>
    </row>
    <row r="172" spans="1:33">
      <c r="A172" s="103">
        <v>113.5</v>
      </c>
      <c r="B172" s="175" t="s">
        <v>398</v>
      </c>
      <c r="C172" s="158" t="s">
        <v>394</v>
      </c>
      <c r="D172" s="165" t="s">
        <v>40</v>
      </c>
      <c r="E172" s="163" t="s">
        <v>388</v>
      </c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68"/>
      <c r="AD172" s="165"/>
      <c r="AE172" s="165"/>
      <c r="AF172" s="121" t="s">
        <v>395</v>
      </c>
      <c r="AG172" s="164"/>
    </row>
    <row r="173" spans="1:33">
      <c r="A173" s="103">
        <v>113.6</v>
      </c>
      <c r="B173" s="175" t="s">
        <v>399</v>
      </c>
      <c r="C173" s="158" t="s">
        <v>400</v>
      </c>
      <c r="D173" s="165" t="s">
        <v>40</v>
      </c>
      <c r="E173" s="163" t="s">
        <v>388</v>
      </c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68"/>
      <c r="AD173" s="122"/>
      <c r="AE173" s="123"/>
      <c r="AF173" s="157"/>
      <c r="AG173" s="164"/>
    </row>
    <row r="174" spans="1:33">
      <c r="A174" s="103">
        <v>113.7</v>
      </c>
      <c r="B174" s="175" t="s">
        <v>401</v>
      </c>
      <c r="C174" s="158" t="s">
        <v>394</v>
      </c>
      <c r="D174" s="165" t="s">
        <v>40</v>
      </c>
      <c r="E174" s="163" t="s">
        <v>388</v>
      </c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  <c r="AA174" s="176"/>
      <c r="AB174" s="176"/>
      <c r="AC174" s="168"/>
      <c r="AD174" s="165"/>
      <c r="AE174" s="165"/>
      <c r="AF174" s="121" t="s">
        <v>395</v>
      </c>
      <c r="AG174" s="164"/>
    </row>
    <row r="175" spans="1:33">
      <c r="A175" s="103">
        <v>113.8</v>
      </c>
      <c r="B175" s="175" t="s">
        <v>402</v>
      </c>
      <c r="C175" s="158" t="s">
        <v>394</v>
      </c>
      <c r="D175" s="165" t="s">
        <v>40</v>
      </c>
      <c r="E175" s="163" t="s">
        <v>388</v>
      </c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  <c r="AA175" s="176"/>
      <c r="AB175" s="176"/>
      <c r="AC175" s="168"/>
      <c r="AD175" s="165"/>
      <c r="AE175" s="165"/>
      <c r="AF175" s="121" t="s">
        <v>395</v>
      </c>
      <c r="AG175" s="164"/>
    </row>
    <row r="176" spans="1:33">
      <c r="A176" s="103">
        <v>114</v>
      </c>
      <c r="B176" s="165" t="s">
        <v>403</v>
      </c>
      <c r="C176" s="158" t="s">
        <v>404</v>
      </c>
      <c r="D176" s="165" t="s">
        <v>43</v>
      </c>
      <c r="E176" s="163" t="s">
        <v>388</v>
      </c>
      <c r="F176" s="238" t="s">
        <v>36</v>
      </c>
      <c r="G176" s="238" t="s">
        <v>36</v>
      </c>
      <c r="H176" s="238"/>
      <c r="I176" s="238"/>
      <c r="J176" s="238" t="s">
        <v>36</v>
      </c>
      <c r="K176" s="238" t="s">
        <v>36</v>
      </c>
      <c r="L176" s="238" t="s">
        <v>36</v>
      </c>
      <c r="M176" s="238" t="s">
        <v>36</v>
      </c>
      <c r="N176" s="238" t="s">
        <v>36</v>
      </c>
      <c r="O176" s="238"/>
      <c r="P176" s="238"/>
      <c r="Q176" s="238"/>
      <c r="R176" s="238"/>
      <c r="S176" s="238" t="s">
        <v>36</v>
      </c>
      <c r="T176" s="238"/>
      <c r="U176" s="238"/>
      <c r="V176" s="238"/>
      <c r="W176" s="238"/>
      <c r="X176" s="238" t="s">
        <v>36</v>
      </c>
      <c r="Y176" s="238"/>
      <c r="Z176" s="238" t="s">
        <v>36</v>
      </c>
      <c r="AA176" s="238" t="s">
        <v>36</v>
      </c>
      <c r="AB176" s="238"/>
      <c r="AC176" s="238">
        <f>COUNTIF(F176:AB176,"X")</f>
        <v>11</v>
      </c>
      <c r="AD176" s="122">
        <v>3759</v>
      </c>
      <c r="AE176" s="123">
        <f t="shared" ref="AE176:AE184" si="14" xml:space="preserve"> (AD176/200)</f>
        <v>18.795000000000002</v>
      </c>
      <c r="AF176" s="157"/>
      <c r="AG176" s="164"/>
    </row>
    <row r="177" spans="1:33">
      <c r="A177" s="103">
        <v>115</v>
      </c>
      <c r="B177" s="165" t="s">
        <v>405</v>
      </c>
      <c r="C177" s="179" t="s">
        <v>406</v>
      </c>
      <c r="D177" s="165" t="s">
        <v>51</v>
      </c>
      <c r="E177" s="184" t="s">
        <v>407</v>
      </c>
      <c r="F177" s="238" t="s">
        <v>36</v>
      </c>
      <c r="G177" s="238"/>
      <c r="H177" s="238"/>
      <c r="I177" s="238"/>
      <c r="J177" s="238"/>
      <c r="K177" s="238"/>
      <c r="L177" s="238" t="s">
        <v>36</v>
      </c>
      <c r="M177" s="238" t="s">
        <v>36</v>
      </c>
      <c r="N177" s="238"/>
      <c r="O177" s="238"/>
      <c r="P177" s="238"/>
      <c r="Q177" s="238"/>
      <c r="R177" s="238"/>
      <c r="S177" s="238" t="s">
        <v>36</v>
      </c>
      <c r="T177" s="238"/>
      <c r="U177" s="238"/>
      <c r="V177" s="238"/>
      <c r="W177" s="238"/>
      <c r="X177" s="238"/>
      <c r="Y177" s="238"/>
      <c r="Z177" s="238"/>
      <c r="AA177" s="238" t="s">
        <v>36</v>
      </c>
      <c r="AB177" s="238"/>
      <c r="AC177" s="168">
        <f>COUNTIF(F177:AB177,"X")</f>
        <v>5</v>
      </c>
      <c r="AD177" s="122">
        <v>3</v>
      </c>
      <c r="AE177" s="123">
        <f t="shared" si="14"/>
        <v>1.4999999999999999E-2</v>
      </c>
      <c r="AF177" s="157"/>
      <c r="AG177" s="164"/>
    </row>
    <row r="178" spans="1:33" ht="15" customHeight="1">
      <c r="A178" s="103">
        <v>116</v>
      </c>
      <c r="B178" s="165" t="s">
        <v>408</v>
      </c>
      <c r="C178" s="179" t="s">
        <v>409</v>
      </c>
      <c r="D178" s="165" t="s">
        <v>34</v>
      </c>
      <c r="E178" s="184" t="s">
        <v>407</v>
      </c>
      <c r="F178" s="238" t="s">
        <v>36</v>
      </c>
      <c r="G178" s="238"/>
      <c r="H178" s="238"/>
      <c r="I178" s="238"/>
      <c r="J178" s="238"/>
      <c r="K178" s="238"/>
      <c r="L178" s="238" t="s">
        <v>36</v>
      </c>
      <c r="M178" s="238" t="s">
        <v>36</v>
      </c>
      <c r="N178" s="238"/>
      <c r="O178" s="238"/>
      <c r="P178" s="238"/>
      <c r="Q178" s="238"/>
      <c r="R178" s="238"/>
      <c r="S178" s="238" t="s">
        <v>36</v>
      </c>
      <c r="T178" s="238"/>
      <c r="U178" s="238"/>
      <c r="V178" s="238"/>
      <c r="W178" s="238"/>
      <c r="X178" s="238"/>
      <c r="Y178" s="238"/>
      <c r="Z178" s="238"/>
      <c r="AA178" s="238" t="s">
        <v>36</v>
      </c>
      <c r="AB178" s="238"/>
      <c r="AC178" s="168">
        <f>COUNTIF(F178:AB178,"X")</f>
        <v>5</v>
      </c>
      <c r="AD178" s="122">
        <v>7</v>
      </c>
      <c r="AE178" s="123">
        <f t="shared" si="14"/>
        <v>3.5000000000000003E-2</v>
      </c>
      <c r="AF178" s="157"/>
      <c r="AG178" s="164"/>
    </row>
    <row r="179" spans="1:33" ht="15" customHeight="1">
      <c r="A179" s="103">
        <v>116.1</v>
      </c>
      <c r="B179" s="112" t="s">
        <v>410</v>
      </c>
      <c r="C179" s="106" t="s">
        <v>411</v>
      </c>
      <c r="D179" s="101" t="s">
        <v>51</v>
      </c>
      <c r="E179" s="184" t="s">
        <v>407</v>
      </c>
      <c r="F179" s="238"/>
      <c r="G179" s="238"/>
      <c r="H179" s="238"/>
      <c r="I179" s="238"/>
      <c r="J179" s="238"/>
      <c r="K179" s="238"/>
      <c r="L179" s="238"/>
      <c r="M179" s="238"/>
      <c r="N179" s="238"/>
      <c r="O179" s="238"/>
      <c r="P179" s="238"/>
      <c r="Q179" s="238"/>
      <c r="R179" s="238"/>
      <c r="S179" s="238"/>
      <c r="T179" s="238"/>
      <c r="U179" s="238"/>
      <c r="V179" s="238"/>
      <c r="W179" s="238"/>
      <c r="X179" s="238"/>
      <c r="Y179" s="238"/>
      <c r="Z179" s="238"/>
      <c r="AA179" s="238"/>
      <c r="AB179" s="238"/>
      <c r="AC179" s="168"/>
      <c r="AD179" s="122">
        <v>0</v>
      </c>
      <c r="AE179" s="123">
        <f t="shared" si="14"/>
        <v>0</v>
      </c>
      <c r="AF179" s="157"/>
      <c r="AG179" s="164"/>
    </row>
    <row r="180" spans="1:33" ht="15" customHeight="1">
      <c r="A180" s="103">
        <v>117</v>
      </c>
      <c r="B180" s="165" t="s">
        <v>412</v>
      </c>
      <c r="C180" s="179" t="s">
        <v>413</v>
      </c>
      <c r="D180" s="165" t="s">
        <v>34</v>
      </c>
      <c r="E180" s="184" t="s">
        <v>407</v>
      </c>
      <c r="F180" s="238" t="s">
        <v>36</v>
      </c>
      <c r="G180" s="238"/>
      <c r="H180" s="238"/>
      <c r="I180" s="238"/>
      <c r="J180" s="238"/>
      <c r="K180" s="238"/>
      <c r="L180" s="238" t="s">
        <v>36</v>
      </c>
      <c r="M180" s="238" t="s">
        <v>36</v>
      </c>
      <c r="N180" s="238"/>
      <c r="O180" s="238"/>
      <c r="P180" s="238"/>
      <c r="Q180" s="238"/>
      <c r="R180" s="238"/>
      <c r="S180" s="238" t="s">
        <v>36</v>
      </c>
      <c r="T180" s="238"/>
      <c r="U180" s="238"/>
      <c r="V180" s="238"/>
      <c r="W180" s="238"/>
      <c r="X180" s="238"/>
      <c r="Y180" s="238"/>
      <c r="Z180" s="238"/>
      <c r="AA180" s="238" t="s">
        <v>36</v>
      </c>
      <c r="AB180" s="238"/>
      <c r="AC180" s="168">
        <f>COUNTIF(F180:AB180,"X")</f>
        <v>5</v>
      </c>
      <c r="AD180" s="122">
        <v>5</v>
      </c>
      <c r="AE180" s="123">
        <f t="shared" si="14"/>
        <v>2.5000000000000001E-2</v>
      </c>
      <c r="AF180" s="157"/>
      <c r="AG180" s="164"/>
    </row>
    <row r="181" spans="1:33" ht="15" customHeight="1">
      <c r="A181" s="103">
        <v>117.1</v>
      </c>
      <c r="B181" s="112" t="s">
        <v>414</v>
      </c>
      <c r="C181" s="106" t="s">
        <v>415</v>
      </c>
      <c r="D181" s="101" t="s">
        <v>51</v>
      </c>
      <c r="E181" s="184" t="s">
        <v>407</v>
      </c>
      <c r="F181" s="238"/>
      <c r="G181" s="238"/>
      <c r="H181" s="238"/>
      <c r="I181" s="238"/>
      <c r="J181" s="238"/>
      <c r="K181" s="238"/>
      <c r="L181" s="238"/>
      <c r="M181" s="238"/>
      <c r="N181" s="238"/>
      <c r="O181" s="238"/>
      <c r="P181" s="238"/>
      <c r="Q181" s="238"/>
      <c r="R181" s="238"/>
      <c r="S181" s="238"/>
      <c r="T181" s="238"/>
      <c r="U181" s="238"/>
      <c r="V181" s="238"/>
      <c r="W181" s="238"/>
      <c r="X181" s="238"/>
      <c r="Y181" s="238"/>
      <c r="Z181" s="238"/>
      <c r="AA181" s="238"/>
      <c r="AB181" s="238"/>
      <c r="AC181" s="168"/>
      <c r="AD181" s="122">
        <v>0</v>
      </c>
      <c r="AE181" s="123">
        <f t="shared" si="14"/>
        <v>0</v>
      </c>
      <c r="AF181" s="157"/>
      <c r="AG181" s="164"/>
    </row>
    <row r="182" spans="1:33" ht="15" customHeight="1">
      <c r="A182" s="103">
        <v>118</v>
      </c>
      <c r="B182" s="63" t="s">
        <v>416</v>
      </c>
      <c r="C182" s="110" t="s">
        <v>417</v>
      </c>
      <c r="D182" s="63" t="s">
        <v>40</v>
      </c>
      <c r="E182" s="184" t="s">
        <v>418</v>
      </c>
      <c r="F182" s="238"/>
      <c r="G182" s="238"/>
      <c r="H182" s="238"/>
      <c r="I182" s="238"/>
      <c r="J182" s="238"/>
      <c r="K182" s="238"/>
      <c r="L182" s="238" t="s">
        <v>36</v>
      </c>
      <c r="M182" s="238"/>
      <c r="N182" s="238"/>
      <c r="O182" s="238"/>
      <c r="P182" s="238"/>
      <c r="Q182" s="238"/>
      <c r="R182" s="238"/>
      <c r="S182" s="238"/>
      <c r="T182" s="238"/>
      <c r="U182" s="238"/>
      <c r="V182" s="238"/>
      <c r="W182" s="238"/>
      <c r="X182" s="238"/>
      <c r="Y182" s="238"/>
      <c r="Z182" s="238"/>
      <c r="AA182" s="238"/>
      <c r="AB182" s="238"/>
      <c r="AC182" s="238">
        <f>COUNTIF(F182:AB182,"X")</f>
        <v>1</v>
      </c>
      <c r="AD182" s="122">
        <v>9</v>
      </c>
      <c r="AE182" s="123">
        <f t="shared" si="14"/>
        <v>4.4999999999999998E-2</v>
      </c>
      <c r="AF182" s="88" t="s">
        <v>37</v>
      </c>
      <c r="AG182" s="164"/>
    </row>
    <row r="183" spans="1:33">
      <c r="A183" s="103">
        <v>119</v>
      </c>
      <c r="B183" s="63" t="s">
        <v>419</v>
      </c>
      <c r="C183" s="110" t="s">
        <v>420</v>
      </c>
      <c r="D183" s="63" t="s">
        <v>40</v>
      </c>
      <c r="E183" s="184" t="s">
        <v>418</v>
      </c>
      <c r="F183" s="238"/>
      <c r="G183" s="238"/>
      <c r="H183" s="238"/>
      <c r="I183" s="238"/>
      <c r="J183" s="238"/>
      <c r="K183" s="238"/>
      <c r="L183" s="238" t="s">
        <v>36</v>
      </c>
      <c r="M183" s="238"/>
      <c r="N183" s="238"/>
      <c r="O183" s="238"/>
      <c r="P183" s="238"/>
      <c r="Q183" s="238"/>
      <c r="R183" s="238"/>
      <c r="S183" s="238"/>
      <c r="T183" s="238"/>
      <c r="U183" s="238"/>
      <c r="V183" s="238"/>
      <c r="W183" s="238"/>
      <c r="X183" s="238"/>
      <c r="Y183" s="238"/>
      <c r="Z183" s="238"/>
      <c r="AA183" s="238"/>
      <c r="AB183" s="238"/>
      <c r="AC183" s="238">
        <f>COUNTIF(F183:AB183,"X")</f>
        <v>1</v>
      </c>
      <c r="AD183" s="122">
        <v>55</v>
      </c>
      <c r="AE183" s="123">
        <f t="shared" si="14"/>
        <v>0.27500000000000002</v>
      </c>
      <c r="AF183" s="88" t="s">
        <v>37</v>
      </c>
      <c r="AG183" s="164"/>
    </row>
    <row r="184" spans="1:33">
      <c r="A184" s="103">
        <v>119.1</v>
      </c>
      <c r="B184" s="119" t="s">
        <v>421</v>
      </c>
      <c r="C184" s="108" t="s">
        <v>422</v>
      </c>
      <c r="D184" s="111" t="s">
        <v>51</v>
      </c>
      <c r="E184" s="184" t="s">
        <v>418</v>
      </c>
      <c r="F184" s="238"/>
      <c r="G184" s="238"/>
      <c r="H184" s="238"/>
      <c r="I184" s="238"/>
      <c r="J184" s="238"/>
      <c r="K184" s="238"/>
      <c r="L184" s="238"/>
      <c r="M184" s="238"/>
      <c r="N184" s="238"/>
      <c r="O184" s="238"/>
      <c r="P184" s="238"/>
      <c r="Q184" s="238"/>
      <c r="R184" s="238"/>
      <c r="S184" s="238"/>
      <c r="T184" s="238"/>
      <c r="U184" s="238"/>
      <c r="V184" s="238"/>
      <c r="W184" s="238"/>
      <c r="X184" s="238"/>
      <c r="Y184" s="238"/>
      <c r="Z184" s="238"/>
      <c r="AA184" s="238"/>
      <c r="AB184" s="238"/>
      <c r="AC184" s="168"/>
      <c r="AD184" s="122">
        <v>5</v>
      </c>
      <c r="AE184" s="123">
        <f t="shared" si="14"/>
        <v>2.5000000000000001E-2</v>
      </c>
      <c r="AF184" s="88" t="s">
        <v>37</v>
      </c>
      <c r="AG184" s="164"/>
    </row>
    <row r="185" spans="1:33">
      <c r="A185" s="103">
        <v>120</v>
      </c>
      <c r="B185" s="63" t="s">
        <v>423</v>
      </c>
      <c r="C185" s="110" t="s">
        <v>424</v>
      </c>
      <c r="D185" s="63" t="s">
        <v>40</v>
      </c>
      <c r="E185" s="184" t="s">
        <v>418</v>
      </c>
      <c r="F185" s="238"/>
      <c r="G185" s="238"/>
      <c r="H185" s="238"/>
      <c r="I185" s="238"/>
      <c r="J185" s="238"/>
      <c r="K185" s="238"/>
      <c r="L185" s="238" t="s">
        <v>36</v>
      </c>
      <c r="M185" s="238" t="s">
        <v>36</v>
      </c>
      <c r="N185" s="238"/>
      <c r="O185" s="238"/>
      <c r="P185" s="238"/>
      <c r="Q185" s="238"/>
      <c r="R185" s="238"/>
      <c r="S185" s="238"/>
      <c r="T185" s="238"/>
      <c r="U185" s="238"/>
      <c r="V185" s="238"/>
      <c r="W185" s="238"/>
      <c r="X185" s="238"/>
      <c r="Y185" s="238"/>
      <c r="Z185" s="238"/>
      <c r="AA185" s="238"/>
      <c r="AB185" s="238"/>
      <c r="AC185" s="238">
        <f t="shared" ref="AC185:AC190" si="15">COUNTIF(F185:AB185,"X")</f>
        <v>2</v>
      </c>
      <c r="AD185" s="165"/>
      <c r="AE185" s="165"/>
      <c r="AF185" s="88" t="s">
        <v>37</v>
      </c>
      <c r="AG185" s="164"/>
    </row>
    <row r="186" spans="1:33">
      <c r="A186" s="103">
        <v>121</v>
      </c>
      <c r="B186" s="63" t="s">
        <v>425</v>
      </c>
      <c r="C186" s="110" t="s">
        <v>358</v>
      </c>
      <c r="D186" s="63" t="s">
        <v>43</v>
      </c>
      <c r="E186" s="184" t="s">
        <v>418</v>
      </c>
      <c r="F186" s="238"/>
      <c r="G186" s="238"/>
      <c r="H186" s="238"/>
      <c r="I186" s="238"/>
      <c r="J186" s="238"/>
      <c r="K186" s="238"/>
      <c r="L186" s="238" t="s">
        <v>36</v>
      </c>
      <c r="M186" s="238" t="s">
        <v>36</v>
      </c>
      <c r="N186" s="238"/>
      <c r="O186" s="238"/>
      <c r="P186" s="238"/>
      <c r="Q186" s="238"/>
      <c r="R186" s="238"/>
      <c r="S186" s="238"/>
      <c r="T186" s="238"/>
      <c r="U186" s="238"/>
      <c r="V186" s="238"/>
      <c r="W186" s="238"/>
      <c r="X186" s="238"/>
      <c r="Y186" s="238"/>
      <c r="Z186" s="238"/>
      <c r="AA186" s="238"/>
      <c r="AB186" s="238"/>
      <c r="AC186" s="238">
        <f t="shared" si="15"/>
        <v>2</v>
      </c>
      <c r="AD186" s="122">
        <v>721</v>
      </c>
      <c r="AE186" s="123">
        <f t="shared" ref="AE186:AE226" si="16" xml:space="preserve"> (AD186/200)</f>
        <v>3.605</v>
      </c>
      <c r="AF186" s="124" t="s">
        <v>426</v>
      </c>
      <c r="AG186" s="164"/>
    </row>
    <row r="187" spans="1:33">
      <c r="A187" s="137">
        <v>122</v>
      </c>
      <c r="B187" s="165" t="s">
        <v>427</v>
      </c>
      <c r="C187" s="179" t="s">
        <v>428</v>
      </c>
      <c r="D187" s="165" t="s">
        <v>34</v>
      </c>
      <c r="E187" s="184" t="s">
        <v>418</v>
      </c>
      <c r="F187" s="238"/>
      <c r="G187" s="238"/>
      <c r="H187" s="238" t="s">
        <v>36</v>
      </c>
      <c r="I187" s="238" t="s">
        <v>36</v>
      </c>
      <c r="J187" s="238" t="s">
        <v>36</v>
      </c>
      <c r="K187" s="238" t="s">
        <v>36</v>
      </c>
      <c r="L187" s="238" t="s">
        <v>36</v>
      </c>
      <c r="M187" s="238"/>
      <c r="N187" s="238"/>
      <c r="O187" s="238" t="s">
        <v>36</v>
      </c>
      <c r="P187" s="238" t="s">
        <v>36</v>
      </c>
      <c r="Q187" s="238" t="s">
        <v>36</v>
      </c>
      <c r="R187" s="238" t="s">
        <v>36</v>
      </c>
      <c r="S187" s="238" t="s">
        <v>36</v>
      </c>
      <c r="T187" s="238"/>
      <c r="U187" s="238"/>
      <c r="V187" s="238"/>
      <c r="W187" s="238"/>
      <c r="X187" s="238"/>
      <c r="Y187" s="238"/>
      <c r="Z187" s="238" t="s">
        <v>36</v>
      </c>
      <c r="AA187" s="238" t="s">
        <v>36</v>
      </c>
      <c r="AB187" s="238"/>
      <c r="AC187" s="238">
        <f t="shared" si="15"/>
        <v>12</v>
      </c>
      <c r="AD187" s="122">
        <v>4145</v>
      </c>
      <c r="AE187" s="123">
        <f t="shared" si="16"/>
        <v>20.725000000000001</v>
      </c>
      <c r="AF187" s="157"/>
      <c r="AG187" s="164"/>
    </row>
    <row r="188" spans="1:33">
      <c r="A188" s="137">
        <v>123</v>
      </c>
      <c r="B188" s="63" t="s">
        <v>429</v>
      </c>
      <c r="C188" s="109" t="s">
        <v>430</v>
      </c>
      <c r="D188" s="63" t="s">
        <v>51</v>
      </c>
      <c r="E188" s="163" t="s">
        <v>431</v>
      </c>
      <c r="F188" s="238"/>
      <c r="G188" s="238"/>
      <c r="H188" s="238"/>
      <c r="I188" s="238"/>
      <c r="J188" s="238"/>
      <c r="K188" s="238"/>
      <c r="L188" s="238" t="s">
        <v>36</v>
      </c>
      <c r="M188" s="238" t="s">
        <v>36</v>
      </c>
      <c r="N188" s="238"/>
      <c r="O188" s="238"/>
      <c r="P188" s="238"/>
      <c r="Q188" s="238"/>
      <c r="R188" s="238"/>
      <c r="S188" s="238"/>
      <c r="T188" s="238"/>
      <c r="U188" s="238"/>
      <c r="V188" s="238"/>
      <c r="W188" s="238"/>
      <c r="X188" s="238"/>
      <c r="Y188" s="238"/>
      <c r="Z188" s="238"/>
      <c r="AA188" s="238"/>
      <c r="AB188" s="238"/>
      <c r="AC188" s="168">
        <f t="shared" si="15"/>
        <v>2</v>
      </c>
      <c r="AD188" s="122">
        <v>18</v>
      </c>
      <c r="AE188" s="123">
        <f t="shared" si="16"/>
        <v>0.09</v>
      </c>
      <c r="AF188" s="88" t="s">
        <v>37</v>
      </c>
      <c r="AG188" s="164"/>
    </row>
    <row r="189" spans="1:33">
      <c r="A189" s="137">
        <v>124</v>
      </c>
      <c r="B189" s="63" t="s">
        <v>432</v>
      </c>
      <c r="C189" s="109" t="s">
        <v>433</v>
      </c>
      <c r="D189" s="63" t="s">
        <v>34</v>
      </c>
      <c r="E189" s="163" t="s">
        <v>431</v>
      </c>
      <c r="F189" s="238"/>
      <c r="G189" s="238"/>
      <c r="H189" s="238"/>
      <c r="I189" s="238"/>
      <c r="J189" s="238"/>
      <c r="K189" s="238"/>
      <c r="L189" s="238" t="s">
        <v>36</v>
      </c>
      <c r="M189" s="238" t="s">
        <v>36</v>
      </c>
      <c r="N189" s="238"/>
      <c r="O189" s="238"/>
      <c r="P189" s="238"/>
      <c r="Q189" s="238"/>
      <c r="R189" s="238"/>
      <c r="S189" s="238"/>
      <c r="T189" s="238"/>
      <c r="U189" s="238"/>
      <c r="V189" s="238"/>
      <c r="W189" s="238"/>
      <c r="X189" s="238"/>
      <c r="Y189" s="238"/>
      <c r="Z189" s="238"/>
      <c r="AA189" s="238"/>
      <c r="AB189" s="238"/>
      <c r="AC189" s="168">
        <f t="shared" si="15"/>
        <v>2</v>
      </c>
      <c r="AD189" s="122">
        <v>4</v>
      </c>
      <c r="AE189" s="123">
        <f t="shared" si="16"/>
        <v>0.02</v>
      </c>
      <c r="AF189" s="88" t="s">
        <v>37</v>
      </c>
      <c r="AG189" s="164"/>
    </row>
    <row r="190" spans="1:33">
      <c r="A190" s="137">
        <v>125</v>
      </c>
      <c r="B190" s="165" t="s">
        <v>434</v>
      </c>
      <c r="C190" s="158" t="s">
        <v>435</v>
      </c>
      <c r="D190" s="165" t="s">
        <v>43</v>
      </c>
      <c r="E190" s="163" t="s">
        <v>431</v>
      </c>
      <c r="F190" s="238" t="s">
        <v>36</v>
      </c>
      <c r="G190" s="238"/>
      <c r="H190" s="238"/>
      <c r="I190" s="238"/>
      <c r="J190" s="238"/>
      <c r="K190" s="238"/>
      <c r="L190" s="238" t="s">
        <v>36</v>
      </c>
      <c r="M190" s="238" t="s">
        <v>36</v>
      </c>
      <c r="N190" s="238"/>
      <c r="O190" s="238"/>
      <c r="P190" s="238"/>
      <c r="Q190" s="238"/>
      <c r="R190" s="238" t="s">
        <v>36</v>
      </c>
      <c r="S190" s="238" t="s">
        <v>36</v>
      </c>
      <c r="T190" s="238"/>
      <c r="U190" s="238"/>
      <c r="V190" s="238"/>
      <c r="W190" s="238"/>
      <c r="X190" s="238"/>
      <c r="Y190" s="238"/>
      <c r="Z190" s="238"/>
      <c r="AA190" s="238" t="s">
        <v>36</v>
      </c>
      <c r="AB190" s="238"/>
      <c r="AC190" s="168">
        <f t="shared" si="15"/>
        <v>6</v>
      </c>
      <c r="AD190" s="122">
        <v>9084</v>
      </c>
      <c r="AE190" s="123">
        <f t="shared" si="16"/>
        <v>45.42</v>
      </c>
      <c r="AF190" s="157"/>
      <c r="AG190" s="164"/>
    </row>
    <row r="191" spans="1:33">
      <c r="A191" s="137">
        <v>125.1</v>
      </c>
      <c r="B191" s="178" t="s">
        <v>436</v>
      </c>
      <c r="C191" s="158" t="s">
        <v>437</v>
      </c>
      <c r="D191" s="165" t="s">
        <v>51</v>
      </c>
      <c r="E191" s="163" t="s">
        <v>431</v>
      </c>
      <c r="F191" s="238"/>
      <c r="G191" s="238"/>
      <c r="H191" s="238"/>
      <c r="I191" s="238"/>
      <c r="J191" s="238"/>
      <c r="K191" s="238"/>
      <c r="L191" s="238"/>
      <c r="M191" s="238"/>
      <c r="N191" s="238"/>
      <c r="O191" s="238"/>
      <c r="P191" s="238"/>
      <c r="Q191" s="238"/>
      <c r="R191" s="238"/>
      <c r="S191" s="238"/>
      <c r="T191" s="238"/>
      <c r="U191" s="238"/>
      <c r="V191" s="238"/>
      <c r="W191" s="238"/>
      <c r="X191" s="238"/>
      <c r="Y191" s="238"/>
      <c r="Z191" s="238"/>
      <c r="AA191" s="238"/>
      <c r="AB191" s="238"/>
      <c r="AC191" s="168"/>
      <c r="AD191" s="122">
        <v>454</v>
      </c>
      <c r="AE191" s="123">
        <f t="shared" si="16"/>
        <v>2.27</v>
      </c>
      <c r="AF191" s="157"/>
      <c r="AG191" s="164"/>
    </row>
    <row r="192" spans="1:33">
      <c r="A192" s="103">
        <v>126</v>
      </c>
      <c r="B192" s="165" t="s">
        <v>438</v>
      </c>
      <c r="C192" s="158" t="s">
        <v>439</v>
      </c>
      <c r="D192" s="165" t="s">
        <v>43</v>
      </c>
      <c r="E192" s="163" t="s">
        <v>431</v>
      </c>
      <c r="F192" s="238"/>
      <c r="G192" s="238"/>
      <c r="H192" s="238"/>
      <c r="I192" s="238"/>
      <c r="J192" s="238" t="s">
        <v>36</v>
      </c>
      <c r="K192" s="238" t="s">
        <v>36</v>
      </c>
      <c r="L192" s="238" t="s">
        <v>36</v>
      </c>
      <c r="M192" s="238" t="s">
        <v>36</v>
      </c>
      <c r="N192" s="238"/>
      <c r="O192" s="238"/>
      <c r="P192" s="238"/>
      <c r="Q192" s="238"/>
      <c r="R192" s="238"/>
      <c r="S192" s="238" t="s">
        <v>36</v>
      </c>
      <c r="T192" s="238"/>
      <c r="U192" s="238"/>
      <c r="V192" s="238"/>
      <c r="W192" s="238"/>
      <c r="X192" s="238"/>
      <c r="Y192" s="238"/>
      <c r="Z192" s="238"/>
      <c r="AA192" s="238" t="s">
        <v>36</v>
      </c>
      <c r="AB192" s="238"/>
      <c r="AC192" s="168">
        <f>COUNTIF(F192:AB192,"X")</f>
        <v>6</v>
      </c>
      <c r="AD192" s="122">
        <v>56</v>
      </c>
      <c r="AE192" s="123">
        <f t="shared" si="16"/>
        <v>0.28000000000000003</v>
      </c>
      <c r="AF192" s="157"/>
      <c r="AG192" s="164"/>
    </row>
    <row r="193" spans="1:33">
      <c r="A193" s="103">
        <v>127</v>
      </c>
      <c r="B193" s="63" t="s">
        <v>440</v>
      </c>
      <c r="C193" s="109" t="s">
        <v>441</v>
      </c>
      <c r="D193" s="63" t="s">
        <v>34</v>
      </c>
      <c r="E193" s="163" t="s">
        <v>431</v>
      </c>
      <c r="F193" s="238"/>
      <c r="G193" s="238"/>
      <c r="H193" s="238"/>
      <c r="I193" s="238"/>
      <c r="J193" s="238"/>
      <c r="K193" s="238"/>
      <c r="L193" s="238" t="s">
        <v>36</v>
      </c>
      <c r="M193" s="238"/>
      <c r="N193" s="238"/>
      <c r="O193" s="238"/>
      <c r="P193" s="238"/>
      <c r="Q193" s="238"/>
      <c r="R193" s="238"/>
      <c r="S193" s="238"/>
      <c r="T193" s="238"/>
      <c r="U193" s="238"/>
      <c r="V193" s="238"/>
      <c r="W193" s="238"/>
      <c r="X193" s="238"/>
      <c r="Y193" s="238"/>
      <c r="Z193" s="238"/>
      <c r="AA193" s="238"/>
      <c r="AB193" s="238"/>
      <c r="AC193" s="168">
        <f>COUNTIF(F193:AB193,"X")</f>
        <v>1</v>
      </c>
      <c r="AD193" s="122">
        <v>257</v>
      </c>
      <c r="AE193" s="123">
        <f t="shared" si="16"/>
        <v>1.2849999999999999</v>
      </c>
      <c r="AF193" s="88" t="s">
        <v>37</v>
      </c>
      <c r="AG193" s="164"/>
    </row>
    <row r="194" spans="1:33">
      <c r="A194" s="137">
        <v>128</v>
      </c>
      <c r="B194" s="63" t="s">
        <v>442</v>
      </c>
      <c r="C194" s="109" t="s">
        <v>443</v>
      </c>
      <c r="D194" s="63" t="s">
        <v>34</v>
      </c>
      <c r="E194" s="163" t="s">
        <v>431</v>
      </c>
      <c r="F194" s="238"/>
      <c r="G194" s="238"/>
      <c r="H194" s="238"/>
      <c r="I194" s="238"/>
      <c r="J194" s="238"/>
      <c r="K194" s="238"/>
      <c r="L194" s="238" t="s">
        <v>36</v>
      </c>
      <c r="M194" s="238" t="s">
        <v>36</v>
      </c>
      <c r="N194" s="238"/>
      <c r="O194" s="238"/>
      <c r="P194" s="238"/>
      <c r="Q194" s="238"/>
      <c r="R194" s="238"/>
      <c r="S194" s="238" t="s">
        <v>36</v>
      </c>
      <c r="T194" s="238"/>
      <c r="U194" s="238"/>
      <c r="V194" s="238"/>
      <c r="W194" s="238"/>
      <c r="X194" s="238"/>
      <c r="Y194" s="238"/>
      <c r="Z194" s="238"/>
      <c r="AA194" s="238"/>
      <c r="AB194" s="238"/>
      <c r="AC194" s="168">
        <f>COUNTIF(F194:AB194,"X")</f>
        <v>3</v>
      </c>
      <c r="AD194" s="122">
        <v>863</v>
      </c>
      <c r="AE194" s="123">
        <f t="shared" si="16"/>
        <v>4.3150000000000004</v>
      </c>
      <c r="AF194" s="88" t="s">
        <v>37</v>
      </c>
      <c r="AG194" s="164"/>
    </row>
    <row r="195" spans="1:33">
      <c r="A195" s="137">
        <v>129</v>
      </c>
      <c r="B195" s="63" t="s">
        <v>444</v>
      </c>
      <c r="C195" s="109" t="s">
        <v>445</v>
      </c>
      <c r="D195" s="63" t="s">
        <v>51</v>
      </c>
      <c r="E195" s="163" t="s">
        <v>431</v>
      </c>
      <c r="F195" s="238"/>
      <c r="G195" s="238"/>
      <c r="H195" s="238"/>
      <c r="I195" s="238"/>
      <c r="J195" s="238"/>
      <c r="K195" s="238"/>
      <c r="L195" s="238" t="s">
        <v>36</v>
      </c>
      <c r="M195" s="238"/>
      <c r="N195" s="238"/>
      <c r="O195" s="238"/>
      <c r="P195" s="238"/>
      <c r="Q195" s="238"/>
      <c r="R195" s="238"/>
      <c r="S195" s="238"/>
      <c r="T195" s="238"/>
      <c r="U195" s="238"/>
      <c r="V195" s="238"/>
      <c r="W195" s="238"/>
      <c r="X195" s="238"/>
      <c r="Y195" s="238"/>
      <c r="Z195" s="238"/>
      <c r="AA195" s="238"/>
      <c r="AB195" s="238"/>
      <c r="AC195" s="168">
        <f>COUNTIF(F195:AB195,"X")</f>
        <v>1</v>
      </c>
      <c r="AD195" s="122">
        <v>14</v>
      </c>
      <c r="AE195" s="123">
        <f t="shared" si="16"/>
        <v>7.0000000000000007E-2</v>
      </c>
      <c r="AF195" s="88" t="s">
        <v>37</v>
      </c>
      <c r="AG195" s="164"/>
    </row>
    <row r="196" spans="1:33">
      <c r="A196" s="137">
        <v>130</v>
      </c>
      <c r="B196" s="63" t="s">
        <v>446</v>
      </c>
      <c r="C196" s="109" t="s">
        <v>447</v>
      </c>
      <c r="D196" s="63" t="s">
        <v>34</v>
      </c>
      <c r="E196" s="163" t="s">
        <v>431</v>
      </c>
      <c r="F196" s="238"/>
      <c r="G196" s="238"/>
      <c r="H196" s="238"/>
      <c r="I196" s="238"/>
      <c r="J196" s="238"/>
      <c r="K196" s="238"/>
      <c r="L196" s="238" t="s">
        <v>36</v>
      </c>
      <c r="M196" s="238" t="s">
        <v>36</v>
      </c>
      <c r="N196" s="238"/>
      <c r="O196" s="238"/>
      <c r="P196" s="238"/>
      <c r="Q196" s="238"/>
      <c r="R196" s="238"/>
      <c r="S196" s="238" t="s">
        <v>36</v>
      </c>
      <c r="T196" s="238"/>
      <c r="U196" s="238"/>
      <c r="V196" s="238"/>
      <c r="W196" s="238"/>
      <c r="X196" s="238"/>
      <c r="Y196" s="238"/>
      <c r="Z196" s="238"/>
      <c r="AA196" s="238"/>
      <c r="AB196" s="238"/>
      <c r="AC196" s="168">
        <f>COUNTIF(F196:AB196,"X")</f>
        <v>3</v>
      </c>
      <c r="AD196" s="122">
        <v>152</v>
      </c>
      <c r="AE196" s="123">
        <f t="shared" si="16"/>
        <v>0.76</v>
      </c>
      <c r="AF196" s="88" t="s">
        <v>37</v>
      </c>
      <c r="AG196" s="164"/>
    </row>
    <row r="197" spans="1:33">
      <c r="A197" s="137">
        <v>130.1</v>
      </c>
      <c r="B197" s="115" t="s">
        <v>448</v>
      </c>
      <c r="C197" s="108" t="s">
        <v>449</v>
      </c>
      <c r="D197" s="111" t="s">
        <v>40</v>
      </c>
      <c r="E197" s="163" t="s">
        <v>431</v>
      </c>
      <c r="F197" s="238"/>
      <c r="G197" s="238"/>
      <c r="H197" s="238"/>
      <c r="I197" s="238"/>
      <c r="J197" s="238"/>
      <c r="K197" s="238"/>
      <c r="L197" s="238"/>
      <c r="M197" s="238"/>
      <c r="N197" s="238"/>
      <c r="O197" s="238"/>
      <c r="P197" s="238"/>
      <c r="Q197" s="238"/>
      <c r="R197" s="238"/>
      <c r="S197" s="238"/>
      <c r="T197" s="238"/>
      <c r="U197" s="238"/>
      <c r="V197" s="238"/>
      <c r="W197" s="238"/>
      <c r="X197" s="238"/>
      <c r="Y197" s="238"/>
      <c r="Z197" s="238"/>
      <c r="AA197" s="238"/>
      <c r="AB197" s="238"/>
      <c r="AC197" s="168"/>
      <c r="AD197" s="122">
        <v>5</v>
      </c>
      <c r="AE197" s="123">
        <f t="shared" si="16"/>
        <v>2.5000000000000001E-2</v>
      </c>
      <c r="AF197" s="88" t="s">
        <v>37</v>
      </c>
      <c r="AG197" s="164"/>
    </row>
    <row r="198" spans="1:33">
      <c r="A198" s="137">
        <v>131</v>
      </c>
      <c r="B198" s="165" t="s">
        <v>450</v>
      </c>
      <c r="C198" s="158" t="s">
        <v>451</v>
      </c>
      <c r="D198" s="165" t="s">
        <v>34</v>
      </c>
      <c r="E198" s="163" t="s">
        <v>431</v>
      </c>
      <c r="F198" s="238"/>
      <c r="G198" s="238"/>
      <c r="H198" s="238"/>
      <c r="I198" s="238"/>
      <c r="J198" s="238" t="s">
        <v>36</v>
      </c>
      <c r="K198" s="238" t="s">
        <v>36</v>
      </c>
      <c r="L198" s="238" t="s">
        <v>36</v>
      </c>
      <c r="M198" s="238" t="s">
        <v>36</v>
      </c>
      <c r="N198" s="238" t="s">
        <v>36</v>
      </c>
      <c r="O198" s="238"/>
      <c r="P198" s="238"/>
      <c r="Q198" s="238"/>
      <c r="R198" s="238"/>
      <c r="S198" s="238" t="s">
        <v>36</v>
      </c>
      <c r="T198" s="238"/>
      <c r="U198" s="238"/>
      <c r="V198" s="238"/>
      <c r="W198" s="238"/>
      <c r="X198" s="238"/>
      <c r="Y198" s="238"/>
      <c r="Z198" s="238"/>
      <c r="AA198" s="238"/>
      <c r="AB198" s="238"/>
      <c r="AC198" s="168">
        <f>COUNTIF(F198:AB198,"X")</f>
        <v>6</v>
      </c>
      <c r="AD198" s="122">
        <v>19</v>
      </c>
      <c r="AE198" s="123">
        <f t="shared" si="16"/>
        <v>9.5000000000000001E-2</v>
      </c>
      <c r="AF198" s="88" t="s">
        <v>37</v>
      </c>
      <c r="AG198" s="164"/>
    </row>
    <row r="199" spans="1:33">
      <c r="A199" s="103">
        <v>132</v>
      </c>
      <c r="B199" s="165" t="s">
        <v>452</v>
      </c>
      <c r="C199" s="158" t="s">
        <v>453</v>
      </c>
      <c r="D199" s="165" t="s">
        <v>34</v>
      </c>
      <c r="E199" s="163" t="s">
        <v>431</v>
      </c>
      <c r="F199" s="238"/>
      <c r="G199" s="238"/>
      <c r="H199" s="238"/>
      <c r="I199" s="238"/>
      <c r="J199" s="238"/>
      <c r="K199" s="238"/>
      <c r="L199" s="238" t="s">
        <v>36</v>
      </c>
      <c r="M199" s="238"/>
      <c r="N199" s="238"/>
      <c r="O199" s="238"/>
      <c r="P199" s="238"/>
      <c r="Q199" s="238"/>
      <c r="R199" s="238"/>
      <c r="S199" s="238" t="s">
        <v>36</v>
      </c>
      <c r="T199" s="238"/>
      <c r="U199" s="238"/>
      <c r="V199" s="238"/>
      <c r="W199" s="238"/>
      <c r="X199" s="238"/>
      <c r="Y199" s="238"/>
      <c r="Z199" s="238"/>
      <c r="AA199" s="238"/>
      <c r="AB199" s="238"/>
      <c r="AC199" s="168">
        <f>COUNTIF(F199:AB199,"X")</f>
        <v>2</v>
      </c>
      <c r="AD199" s="122">
        <v>32</v>
      </c>
      <c r="AE199" s="123">
        <f t="shared" si="16"/>
        <v>0.16</v>
      </c>
      <c r="AF199" s="157"/>
      <c r="AG199" s="164"/>
    </row>
    <row r="200" spans="1:33">
      <c r="A200" s="103">
        <v>133</v>
      </c>
      <c r="B200" s="165" t="s">
        <v>454</v>
      </c>
      <c r="C200" s="158" t="s">
        <v>455</v>
      </c>
      <c r="D200" s="165" t="s">
        <v>43</v>
      </c>
      <c r="E200" s="163" t="s">
        <v>431</v>
      </c>
      <c r="F200" s="238"/>
      <c r="G200" s="238"/>
      <c r="H200" s="238"/>
      <c r="I200" s="238"/>
      <c r="J200" s="238"/>
      <c r="K200" s="238"/>
      <c r="L200" s="238" t="s">
        <v>36</v>
      </c>
      <c r="M200" s="238"/>
      <c r="N200" s="238"/>
      <c r="O200" s="238"/>
      <c r="P200" s="238"/>
      <c r="Q200" s="238"/>
      <c r="R200" s="238"/>
      <c r="S200" s="238"/>
      <c r="T200" s="238"/>
      <c r="U200" s="238"/>
      <c r="V200" s="238"/>
      <c r="W200" s="238"/>
      <c r="X200" s="238"/>
      <c r="Y200" s="238"/>
      <c r="Z200" s="238"/>
      <c r="AA200" s="238"/>
      <c r="AB200" s="238"/>
      <c r="AC200" s="168">
        <f>COUNTIF(F200:AB200,"X")</f>
        <v>1</v>
      </c>
      <c r="AD200" s="122">
        <v>1</v>
      </c>
      <c r="AE200" s="123">
        <f t="shared" si="16"/>
        <v>5.0000000000000001E-3</v>
      </c>
      <c r="AF200" s="157"/>
      <c r="AG200" s="164"/>
    </row>
    <row r="201" spans="1:33">
      <c r="A201" s="103">
        <v>133.1</v>
      </c>
      <c r="B201" s="112" t="s">
        <v>456</v>
      </c>
      <c r="C201" s="106" t="s">
        <v>457</v>
      </c>
      <c r="D201" s="101" t="s">
        <v>51</v>
      </c>
      <c r="E201" s="163" t="s">
        <v>431</v>
      </c>
      <c r="F201" s="238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238"/>
      <c r="S201" s="238"/>
      <c r="T201" s="238"/>
      <c r="U201" s="238"/>
      <c r="V201" s="238"/>
      <c r="W201" s="238"/>
      <c r="X201" s="238"/>
      <c r="Y201" s="238"/>
      <c r="Z201" s="238"/>
      <c r="AA201" s="238"/>
      <c r="AB201" s="238"/>
      <c r="AC201" s="168"/>
      <c r="AD201" s="122">
        <v>0</v>
      </c>
      <c r="AE201" s="123">
        <f t="shared" si="16"/>
        <v>0</v>
      </c>
      <c r="AF201" s="157"/>
      <c r="AG201" s="164"/>
    </row>
    <row r="202" spans="1:33">
      <c r="A202" s="103">
        <v>134</v>
      </c>
      <c r="B202" s="165" t="s">
        <v>458</v>
      </c>
      <c r="C202" s="158" t="s">
        <v>459</v>
      </c>
      <c r="D202" s="165" t="s">
        <v>40</v>
      </c>
      <c r="E202" s="163" t="s">
        <v>431</v>
      </c>
      <c r="F202" s="238"/>
      <c r="G202" s="238"/>
      <c r="H202" s="238"/>
      <c r="I202" s="238"/>
      <c r="J202" s="238"/>
      <c r="K202" s="238"/>
      <c r="L202" s="238" t="s">
        <v>36</v>
      </c>
      <c r="M202" s="238"/>
      <c r="N202" s="238"/>
      <c r="O202" s="238"/>
      <c r="P202" s="238"/>
      <c r="Q202" s="238"/>
      <c r="R202" s="238"/>
      <c r="S202" s="238" t="s">
        <v>36</v>
      </c>
      <c r="T202" s="238"/>
      <c r="U202" s="238"/>
      <c r="V202" s="238"/>
      <c r="W202" s="238"/>
      <c r="X202" s="238"/>
      <c r="Y202" s="238"/>
      <c r="Z202" s="238"/>
      <c r="AA202" s="238"/>
      <c r="AB202" s="238"/>
      <c r="AC202" s="168">
        <f>COUNTIF(F202:AB202,"X")</f>
        <v>2</v>
      </c>
      <c r="AD202" s="122">
        <v>28</v>
      </c>
      <c r="AE202" s="123">
        <f t="shared" si="16"/>
        <v>0.14000000000000001</v>
      </c>
      <c r="AF202" s="157"/>
      <c r="AG202" s="164"/>
    </row>
    <row r="203" spans="1:33">
      <c r="A203" s="103">
        <v>135</v>
      </c>
      <c r="B203" s="63" t="s">
        <v>460</v>
      </c>
      <c r="C203" s="109" t="s">
        <v>461</v>
      </c>
      <c r="D203" s="63" t="s">
        <v>43</v>
      </c>
      <c r="E203" s="163" t="s">
        <v>431</v>
      </c>
      <c r="F203" s="238" t="s">
        <v>36</v>
      </c>
      <c r="G203" s="238" t="s">
        <v>36</v>
      </c>
      <c r="H203" s="238" t="s">
        <v>36</v>
      </c>
      <c r="I203" s="238" t="s">
        <v>36</v>
      </c>
      <c r="J203" s="238" t="s">
        <v>36</v>
      </c>
      <c r="K203" s="238" t="s">
        <v>36</v>
      </c>
      <c r="L203" s="238" t="s">
        <v>36</v>
      </c>
      <c r="M203" s="238" t="s">
        <v>36</v>
      </c>
      <c r="N203" s="238" t="s">
        <v>36</v>
      </c>
      <c r="O203" s="238" t="s">
        <v>36</v>
      </c>
      <c r="P203" s="238" t="s">
        <v>36</v>
      </c>
      <c r="Q203" s="238" t="s">
        <v>36</v>
      </c>
      <c r="R203" s="238" t="s">
        <v>36</v>
      </c>
      <c r="S203" s="238" t="s">
        <v>36</v>
      </c>
      <c r="T203" s="238" t="s">
        <v>36</v>
      </c>
      <c r="U203" s="238" t="s">
        <v>36</v>
      </c>
      <c r="V203" s="238" t="s">
        <v>36</v>
      </c>
      <c r="W203" s="238" t="s">
        <v>36</v>
      </c>
      <c r="X203" s="238" t="s">
        <v>36</v>
      </c>
      <c r="Y203" s="238" t="s">
        <v>36</v>
      </c>
      <c r="Z203" s="238" t="s">
        <v>36</v>
      </c>
      <c r="AA203" s="238" t="s">
        <v>36</v>
      </c>
      <c r="AB203" s="238" t="s">
        <v>36</v>
      </c>
      <c r="AC203" s="168">
        <f>COUNTIF(F203:AB203,"X")</f>
        <v>23</v>
      </c>
      <c r="AD203" s="122">
        <v>3647</v>
      </c>
      <c r="AE203" s="123">
        <f t="shared" si="16"/>
        <v>18.234999999999999</v>
      </c>
      <c r="AF203" s="88" t="s">
        <v>37</v>
      </c>
      <c r="AG203" s="164"/>
    </row>
    <row r="204" spans="1:33">
      <c r="A204" s="103">
        <v>135.1</v>
      </c>
      <c r="B204" s="119" t="s">
        <v>462</v>
      </c>
      <c r="C204" s="108" t="s">
        <v>462</v>
      </c>
      <c r="D204" s="111" t="s">
        <v>51</v>
      </c>
      <c r="E204" s="163" t="s">
        <v>431</v>
      </c>
      <c r="F204" s="238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238"/>
      <c r="S204" s="238"/>
      <c r="T204" s="238"/>
      <c r="U204" s="238"/>
      <c r="V204" s="238"/>
      <c r="W204" s="238"/>
      <c r="X204" s="238"/>
      <c r="Y204" s="238"/>
      <c r="Z204" s="238"/>
      <c r="AA204" s="238"/>
      <c r="AB204" s="238"/>
      <c r="AC204" s="168"/>
      <c r="AD204" s="122">
        <v>2646</v>
      </c>
      <c r="AE204" s="123">
        <f t="shared" si="16"/>
        <v>13.23</v>
      </c>
      <c r="AF204" s="88"/>
      <c r="AG204" s="164"/>
    </row>
    <row r="205" spans="1:33">
      <c r="A205" s="103">
        <v>135.19999999999999</v>
      </c>
      <c r="B205" s="119" t="s">
        <v>463</v>
      </c>
      <c r="C205" s="108" t="s">
        <v>463</v>
      </c>
      <c r="D205" s="111" t="s">
        <v>51</v>
      </c>
      <c r="E205" s="163" t="s">
        <v>431</v>
      </c>
      <c r="F205" s="238"/>
      <c r="G205" s="238"/>
      <c r="H205" s="238"/>
      <c r="I205" s="238"/>
      <c r="J205" s="238"/>
      <c r="K205" s="238"/>
      <c r="L205" s="238"/>
      <c r="M205" s="238"/>
      <c r="N205" s="238"/>
      <c r="O205" s="238"/>
      <c r="P205" s="238"/>
      <c r="Q205" s="238"/>
      <c r="R205" s="238"/>
      <c r="S205" s="238"/>
      <c r="T205" s="238"/>
      <c r="U205" s="238"/>
      <c r="V205" s="238"/>
      <c r="W205" s="238"/>
      <c r="X205" s="238"/>
      <c r="Y205" s="238"/>
      <c r="Z205" s="238"/>
      <c r="AA205" s="238"/>
      <c r="AB205" s="238"/>
      <c r="AC205" s="168"/>
      <c r="AD205" s="122">
        <v>0</v>
      </c>
      <c r="AE205" s="123">
        <f t="shared" si="16"/>
        <v>0</v>
      </c>
      <c r="AF205" s="88"/>
      <c r="AG205" s="164"/>
    </row>
    <row r="206" spans="1:33">
      <c r="A206" s="103">
        <v>136</v>
      </c>
      <c r="B206" s="165" t="s">
        <v>464</v>
      </c>
      <c r="C206" s="158" t="s">
        <v>465</v>
      </c>
      <c r="D206" s="165" t="s">
        <v>51</v>
      </c>
      <c r="E206" s="163" t="s">
        <v>431</v>
      </c>
      <c r="F206" s="238"/>
      <c r="G206" s="238"/>
      <c r="H206" s="238"/>
      <c r="I206" s="238"/>
      <c r="J206" s="238"/>
      <c r="K206" s="238"/>
      <c r="L206" s="238"/>
      <c r="M206" s="238"/>
      <c r="N206" s="238"/>
      <c r="O206" s="238"/>
      <c r="P206" s="238"/>
      <c r="Q206" s="238"/>
      <c r="R206" s="238"/>
      <c r="S206" s="238"/>
      <c r="T206" s="238"/>
      <c r="U206" s="238"/>
      <c r="V206" s="238"/>
      <c r="W206" s="238"/>
      <c r="X206" s="238"/>
      <c r="Y206" s="238"/>
      <c r="Z206" s="238"/>
      <c r="AA206" s="238"/>
      <c r="AB206" s="238"/>
      <c r="AC206" s="168">
        <f t="shared" ref="AC206:AC211" si="17">COUNTIF(F206:AB206,"X")</f>
        <v>0</v>
      </c>
      <c r="AD206" s="122">
        <v>19726</v>
      </c>
      <c r="AE206" s="123">
        <f t="shared" si="16"/>
        <v>98.63</v>
      </c>
      <c r="AF206" s="157"/>
      <c r="AG206" s="164"/>
    </row>
    <row r="207" spans="1:33">
      <c r="A207" s="137">
        <v>137</v>
      </c>
      <c r="B207" s="63" t="s">
        <v>466</v>
      </c>
      <c r="C207" s="109" t="s">
        <v>467</v>
      </c>
      <c r="D207" s="63" t="s">
        <v>51</v>
      </c>
      <c r="E207" s="163" t="s">
        <v>431</v>
      </c>
      <c r="F207" s="238"/>
      <c r="G207" s="238"/>
      <c r="H207" s="238"/>
      <c r="I207" s="238"/>
      <c r="J207" s="238"/>
      <c r="K207" s="238"/>
      <c r="L207" s="238" t="s">
        <v>36</v>
      </c>
      <c r="M207" s="238" t="s">
        <v>36</v>
      </c>
      <c r="N207" s="238"/>
      <c r="O207" s="238"/>
      <c r="P207" s="238"/>
      <c r="Q207" s="238"/>
      <c r="R207" s="238"/>
      <c r="S207" s="238"/>
      <c r="T207" s="238"/>
      <c r="U207" s="238"/>
      <c r="V207" s="238"/>
      <c r="W207" s="238"/>
      <c r="X207" s="238" t="s">
        <v>36</v>
      </c>
      <c r="Y207" s="238"/>
      <c r="Z207" s="238"/>
      <c r="AA207" s="238"/>
      <c r="AB207" s="238"/>
      <c r="AC207" s="168">
        <f t="shared" si="17"/>
        <v>3</v>
      </c>
      <c r="AD207" s="122">
        <v>48</v>
      </c>
      <c r="AE207" s="123">
        <f t="shared" si="16"/>
        <v>0.24</v>
      </c>
      <c r="AF207" s="88" t="s">
        <v>37</v>
      </c>
      <c r="AG207" s="164"/>
    </row>
    <row r="208" spans="1:33">
      <c r="A208" s="137">
        <v>138</v>
      </c>
      <c r="B208" s="63" t="s">
        <v>468</v>
      </c>
      <c r="C208" s="109" t="s">
        <v>469</v>
      </c>
      <c r="D208" s="63" t="s">
        <v>51</v>
      </c>
      <c r="E208" s="163" t="s">
        <v>431</v>
      </c>
      <c r="F208" s="238"/>
      <c r="G208" s="238"/>
      <c r="H208" s="238"/>
      <c r="I208" s="238"/>
      <c r="J208" s="238"/>
      <c r="K208" s="238"/>
      <c r="L208" s="238" t="s">
        <v>36</v>
      </c>
      <c r="M208" s="238" t="s">
        <v>36</v>
      </c>
      <c r="N208" s="238"/>
      <c r="O208" s="238"/>
      <c r="P208" s="238"/>
      <c r="Q208" s="238"/>
      <c r="R208" s="238"/>
      <c r="S208" s="238" t="s">
        <v>36</v>
      </c>
      <c r="T208" s="238"/>
      <c r="U208" s="238"/>
      <c r="V208" s="238"/>
      <c r="W208" s="238"/>
      <c r="X208" s="238"/>
      <c r="Y208" s="238"/>
      <c r="Z208" s="238"/>
      <c r="AA208" s="238"/>
      <c r="AB208" s="238"/>
      <c r="AC208" s="168">
        <f t="shared" si="17"/>
        <v>3</v>
      </c>
      <c r="AD208" s="122">
        <v>20</v>
      </c>
      <c r="AE208" s="123">
        <f t="shared" si="16"/>
        <v>0.1</v>
      </c>
      <c r="AF208" s="88" t="s">
        <v>37</v>
      </c>
      <c r="AG208" s="164"/>
    </row>
    <row r="209" spans="1:33">
      <c r="A209" s="103">
        <v>139</v>
      </c>
      <c r="B209" s="165" t="s">
        <v>470</v>
      </c>
      <c r="C209" s="158" t="s">
        <v>471</v>
      </c>
      <c r="D209" s="165" t="s">
        <v>40</v>
      </c>
      <c r="E209" s="163" t="s">
        <v>431</v>
      </c>
      <c r="F209" s="238"/>
      <c r="G209" s="238"/>
      <c r="H209" s="238"/>
      <c r="I209" s="238"/>
      <c r="J209" s="238"/>
      <c r="K209" s="238"/>
      <c r="L209" s="238" t="s">
        <v>36</v>
      </c>
      <c r="M209" s="238"/>
      <c r="N209" s="238"/>
      <c r="O209" s="238"/>
      <c r="P209" s="238"/>
      <c r="Q209" s="238" t="s">
        <v>36</v>
      </c>
      <c r="R209" s="238" t="s">
        <v>36</v>
      </c>
      <c r="S209" s="238"/>
      <c r="T209" s="238"/>
      <c r="U209" s="238"/>
      <c r="V209" s="238"/>
      <c r="W209" s="238"/>
      <c r="X209" s="238"/>
      <c r="Y209" s="238"/>
      <c r="Z209" s="238"/>
      <c r="AA209" s="238"/>
      <c r="AB209" s="238"/>
      <c r="AC209" s="168">
        <f t="shared" si="17"/>
        <v>3</v>
      </c>
      <c r="AD209" s="122">
        <v>67</v>
      </c>
      <c r="AE209" s="123">
        <f t="shared" si="16"/>
        <v>0.33500000000000002</v>
      </c>
      <c r="AF209" s="157"/>
      <c r="AG209" s="164"/>
    </row>
    <row r="210" spans="1:33">
      <c r="A210" s="103">
        <v>140</v>
      </c>
      <c r="B210" s="63" t="s">
        <v>472</v>
      </c>
      <c r="C210" s="109" t="s">
        <v>473</v>
      </c>
      <c r="D210" s="63" t="s">
        <v>34</v>
      </c>
      <c r="E210" s="163" t="s">
        <v>431</v>
      </c>
      <c r="F210" s="238"/>
      <c r="G210" s="238"/>
      <c r="H210" s="238"/>
      <c r="I210" s="238" t="s">
        <v>36</v>
      </c>
      <c r="J210" s="238"/>
      <c r="K210" s="238"/>
      <c r="L210" s="238" t="s">
        <v>36</v>
      </c>
      <c r="M210" s="238" t="s">
        <v>36</v>
      </c>
      <c r="N210" s="238"/>
      <c r="O210" s="238"/>
      <c r="P210" s="238"/>
      <c r="Q210" s="238"/>
      <c r="R210" s="238"/>
      <c r="S210" s="238" t="s">
        <v>36</v>
      </c>
      <c r="T210" s="238"/>
      <c r="U210" s="238"/>
      <c r="V210" s="238"/>
      <c r="W210" s="238"/>
      <c r="X210" s="238"/>
      <c r="Y210" s="238"/>
      <c r="Z210" s="238"/>
      <c r="AA210" s="238"/>
      <c r="AB210" s="238"/>
      <c r="AC210" s="168">
        <f t="shared" si="17"/>
        <v>4</v>
      </c>
      <c r="AD210" s="122">
        <v>19</v>
      </c>
      <c r="AE210" s="123">
        <f t="shared" si="16"/>
        <v>9.5000000000000001E-2</v>
      </c>
      <c r="AF210" s="88" t="s">
        <v>37</v>
      </c>
      <c r="AG210" s="164"/>
    </row>
    <row r="211" spans="1:33">
      <c r="A211" s="137">
        <v>141</v>
      </c>
      <c r="B211" s="63" t="s">
        <v>474</v>
      </c>
      <c r="C211" s="109" t="s">
        <v>475</v>
      </c>
      <c r="D211" s="63" t="s">
        <v>51</v>
      </c>
      <c r="E211" s="163" t="s">
        <v>431</v>
      </c>
      <c r="F211" s="238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238"/>
      <c r="S211" s="238"/>
      <c r="T211" s="238"/>
      <c r="U211" s="238"/>
      <c r="V211" s="238"/>
      <c r="W211" s="238"/>
      <c r="X211" s="238"/>
      <c r="Y211" s="238"/>
      <c r="Z211" s="238"/>
      <c r="AA211" s="238"/>
      <c r="AB211" s="238"/>
      <c r="AC211" s="168">
        <f t="shared" si="17"/>
        <v>0</v>
      </c>
      <c r="AD211" s="122">
        <v>0</v>
      </c>
      <c r="AE211" s="123">
        <f t="shared" si="16"/>
        <v>0</v>
      </c>
      <c r="AF211" s="88" t="s">
        <v>37</v>
      </c>
      <c r="AG211" s="164"/>
    </row>
    <row r="212" spans="1:33">
      <c r="A212" s="103">
        <v>141.1</v>
      </c>
      <c r="B212" s="119" t="s">
        <v>476</v>
      </c>
      <c r="C212" s="108" t="s">
        <v>477</v>
      </c>
      <c r="D212" s="111" t="s">
        <v>51</v>
      </c>
      <c r="E212" s="163" t="s">
        <v>431</v>
      </c>
      <c r="F212" s="238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238"/>
      <c r="R212" s="238"/>
      <c r="S212" s="238"/>
      <c r="T212" s="238"/>
      <c r="U212" s="238"/>
      <c r="V212" s="238"/>
      <c r="W212" s="238"/>
      <c r="X212" s="238"/>
      <c r="Y212" s="238"/>
      <c r="Z212" s="238"/>
      <c r="AA212" s="238"/>
      <c r="AB212" s="238"/>
      <c r="AC212" s="168"/>
      <c r="AD212" s="122">
        <v>0</v>
      </c>
      <c r="AE212" s="123">
        <f t="shared" si="16"/>
        <v>0</v>
      </c>
      <c r="AF212" s="88" t="s">
        <v>37</v>
      </c>
      <c r="AG212" s="164"/>
    </row>
    <row r="213" spans="1:33">
      <c r="A213" s="103">
        <v>142</v>
      </c>
      <c r="B213" s="63" t="s">
        <v>478</v>
      </c>
      <c r="C213" s="109" t="s">
        <v>479</v>
      </c>
      <c r="D213" s="63" t="s">
        <v>34</v>
      </c>
      <c r="E213" s="163" t="s">
        <v>431</v>
      </c>
      <c r="F213" s="238"/>
      <c r="G213" s="238"/>
      <c r="H213" s="238"/>
      <c r="I213" s="238"/>
      <c r="J213" s="238"/>
      <c r="K213" s="238"/>
      <c r="L213" s="238" t="s">
        <v>36</v>
      </c>
      <c r="M213" s="238" t="s">
        <v>36</v>
      </c>
      <c r="N213" s="238"/>
      <c r="O213" s="238"/>
      <c r="P213" s="238"/>
      <c r="Q213" s="238"/>
      <c r="R213" s="238"/>
      <c r="S213" s="238"/>
      <c r="T213" s="238"/>
      <c r="U213" s="238"/>
      <c r="V213" s="238"/>
      <c r="W213" s="238"/>
      <c r="X213" s="238"/>
      <c r="Y213" s="238"/>
      <c r="Z213" s="238"/>
      <c r="AA213" s="238"/>
      <c r="AB213" s="238"/>
      <c r="AC213" s="168">
        <f t="shared" ref="AC213:AC229" si="18">COUNTIF(F213:AB213,"X")</f>
        <v>2</v>
      </c>
      <c r="AD213" s="122">
        <v>5</v>
      </c>
      <c r="AE213" s="123">
        <f t="shared" si="16"/>
        <v>2.5000000000000001E-2</v>
      </c>
      <c r="AF213" s="88" t="s">
        <v>37</v>
      </c>
      <c r="AG213" s="164"/>
    </row>
    <row r="214" spans="1:33">
      <c r="A214" s="103">
        <v>143</v>
      </c>
      <c r="B214" s="165" t="s">
        <v>480</v>
      </c>
      <c r="C214" s="158" t="s">
        <v>481</v>
      </c>
      <c r="D214" s="165" t="s">
        <v>51</v>
      </c>
      <c r="E214" s="163" t="s">
        <v>431</v>
      </c>
      <c r="F214" s="238"/>
      <c r="G214" s="238"/>
      <c r="H214" s="238"/>
      <c r="I214" s="238"/>
      <c r="J214" s="238"/>
      <c r="K214" s="238"/>
      <c r="L214" s="238" t="s">
        <v>36</v>
      </c>
      <c r="M214" s="238"/>
      <c r="N214" s="238"/>
      <c r="O214" s="238"/>
      <c r="P214" s="238"/>
      <c r="Q214" s="238" t="s">
        <v>36</v>
      </c>
      <c r="R214" s="238" t="s">
        <v>36</v>
      </c>
      <c r="S214" s="238"/>
      <c r="T214" s="238"/>
      <c r="U214" s="238"/>
      <c r="V214" s="238"/>
      <c r="W214" s="238"/>
      <c r="X214" s="238"/>
      <c r="Y214" s="238"/>
      <c r="Z214" s="238"/>
      <c r="AA214" s="238"/>
      <c r="AB214" s="238"/>
      <c r="AC214" s="168">
        <f t="shared" si="18"/>
        <v>3</v>
      </c>
      <c r="AD214" s="122">
        <v>13</v>
      </c>
      <c r="AE214" s="123">
        <f t="shared" si="16"/>
        <v>6.5000000000000002E-2</v>
      </c>
      <c r="AF214" s="157"/>
      <c r="AG214" s="164"/>
    </row>
    <row r="215" spans="1:33">
      <c r="A215" s="137">
        <v>144</v>
      </c>
      <c r="B215" s="63" t="s">
        <v>482</v>
      </c>
      <c r="C215" s="109" t="s">
        <v>483</v>
      </c>
      <c r="D215" s="63" t="s">
        <v>34</v>
      </c>
      <c r="E215" s="163" t="s">
        <v>431</v>
      </c>
      <c r="F215" s="238"/>
      <c r="G215" s="238"/>
      <c r="H215" s="238"/>
      <c r="I215" s="238"/>
      <c r="J215" s="238"/>
      <c r="K215" s="238"/>
      <c r="L215" s="238" t="s">
        <v>36</v>
      </c>
      <c r="M215" s="238" t="s">
        <v>36</v>
      </c>
      <c r="N215" s="238"/>
      <c r="O215" s="238"/>
      <c r="P215" s="238"/>
      <c r="Q215" s="238"/>
      <c r="R215" s="238"/>
      <c r="S215" s="238" t="s">
        <v>36</v>
      </c>
      <c r="T215" s="238"/>
      <c r="U215" s="238"/>
      <c r="V215" s="238"/>
      <c r="W215" s="238"/>
      <c r="X215" s="238"/>
      <c r="Y215" s="238"/>
      <c r="Z215" s="238"/>
      <c r="AA215" s="238"/>
      <c r="AB215" s="238"/>
      <c r="AC215" s="168">
        <f t="shared" si="18"/>
        <v>3</v>
      </c>
      <c r="AD215" s="122">
        <v>105</v>
      </c>
      <c r="AE215" s="123">
        <f t="shared" si="16"/>
        <v>0.52500000000000002</v>
      </c>
      <c r="AF215" s="88" t="s">
        <v>37</v>
      </c>
      <c r="AG215" s="164"/>
    </row>
    <row r="216" spans="1:33">
      <c r="A216" s="137">
        <v>145</v>
      </c>
      <c r="B216" s="63" t="s">
        <v>484</v>
      </c>
      <c r="C216" s="109" t="s">
        <v>485</v>
      </c>
      <c r="D216" s="63" t="s">
        <v>43</v>
      </c>
      <c r="E216" s="163" t="s">
        <v>431</v>
      </c>
      <c r="F216" s="238"/>
      <c r="G216" s="238"/>
      <c r="H216" s="238"/>
      <c r="I216" s="238"/>
      <c r="J216" s="238"/>
      <c r="K216" s="238"/>
      <c r="L216" s="238" t="s">
        <v>36</v>
      </c>
      <c r="M216" s="238"/>
      <c r="N216" s="238"/>
      <c r="O216" s="238"/>
      <c r="P216" s="238"/>
      <c r="Q216" s="238"/>
      <c r="R216" s="238"/>
      <c r="S216" s="238" t="s">
        <v>36</v>
      </c>
      <c r="T216" s="238"/>
      <c r="U216" s="238"/>
      <c r="V216" s="238"/>
      <c r="W216" s="238"/>
      <c r="X216" s="238"/>
      <c r="Y216" s="238"/>
      <c r="Z216" s="238"/>
      <c r="AA216" s="238"/>
      <c r="AB216" s="238"/>
      <c r="AC216" s="168">
        <f t="shared" si="18"/>
        <v>2</v>
      </c>
      <c r="AD216" s="122">
        <v>32</v>
      </c>
      <c r="AE216" s="123">
        <f t="shared" si="16"/>
        <v>0.16</v>
      </c>
      <c r="AF216" s="88" t="s">
        <v>37</v>
      </c>
      <c r="AG216" s="164"/>
    </row>
    <row r="217" spans="1:33">
      <c r="A217" s="137">
        <v>146</v>
      </c>
      <c r="B217" s="63" t="s">
        <v>486</v>
      </c>
      <c r="C217" s="109" t="s">
        <v>487</v>
      </c>
      <c r="D217" s="63" t="s">
        <v>34</v>
      </c>
      <c r="E217" s="163" t="s">
        <v>431</v>
      </c>
      <c r="F217" s="238"/>
      <c r="G217" s="238"/>
      <c r="H217" s="238"/>
      <c r="I217" s="238"/>
      <c r="J217" s="238"/>
      <c r="K217" s="238"/>
      <c r="L217" s="238" t="s">
        <v>36</v>
      </c>
      <c r="M217" s="238" t="s">
        <v>36</v>
      </c>
      <c r="N217" s="238"/>
      <c r="O217" s="238"/>
      <c r="P217" s="238"/>
      <c r="Q217" s="238"/>
      <c r="R217" s="238"/>
      <c r="S217" s="238" t="s">
        <v>36</v>
      </c>
      <c r="T217" s="238"/>
      <c r="U217" s="238"/>
      <c r="V217" s="238"/>
      <c r="W217" s="238"/>
      <c r="X217" s="238"/>
      <c r="Y217" s="238"/>
      <c r="Z217" s="238"/>
      <c r="AA217" s="238"/>
      <c r="AB217" s="238"/>
      <c r="AC217" s="168">
        <f t="shared" si="18"/>
        <v>3</v>
      </c>
      <c r="AD217" s="122">
        <v>100</v>
      </c>
      <c r="AE217" s="123">
        <f t="shared" si="16"/>
        <v>0.5</v>
      </c>
      <c r="AF217" s="88" t="s">
        <v>37</v>
      </c>
      <c r="AG217" s="164"/>
    </row>
    <row r="218" spans="1:33">
      <c r="A218" s="137">
        <v>147</v>
      </c>
      <c r="B218" s="63" t="s">
        <v>488</v>
      </c>
      <c r="C218" s="109" t="s">
        <v>489</v>
      </c>
      <c r="D218" s="63" t="s">
        <v>40</v>
      </c>
      <c r="E218" s="163" t="s">
        <v>431</v>
      </c>
      <c r="F218" s="238"/>
      <c r="G218" s="238"/>
      <c r="H218" s="238"/>
      <c r="I218" s="238"/>
      <c r="J218" s="238"/>
      <c r="K218" s="238"/>
      <c r="L218" s="238" t="s">
        <v>36</v>
      </c>
      <c r="M218" s="238" t="s">
        <v>36</v>
      </c>
      <c r="N218" s="238"/>
      <c r="O218" s="238"/>
      <c r="P218" s="238"/>
      <c r="Q218" s="238"/>
      <c r="R218" s="238"/>
      <c r="S218" s="238" t="s">
        <v>36</v>
      </c>
      <c r="T218" s="238"/>
      <c r="U218" s="238"/>
      <c r="V218" s="238"/>
      <c r="W218" s="238"/>
      <c r="X218" s="238"/>
      <c r="Y218" s="238"/>
      <c r="Z218" s="238"/>
      <c r="AA218" s="238"/>
      <c r="AB218" s="238"/>
      <c r="AC218" s="168">
        <f t="shared" si="18"/>
        <v>3</v>
      </c>
      <c r="AD218" s="122">
        <v>97</v>
      </c>
      <c r="AE218" s="123">
        <f t="shared" si="16"/>
        <v>0.48499999999999999</v>
      </c>
      <c r="AF218" s="88" t="s">
        <v>37</v>
      </c>
      <c r="AG218" s="164"/>
    </row>
    <row r="219" spans="1:33">
      <c r="A219" s="137">
        <v>148</v>
      </c>
      <c r="B219" s="63" t="s">
        <v>490</v>
      </c>
      <c r="C219" s="109" t="s">
        <v>491</v>
      </c>
      <c r="D219" s="63" t="s">
        <v>34</v>
      </c>
      <c r="E219" s="163" t="s">
        <v>431</v>
      </c>
      <c r="F219" s="238" t="s">
        <v>36</v>
      </c>
      <c r="G219" s="238"/>
      <c r="H219" s="238"/>
      <c r="I219" s="238"/>
      <c r="J219" s="238"/>
      <c r="K219" s="238"/>
      <c r="L219" s="238" t="s">
        <v>36</v>
      </c>
      <c r="M219" s="238" t="s">
        <v>36</v>
      </c>
      <c r="N219" s="238"/>
      <c r="O219" s="238"/>
      <c r="P219" s="238"/>
      <c r="Q219" s="238"/>
      <c r="R219" s="238"/>
      <c r="S219" s="238" t="s">
        <v>36</v>
      </c>
      <c r="T219" s="238"/>
      <c r="U219" s="238"/>
      <c r="V219" s="238"/>
      <c r="W219" s="238"/>
      <c r="X219" s="238"/>
      <c r="Y219" s="238"/>
      <c r="Z219" s="238"/>
      <c r="AA219" s="238" t="s">
        <v>36</v>
      </c>
      <c r="AB219" s="238"/>
      <c r="AC219" s="168">
        <f t="shared" si="18"/>
        <v>5</v>
      </c>
      <c r="AD219" s="122">
        <v>68</v>
      </c>
      <c r="AE219" s="123">
        <f t="shared" si="16"/>
        <v>0.34</v>
      </c>
      <c r="AF219" s="88" t="s">
        <v>37</v>
      </c>
      <c r="AG219" s="164"/>
    </row>
    <row r="220" spans="1:33">
      <c r="A220" s="137">
        <v>149</v>
      </c>
      <c r="B220" s="165" t="s">
        <v>492</v>
      </c>
      <c r="C220" s="158" t="s">
        <v>493</v>
      </c>
      <c r="D220" s="165" t="s">
        <v>40</v>
      </c>
      <c r="E220" s="163" t="s">
        <v>431</v>
      </c>
      <c r="F220" s="238" t="s">
        <v>36</v>
      </c>
      <c r="G220" s="238"/>
      <c r="H220" s="238"/>
      <c r="I220" s="238"/>
      <c r="J220" s="238"/>
      <c r="K220" s="238"/>
      <c r="L220" s="238" t="s">
        <v>36</v>
      </c>
      <c r="M220" s="238" t="s">
        <v>36</v>
      </c>
      <c r="N220" s="238"/>
      <c r="O220" s="238"/>
      <c r="P220" s="238"/>
      <c r="Q220" s="238"/>
      <c r="R220" s="238"/>
      <c r="S220" s="238" t="s">
        <v>36</v>
      </c>
      <c r="T220" s="238"/>
      <c r="U220" s="238"/>
      <c r="V220" s="238"/>
      <c r="W220" s="238"/>
      <c r="X220" s="238"/>
      <c r="Y220" s="238"/>
      <c r="Z220" s="238"/>
      <c r="AA220" s="238" t="s">
        <v>36</v>
      </c>
      <c r="AB220" s="238"/>
      <c r="AC220" s="168">
        <f t="shared" si="18"/>
        <v>5</v>
      </c>
      <c r="AD220" s="122">
        <v>536</v>
      </c>
      <c r="AE220" s="123">
        <f t="shared" si="16"/>
        <v>2.68</v>
      </c>
      <c r="AF220" s="157"/>
      <c r="AG220" s="164"/>
    </row>
    <row r="221" spans="1:33">
      <c r="A221" s="103">
        <v>150</v>
      </c>
      <c r="B221" s="165" t="s">
        <v>494</v>
      </c>
      <c r="C221" s="158" t="s">
        <v>495</v>
      </c>
      <c r="D221" s="165" t="s">
        <v>40</v>
      </c>
      <c r="E221" s="163" t="s">
        <v>496</v>
      </c>
      <c r="F221" s="238" t="s">
        <v>36</v>
      </c>
      <c r="G221" s="238" t="s">
        <v>36</v>
      </c>
      <c r="H221" s="238"/>
      <c r="I221" s="238"/>
      <c r="J221" s="238" t="s">
        <v>36</v>
      </c>
      <c r="K221" s="238" t="s">
        <v>36</v>
      </c>
      <c r="L221" s="238" t="s">
        <v>36</v>
      </c>
      <c r="M221" s="238" t="s">
        <v>36</v>
      </c>
      <c r="N221" s="238" t="s">
        <v>36</v>
      </c>
      <c r="O221" s="238"/>
      <c r="P221" s="238"/>
      <c r="Q221" s="238"/>
      <c r="R221" s="238"/>
      <c r="S221" s="238" t="s">
        <v>36</v>
      </c>
      <c r="T221" s="238"/>
      <c r="U221" s="238"/>
      <c r="V221" s="238"/>
      <c r="W221" s="238"/>
      <c r="X221" s="238" t="s">
        <v>36</v>
      </c>
      <c r="Y221" s="238"/>
      <c r="Z221" s="238" t="s">
        <v>36</v>
      </c>
      <c r="AA221" s="238" t="s">
        <v>36</v>
      </c>
      <c r="AB221" s="238"/>
      <c r="AC221" s="238">
        <f t="shared" si="18"/>
        <v>11</v>
      </c>
      <c r="AD221" s="122">
        <v>525</v>
      </c>
      <c r="AE221" s="123">
        <f t="shared" si="16"/>
        <v>2.625</v>
      </c>
      <c r="AF221" s="157"/>
      <c r="AG221" s="164"/>
    </row>
    <row r="222" spans="1:33">
      <c r="A222" s="103">
        <v>151</v>
      </c>
      <c r="B222" s="165" t="s">
        <v>497</v>
      </c>
      <c r="C222" s="158" t="s">
        <v>498</v>
      </c>
      <c r="D222" s="165" t="s">
        <v>34</v>
      </c>
      <c r="E222" s="163" t="s">
        <v>496</v>
      </c>
      <c r="F222" s="238" t="s">
        <v>36</v>
      </c>
      <c r="G222" s="238" t="s">
        <v>36</v>
      </c>
      <c r="H222" s="238"/>
      <c r="I222" s="238"/>
      <c r="J222" s="238" t="s">
        <v>36</v>
      </c>
      <c r="K222" s="238" t="s">
        <v>36</v>
      </c>
      <c r="L222" s="238" t="s">
        <v>36</v>
      </c>
      <c r="M222" s="238" t="s">
        <v>36</v>
      </c>
      <c r="N222" s="238" t="s">
        <v>36</v>
      </c>
      <c r="O222" s="238"/>
      <c r="P222" s="238"/>
      <c r="Q222" s="238"/>
      <c r="R222" s="238"/>
      <c r="S222" s="238" t="s">
        <v>36</v>
      </c>
      <c r="T222" s="238"/>
      <c r="U222" s="238"/>
      <c r="V222" s="238"/>
      <c r="W222" s="238"/>
      <c r="X222" s="238"/>
      <c r="Y222" s="238"/>
      <c r="Z222" s="238" t="s">
        <v>36</v>
      </c>
      <c r="AA222" s="238" t="s">
        <v>36</v>
      </c>
      <c r="AB222" s="238"/>
      <c r="AC222" s="238">
        <f t="shared" si="18"/>
        <v>10</v>
      </c>
      <c r="AD222" s="122">
        <v>1705</v>
      </c>
      <c r="AE222" s="123">
        <f t="shared" si="16"/>
        <v>8.5250000000000004</v>
      </c>
      <c r="AF222" s="157"/>
      <c r="AG222" s="164"/>
    </row>
    <row r="223" spans="1:33">
      <c r="A223" s="103">
        <v>152</v>
      </c>
      <c r="B223" s="165" t="s">
        <v>499</v>
      </c>
      <c r="C223" s="158" t="s">
        <v>500</v>
      </c>
      <c r="D223" s="165" t="s">
        <v>40</v>
      </c>
      <c r="E223" s="163" t="s">
        <v>496</v>
      </c>
      <c r="F223" s="238" t="s">
        <v>36</v>
      </c>
      <c r="G223" s="238" t="s">
        <v>36</v>
      </c>
      <c r="H223" s="238"/>
      <c r="I223" s="238"/>
      <c r="J223" s="238" t="s">
        <v>36</v>
      </c>
      <c r="K223" s="238" t="s">
        <v>36</v>
      </c>
      <c r="L223" s="238" t="s">
        <v>36</v>
      </c>
      <c r="M223" s="238" t="s">
        <v>36</v>
      </c>
      <c r="N223" s="238" t="s">
        <v>36</v>
      </c>
      <c r="O223" s="238"/>
      <c r="P223" s="238"/>
      <c r="Q223" s="238"/>
      <c r="R223" s="238"/>
      <c r="S223" s="238" t="s">
        <v>36</v>
      </c>
      <c r="T223" s="238"/>
      <c r="U223" s="238"/>
      <c r="V223" s="238"/>
      <c r="W223" s="238"/>
      <c r="X223" s="238"/>
      <c r="Y223" s="238"/>
      <c r="Z223" s="238" t="s">
        <v>36</v>
      </c>
      <c r="AA223" s="238" t="s">
        <v>36</v>
      </c>
      <c r="AB223" s="238"/>
      <c r="AC223" s="238">
        <f t="shared" si="18"/>
        <v>10</v>
      </c>
      <c r="AD223" s="122">
        <v>1738</v>
      </c>
      <c r="AE223" s="123">
        <f t="shared" si="16"/>
        <v>8.69</v>
      </c>
      <c r="AF223" s="157"/>
      <c r="AG223" s="164"/>
    </row>
    <row r="224" spans="1:33">
      <c r="A224" s="103">
        <v>153</v>
      </c>
      <c r="B224" s="165" t="s">
        <v>501</v>
      </c>
      <c r="C224" s="158" t="s">
        <v>502</v>
      </c>
      <c r="D224" s="165" t="s">
        <v>40</v>
      </c>
      <c r="E224" s="163" t="s">
        <v>496</v>
      </c>
      <c r="F224" s="238"/>
      <c r="G224" s="238"/>
      <c r="H224" s="238"/>
      <c r="I224" s="238"/>
      <c r="J224" s="238"/>
      <c r="K224" s="238"/>
      <c r="L224" s="238" t="s">
        <v>36</v>
      </c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  <c r="W224" s="238"/>
      <c r="X224" s="238"/>
      <c r="Y224" s="238"/>
      <c r="Z224" s="238"/>
      <c r="AA224" s="238"/>
      <c r="AB224" s="238"/>
      <c r="AC224" s="238">
        <f t="shared" si="18"/>
        <v>1</v>
      </c>
      <c r="AD224" s="122">
        <v>176</v>
      </c>
      <c r="AE224" s="123">
        <f t="shared" si="16"/>
        <v>0.88</v>
      </c>
      <c r="AF224" s="157"/>
      <c r="AG224" s="164"/>
    </row>
    <row r="225" spans="1:33">
      <c r="A225" s="103">
        <v>154</v>
      </c>
      <c r="B225" s="165" t="s">
        <v>503</v>
      </c>
      <c r="C225" s="158" t="s">
        <v>504</v>
      </c>
      <c r="D225" s="165" t="s">
        <v>40</v>
      </c>
      <c r="E225" s="163" t="s">
        <v>496</v>
      </c>
      <c r="F225" s="238" t="s">
        <v>36</v>
      </c>
      <c r="G225" s="238" t="s">
        <v>36</v>
      </c>
      <c r="H225" s="238"/>
      <c r="I225" s="238"/>
      <c r="J225" s="238" t="s">
        <v>36</v>
      </c>
      <c r="K225" s="238" t="s">
        <v>36</v>
      </c>
      <c r="L225" s="238" t="s">
        <v>36</v>
      </c>
      <c r="M225" s="238" t="s">
        <v>36</v>
      </c>
      <c r="N225" s="238" t="s">
        <v>36</v>
      </c>
      <c r="O225" s="238"/>
      <c r="P225" s="238"/>
      <c r="Q225" s="238"/>
      <c r="R225" s="238"/>
      <c r="S225" s="238" t="s">
        <v>36</v>
      </c>
      <c r="T225" s="238"/>
      <c r="U225" s="238"/>
      <c r="V225" s="238"/>
      <c r="W225" s="238"/>
      <c r="X225" s="238"/>
      <c r="Y225" s="238"/>
      <c r="Z225" s="238" t="s">
        <v>36</v>
      </c>
      <c r="AA225" s="238" t="s">
        <v>36</v>
      </c>
      <c r="AB225" s="238"/>
      <c r="AC225" s="238">
        <f t="shared" si="18"/>
        <v>10</v>
      </c>
      <c r="AD225" s="122">
        <v>587</v>
      </c>
      <c r="AE225" s="123">
        <f t="shared" si="16"/>
        <v>2.9350000000000001</v>
      </c>
      <c r="AF225" s="157"/>
      <c r="AG225" s="164"/>
    </row>
    <row r="226" spans="1:33">
      <c r="A226" s="103">
        <v>155</v>
      </c>
      <c r="B226" s="165" t="s">
        <v>505</v>
      </c>
      <c r="C226" s="158" t="s">
        <v>506</v>
      </c>
      <c r="D226" s="165" t="s">
        <v>34</v>
      </c>
      <c r="E226" s="163" t="s">
        <v>496</v>
      </c>
      <c r="F226" s="238"/>
      <c r="G226" s="238"/>
      <c r="H226" s="238"/>
      <c r="I226" s="238"/>
      <c r="J226" s="238"/>
      <c r="K226" s="238"/>
      <c r="L226" s="238" t="s">
        <v>36</v>
      </c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  <c r="W226" s="238"/>
      <c r="X226" s="238"/>
      <c r="Y226" s="238"/>
      <c r="Z226" s="238"/>
      <c r="AA226" s="238"/>
      <c r="AB226" s="238"/>
      <c r="AC226" s="238">
        <f t="shared" si="18"/>
        <v>1</v>
      </c>
      <c r="AD226" s="122">
        <v>18</v>
      </c>
      <c r="AE226" s="123">
        <f t="shared" si="16"/>
        <v>0.09</v>
      </c>
      <c r="AF226" s="157"/>
      <c r="AG226" s="164"/>
    </row>
    <row r="227" spans="1:33">
      <c r="A227" s="103">
        <v>156</v>
      </c>
      <c r="B227" s="165" t="s">
        <v>507</v>
      </c>
      <c r="C227" s="176"/>
      <c r="D227" s="165" t="s">
        <v>43</v>
      </c>
      <c r="E227" s="163" t="s">
        <v>508</v>
      </c>
      <c r="F227" s="238" t="s">
        <v>36</v>
      </c>
      <c r="G227" s="238" t="s">
        <v>36</v>
      </c>
      <c r="H227" s="238" t="s">
        <v>36</v>
      </c>
      <c r="I227" s="238" t="s">
        <v>36</v>
      </c>
      <c r="J227" s="238" t="s">
        <v>36</v>
      </c>
      <c r="K227" s="238" t="s">
        <v>36</v>
      </c>
      <c r="L227" s="238" t="s">
        <v>36</v>
      </c>
      <c r="M227" s="238" t="s">
        <v>36</v>
      </c>
      <c r="N227" s="238" t="s">
        <v>36</v>
      </c>
      <c r="O227" s="238" t="s">
        <v>36</v>
      </c>
      <c r="P227" s="238" t="s">
        <v>36</v>
      </c>
      <c r="Q227" s="238" t="s">
        <v>36</v>
      </c>
      <c r="R227" s="238" t="s">
        <v>36</v>
      </c>
      <c r="S227" s="238" t="s">
        <v>36</v>
      </c>
      <c r="T227" s="238" t="s">
        <v>36</v>
      </c>
      <c r="U227" s="238" t="s">
        <v>36</v>
      </c>
      <c r="V227" s="238" t="s">
        <v>36</v>
      </c>
      <c r="W227" s="238" t="s">
        <v>36</v>
      </c>
      <c r="X227" s="238" t="s">
        <v>36</v>
      </c>
      <c r="Y227" s="238" t="s">
        <v>36</v>
      </c>
      <c r="Z227" s="238" t="s">
        <v>36</v>
      </c>
      <c r="AA227" s="238" t="s">
        <v>36</v>
      </c>
      <c r="AB227" s="238" t="s">
        <v>36</v>
      </c>
      <c r="AC227" s="238">
        <f t="shared" si="18"/>
        <v>23</v>
      </c>
      <c r="AD227" s="165"/>
      <c r="AE227" s="165"/>
      <c r="AF227" s="157"/>
      <c r="AG227" s="164"/>
    </row>
    <row r="228" spans="1:33">
      <c r="A228" s="103">
        <v>157</v>
      </c>
      <c r="B228" s="165" t="s">
        <v>509</v>
      </c>
      <c r="C228" s="176"/>
      <c r="D228" s="165" t="s">
        <v>40</v>
      </c>
      <c r="E228" s="163" t="s">
        <v>508</v>
      </c>
      <c r="F228" s="238" t="s">
        <v>36</v>
      </c>
      <c r="G228" s="238" t="s">
        <v>36</v>
      </c>
      <c r="H228" s="238" t="s">
        <v>36</v>
      </c>
      <c r="I228" s="238" t="s">
        <v>36</v>
      </c>
      <c r="J228" s="238" t="s">
        <v>36</v>
      </c>
      <c r="K228" s="238" t="s">
        <v>36</v>
      </c>
      <c r="L228" s="238" t="s">
        <v>36</v>
      </c>
      <c r="M228" s="238" t="s">
        <v>36</v>
      </c>
      <c r="N228" s="238" t="s">
        <v>36</v>
      </c>
      <c r="O228" s="238" t="s">
        <v>36</v>
      </c>
      <c r="P228" s="238" t="s">
        <v>36</v>
      </c>
      <c r="Q228" s="238" t="s">
        <v>36</v>
      </c>
      <c r="R228" s="238" t="s">
        <v>36</v>
      </c>
      <c r="S228" s="238" t="s">
        <v>36</v>
      </c>
      <c r="T228" s="238" t="s">
        <v>36</v>
      </c>
      <c r="U228" s="238" t="s">
        <v>36</v>
      </c>
      <c r="V228" s="238" t="s">
        <v>36</v>
      </c>
      <c r="W228" s="238" t="s">
        <v>36</v>
      </c>
      <c r="X228" s="238" t="s">
        <v>36</v>
      </c>
      <c r="Y228" s="238" t="s">
        <v>36</v>
      </c>
      <c r="Z228" s="238" t="s">
        <v>36</v>
      </c>
      <c r="AA228" s="238" t="s">
        <v>36</v>
      </c>
      <c r="AB228" s="238" t="s">
        <v>36</v>
      </c>
      <c r="AC228" s="238">
        <f t="shared" si="18"/>
        <v>23</v>
      </c>
      <c r="AD228" s="165"/>
      <c r="AE228" s="165"/>
      <c r="AF228" s="157"/>
      <c r="AG228" s="164"/>
    </row>
    <row r="229" spans="1:33">
      <c r="A229" s="103">
        <v>158</v>
      </c>
      <c r="B229" s="57" t="s">
        <v>510</v>
      </c>
      <c r="C229" s="106" t="s">
        <v>511</v>
      </c>
      <c r="D229" s="106" t="s">
        <v>43</v>
      </c>
      <c r="E229" s="163" t="s">
        <v>508</v>
      </c>
      <c r="F229" s="238" t="s">
        <v>36</v>
      </c>
      <c r="G229" s="238" t="s">
        <v>36</v>
      </c>
      <c r="H229" s="238" t="s">
        <v>36</v>
      </c>
      <c r="I229" s="238" t="s">
        <v>36</v>
      </c>
      <c r="J229" s="238" t="s">
        <v>36</v>
      </c>
      <c r="K229" s="238" t="s">
        <v>36</v>
      </c>
      <c r="L229" s="238" t="s">
        <v>36</v>
      </c>
      <c r="M229" s="238" t="s">
        <v>36</v>
      </c>
      <c r="N229" s="238" t="s">
        <v>36</v>
      </c>
      <c r="O229" s="238" t="s">
        <v>36</v>
      </c>
      <c r="P229" s="238" t="s">
        <v>36</v>
      </c>
      <c r="Q229" s="238" t="s">
        <v>36</v>
      </c>
      <c r="R229" s="238" t="s">
        <v>36</v>
      </c>
      <c r="S229" s="238" t="s">
        <v>36</v>
      </c>
      <c r="T229" s="238" t="s">
        <v>36</v>
      </c>
      <c r="U229" s="238" t="s">
        <v>36</v>
      </c>
      <c r="V229" s="238" t="s">
        <v>36</v>
      </c>
      <c r="W229" s="238" t="s">
        <v>36</v>
      </c>
      <c r="X229" s="238" t="s">
        <v>36</v>
      </c>
      <c r="Y229" s="238" t="s">
        <v>36</v>
      </c>
      <c r="Z229" s="238" t="s">
        <v>36</v>
      </c>
      <c r="AA229" s="238" t="s">
        <v>36</v>
      </c>
      <c r="AB229" s="238" t="s">
        <v>36</v>
      </c>
      <c r="AC229" s="238">
        <f t="shared" si="18"/>
        <v>23</v>
      </c>
      <c r="AD229" s="122">
        <v>144939</v>
      </c>
      <c r="AE229" s="123">
        <f xml:space="preserve"> (AD229/200)</f>
        <v>724.69500000000005</v>
      </c>
      <c r="AF229" s="157"/>
      <c r="AG229" s="164"/>
    </row>
    <row r="230" spans="1:33" ht="30">
      <c r="A230" s="103">
        <v>159</v>
      </c>
      <c r="B230" s="57" t="s">
        <v>512</v>
      </c>
      <c r="C230" s="135" t="s">
        <v>513</v>
      </c>
      <c r="D230" s="136" t="s">
        <v>40</v>
      </c>
      <c r="E230" s="163" t="s">
        <v>508</v>
      </c>
      <c r="F230" s="238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  <c r="W230" s="238"/>
      <c r="X230" s="238"/>
      <c r="Y230" s="238"/>
      <c r="Z230" s="238"/>
      <c r="AA230" s="238"/>
      <c r="AB230" s="238"/>
      <c r="AC230" s="168"/>
      <c r="AD230" s="122">
        <v>1878026</v>
      </c>
      <c r="AE230" s="123">
        <f xml:space="preserve"> (AD230/200)</f>
        <v>9390.1299999999992</v>
      </c>
      <c r="AF230" s="186" t="s">
        <v>514</v>
      </c>
      <c r="AG230" s="164"/>
    </row>
    <row r="231" spans="1:33">
      <c r="A231" s="103">
        <v>160</v>
      </c>
      <c r="B231" s="157" t="s">
        <v>515</v>
      </c>
      <c r="C231" s="106" t="s">
        <v>516</v>
      </c>
      <c r="D231" s="101" t="s">
        <v>51</v>
      </c>
      <c r="E231" s="163" t="s">
        <v>508</v>
      </c>
      <c r="F231" s="238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  <c r="W231" s="238"/>
      <c r="X231" s="238"/>
      <c r="Y231" s="238"/>
      <c r="Z231" s="238"/>
      <c r="AA231" s="238"/>
      <c r="AB231" s="238"/>
      <c r="AC231" s="168"/>
      <c r="AD231" s="122">
        <v>2929</v>
      </c>
      <c r="AE231" s="123">
        <f xml:space="preserve"> (AD231/200)</f>
        <v>14.645</v>
      </c>
      <c r="AF231" s="157"/>
      <c r="AG231" s="164"/>
    </row>
    <row r="232" spans="1:33">
      <c r="B232" s="164"/>
      <c r="C232" s="187"/>
      <c r="D232" s="164"/>
      <c r="E232" s="188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90"/>
      <c r="AF232" s="164"/>
      <c r="AG232" s="164"/>
    </row>
    <row r="233" spans="1:33">
      <c r="B233" s="164"/>
      <c r="C233" s="187"/>
      <c r="D233" s="164"/>
      <c r="E233" s="188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90"/>
      <c r="AF233" s="164"/>
      <c r="AG233" s="164"/>
    </row>
  </sheetData>
  <autoFilter ref="A1:AF231" xr:uid="{5E9EA144-9211-4D12-8CB8-3CF9183E3513}"/>
  <sortState xmlns:xlrd2="http://schemas.microsoft.com/office/spreadsheetml/2017/richdata2" ref="A2:AG231">
    <sortCondition descending="1" ref="AE2:AE231"/>
  </sortState>
  <conditionalFormatting sqref="B3:B91 B93:B1048576">
    <cfRule type="duplicateValues" dxfId="6" priority="192"/>
  </conditionalFormatting>
  <conditionalFormatting sqref="C1:C91 C93:C1048576">
    <cfRule type="duplicateValues" dxfId="5" priority="2"/>
  </conditionalFormatting>
  <conditionalFormatting sqref="AC2:AC91 AC93:AC231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8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42FD-D562-4BD5-A738-EB052A3836D2}">
  <dimension ref="A1:B24"/>
  <sheetViews>
    <sheetView workbookViewId="0">
      <selection activeCell="A2" sqref="A2"/>
    </sheetView>
  </sheetViews>
  <sheetFormatPr defaultRowHeight="15"/>
  <cols>
    <col min="1" max="1" width="24.140625" style="132" bestFit="1" customWidth="1"/>
    <col min="2" max="2" width="4.140625" style="132" bestFit="1" customWidth="1"/>
    <col min="3" max="3" width="7.28515625" bestFit="1" customWidth="1"/>
    <col min="4" max="4" width="11.28515625" bestFit="1" customWidth="1"/>
    <col min="5" max="5" width="9.140625" bestFit="1" customWidth="1"/>
    <col min="6" max="6" width="12.140625" bestFit="1" customWidth="1"/>
    <col min="7" max="7" width="11.28515625" bestFit="1" customWidth="1"/>
    <col min="8" max="23" width="9.140625" bestFit="1" customWidth="1"/>
  </cols>
  <sheetData>
    <row r="1" spans="1:2">
      <c r="A1" s="157" t="s">
        <v>517</v>
      </c>
      <c r="B1" s="157"/>
    </row>
    <row r="2" spans="1:2">
      <c r="A2" s="185" t="s">
        <v>518</v>
      </c>
      <c r="B2" s="157">
        <v>57</v>
      </c>
    </row>
    <row r="3" spans="1:2">
      <c r="A3" s="185" t="s">
        <v>519</v>
      </c>
      <c r="B3" s="157">
        <v>51</v>
      </c>
    </row>
    <row r="4" spans="1:2">
      <c r="A4" s="185" t="s">
        <v>520</v>
      </c>
      <c r="B4" s="157">
        <v>37</v>
      </c>
    </row>
    <row r="5" spans="1:2">
      <c r="A5" s="185" t="s">
        <v>521</v>
      </c>
      <c r="B5" s="157">
        <v>53</v>
      </c>
    </row>
    <row r="6" spans="1:2">
      <c r="A6" s="185" t="s">
        <v>522</v>
      </c>
      <c r="B6" s="157">
        <v>42</v>
      </c>
    </row>
    <row r="7" spans="1:2">
      <c r="A7" s="185" t="s">
        <v>523</v>
      </c>
      <c r="B7" s="157">
        <v>48</v>
      </c>
    </row>
    <row r="8" spans="1:2">
      <c r="A8" s="185" t="s">
        <v>524</v>
      </c>
      <c r="B8" s="157">
        <v>149</v>
      </c>
    </row>
    <row r="9" spans="1:2">
      <c r="A9" s="185" t="s">
        <v>525</v>
      </c>
      <c r="B9" s="157">
        <v>77</v>
      </c>
    </row>
    <row r="10" spans="1:2">
      <c r="A10" s="185" t="s">
        <v>526</v>
      </c>
      <c r="B10" s="157">
        <v>54</v>
      </c>
    </row>
    <row r="11" spans="1:2">
      <c r="A11" s="185" t="s">
        <v>527</v>
      </c>
      <c r="B11" s="157">
        <v>6</v>
      </c>
    </row>
    <row r="12" spans="1:2">
      <c r="A12" s="185" t="s">
        <v>528</v>
      </c>
      <c r="B12" s="157">
        <v>38</v>
      </c>
    </row>
    <row r="13" spans="1:2">
      <c r="A13" s="185" t="s">
        <v>529</v>
      </c>
      <c r="B13" s="157">
        <v>52</v>
      </c>
    </row>
    <row r="14" spans="1:2">
      <c r="A14" s="185" t="s">
        <v>530</v>
      </c>
      <c r="B14" s="157">
        <v>64</v>
      </c>
    </row>
    <row r="15" spans="1:2">
      <c r="A15" s="185" t="s">
        <v>531</v>
      </c>
      <c r="B15" s="157">
        <v>91</v>
      </c>
    </row>
    <row r="16" spans="1:2">
      <c r="A16" s="185" t="s">
        <v>532</v>
      </c>
      <c r="B16" s="157">
        <v>10</v>
      </c>
    </row>
    <row r="17" spans="1:2">
      <c r="A17" s="185" t="s">
        <v>533</v>
      </c>
      <c r="B17" s="157">
        <v>5</v>
      </c>
    </row>
    <row r="18" spans="1:2">
      <c r="A18" s="185" t="s">
        <v>534</v>
      </c>
      <c r="B18" s="157">
        <v>6</v>
      </c>
    </row>
    <row r="19" spans="1:2">
      <c r="A19" s="185" t="s">
        <v>535</v>
      </c>
      <c r="B19" s="157">
        <v>12</v>
      </c>
    </row>
    <row r="20" spans="1:2">
      <c r="A20" s="185" t="s">
        <v>536</v>
      </c>
      <c r="B20" s="157">
        <v>44</v>
      </c>
    </row>
    <row r="21" spans="1:2">
      <c r="A21" s="185" t="s">
        <v>537</v>
      </c>
      <c r="B21" s="157">
        <v>12</v>
      </c>
    </row>
    <row r="22" spans="1:2">
      <c r="A22" s="185" t="s">
        <v>538</v>
      </c>
      <c r="B22" s="157">
        <v>54</v>
      </c>
    </row>
    <row r="23" spans="1:2">
      <c r="A23" s="185" t="s">
        <v>539</v>
      </c>
      <c r="B23" s="157">
        <v>69</v>
      </c>
    </row>
    <row r="24" spans="1:2">
      <c r="A24" s="185" t="s">
        <v>540</v>
      </c>
      <c r="B24" s="15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A144-9211-4D12-8CB8-3CF9183E3513}">
  <dimension ref="A1:AE217"/>
  <sheetViews>
    <sheetView zoomScale="85" zoomScaleNormal="85" workbookViewId="0">
      <pane ySplit="2" topLeftCell="A33" activePane="bottomLeft" state="frozen"/>
      <selection pane="bottomLeft" activeCell="C52" sqref="C52"/>
    </sheetView>
  </sheetViews>
  <sheetFormatPr defaultColWidth="9.140625" defaultRowHeight="15"/>
  <cols>
    <col min="1" max="1" width="6.7109375" style="73" customWidth="1"/>
    <col min="2" max="2" width="6.5703125" style="27" hidden="1" customWidth="1"/>
    <col min="3" max="3" width="48.42578125" style="1" bestFit="1" customWidth="1"/>
    <col min="4" max="4" width="15.5703125" style="1" bestFit="1" customWidth="1"/>
    <col min="5" max="5" width="7.5703125" style="85" customWidth="1"/>
    <col min="6" max="6" width="27.7109375" style="77" bestFit="1" customWidth="1"/>
    <col min="7" max="19" width="4.5703125" style="2" customWidth="1"/>
    <col min="20" max="20" width="4.5703125" style="93" customWidth="1"/>
    <col min="21" max="27" width="4.5703125" style="2" customWidth="1"/>
    <col min="28" max="28" width="4.5703125" style="93" customWidth="1"/>
    <col min="29" max="29" width="4.5703125" style="2" customWidth="1"/>
    <col min="30" max="30" width="4.5703125" style="85" customWidth="1"/>
    <col min="31" max="31" width="22" style="1" bestFit="1" customWidth="1"/>
    <col min="32" max="16384" width="9.140625" style="1"/>
  </cols>
  <sheetData>
    <row r="1" spans="1:31" s="29" customFormat="1" ht="84">
      <c r="A1" s="259" t="s">
        <v>541</v>
      </c>
      <c r="B1" s="28">
        <f>COUNTIF(B3:B215, "O")/COUNTA(A3:A215)</f>
        <v>0.95305164319248825</v>
      </c>
      <c r="C1" s="261" t="s">
        <v>1</v>
      </c>
      <c r="D1" s="261" t="s">
        <v>3</v>
      </c>
      <c r="E1" s="263" t="s">
        <v>542</v>
      </c>
      <c r="F1" s="159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30" t="s">
        <v>16</v>
      </c>
      <c r="S1" s="30" t="s">
        <v>17</v>
      </c>
      <c r="T1" s="94" t="s">
        <v>18</v>
      </c>
      <c r="U1" s="30" t="s">
        <v>19</v>
      </c>
      <c r="V1" s="30" t="s">
        <v>20</v>
      </c>
      <c r="W1" s="30" t="s">
        <v>21</v>
      </c>
      <c r="X1" s="30" t="s">
        <v>22</v>
      </c>
      <c r="Y1" s="30" t="s">
        <v>23</v>
      </c>
      <c r="Z1" s="30" t="s">
        <v>24</v>
      </c>
      <c r="AA1" s="30" t="s">
        <v>25</v>
      </c>
      <c r="AB1" s="94" t="s">
        <v>26</v>
      </c>
      <c r="AC1" s="30" t="s">
        <v>27</v>
      </c>
      <c r="AD1" s="83" t="s">
        <v>28</v>
      </c>
      <c r="AE1" s="257" t="s">
        <v>31</v>
      </c>
    </row>
    <row r="2" spans="1:31" s="29" customFormat="1" ht="15.75">
      <c r="A2" s="260"/>
      <c r="B2" s="28"/>
      <c r="C2" s="262"/>
      <c r="D2" s="262"/>
      <c r="E2" s="264"/>
      <c r="F2" s="81" t="s">
        <v>543</v>
      </c>
      <c r="G2" s="82">
        <f t="shared" ref="G2:AC2" si="0">COUNTIF(G3:G215,"X")</f>
        <v>58</v>
      </c>
      <c r="H2" s="82">
        <f t="shared" si="0"/>
        <v>52</v>
      </c>
      <c r="I2" s="82">
        <f t="shared" si="0"/>
        <v>38</v>
      </c>
      <c r="J2" s="82">
        <f t="shared" si="0"/>
        <v>55</v>
      </c>
      <c r="K2" s="82">
        <f t="shared" si="0"/>
        <v>42</v>
      </c>
      <c r="L2" s="82">
        <f t="shared" si="0"/>
        <v>48</v>
      </c>
      <c r="M2" s="82">
        <f t="shared" si="0"/>
        <v>156</v>
      </c>
      <c r="N2" s="82">
        <f t="shared" si="0"/>
        <v>78</v>
      </c>
      <c r="O2" s="82">
        <f t="shared" si="0"/>
        <v>54</v>
      </c>
      <c r="P2" s="82">
        <f t="shared" si="0"/>
        <v>4</v>
      </c>
      <c r="Q2" s="82">
        <f t="shared" si="0"/>
        <v>40</v>
      </c>
      <c r="R2" s="82">
        <f t="shared" si="0"/>
        <v>54</v>
      </c>
      <c r="S2" s="82">
        <f t="shared" si="0"/>
        <v>66</v>
      </c>
      <c r="T2" s="95">
        <f t="shared" si="0"/>
        <v>94</v>
      </c>
      <c r="U2" s="82">
        <f t="shared" si="0"/>
        <v>8</v>
      </c>
      <c r="V2" s="82">
        <f t="shared" si="0"/>
        <v>3</v>
      </c>
      <c r="W2" s="82">
        <f t="shared" si="0"/>
        <v>4</v>
      </c>
      <c r="X2" s="82">
        <f t="shared" si="0"/>
        <v>10</v>
      </c>
      <c r="Y2" s="82">
        <f t="shared" si="0"/>
        <v>45</v>
      </c>
      <c r="Z2" s="82">
        <f t="shared" si="0"/>
        <v>10</v>
      </c>
      <c r="AA2" s="82">
        <f t="shared" si="0"/>
        <v>53</v>
      </c>
      <c r="AB2" s="95">
        <f t="shared" si="0"/>
        <v>71</v>
      </c>
      <c r="AC2" s="82">
        <f t="shared" si="0"/>
        <v>1</v>
      </c>
      <c r="AD2" s="84"/>
      <c r="AE2" s="258"/>
    </row>
    <row r="3" spans="1:31">
      <c r="A3" s="70">
        <v>1</v>
      </c>
      <c r="B3" s="40" t="s">
        <v>544</v>
      </c>
      <c r="C3" s="191" t="s">
        <v>545</v>
      </c>
      <c r="D3" s="191"/>
      <c r="E3" s="192"/>
      <c r="F3" s="193" t="s">
        <v>35</v>
      </c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4"/>
      <c r="U3" s="192"/>
      <c r="V3" s="192"/>
      <c r="W3" s="192"/>
      <c r="X3" s="192"/>
      <c r="Y3" s="192"/>
      <c r="Z3" s="192"/>
      <c r="AA3" s="192"/>
      <c r="AB3" s="194"/>
      <c r="AC3" s="192"/>
      <c r="AD3" s="195">
        <f t="shared" ref="AD3:AD66" si="1">COUNTIF(G3:AC3,"X")</f>
        <v>0</v>
      </c>
      <c r="AE3" s="157"/>
    </row>
    <row r="4" spans="1:31">
      <c r="A4" s="71">
        <v>2</v>
      </c>
      <c r="B4" s="38" t="s">
        <v>544</v>
      </c>
      <c r="C4" s="92" t="s">
        <v>32</v>
      </c>
      <c r="D4" s="92" t="s">
        <v>34</v>
      </c>
      <c r="E4" s="196"/>
      <c r="F4" s="163" t="s">
        <v>35</v>
      </c>
      <c r="G4" s="196"/>
      <c r="H4" s="196"/>
      <c r="I4" s="196"/>
      <c r="J4" s="196"/>
      <c r="K4" s="196"/>
      <c r="L4" s="196"/>
      <c r="M4" s="196" t="s">
        <v>36</v>
      </c>
      <c r="N4" s="196"/>
      <c r="O4" s="196"/>
      <c r="P4" s="196"/>
      <c r="Q4" s="196"/>
      <c r="R4" s="196"/>
      <c r="S4" s="196"/>
      <c r="T4" s="194"/>
      <c r="U4" s="196"/>
      <c r="V4" s="196"/>
      <c r="W4" s="196"/>
      <c r="X4" s="196"/>
      <c r="Y4" s="196"/>
      <c r="Z4" s="196"/>
      <c r="AA4" s="196"/>
      <c r="AB4" s="194"/>
      <c r="AC4" s="196"/>
      <c r="AD4" s="195">
        <f t="shared" si="1"/>
        <v>1</v>
      </c>
      <c r="AE4" s="88" t="s">
        <v>37</v>
      </c>
    </row>
    <row r="5" spans="1:31">
      <c r="A5" s="71">
        <v>3</v>
      </c>
      <c r="B5" s="38" t="s">
        <v>544</v>
      </c>
      <c r="C5" s="197" t="s">
        <v>38</v>
      </c>
      <c r="D5" s="197" t="s">
        <v>51</v>
      </c>
      <c r="E5" s="196"/>
      <c r="F5" s="163" t="s">
        <v>35</v>
      </c>
      <c r="G5" s="196"/>
      <c r="H5" s="196"/>
      <c r="I5" s="196"/>
      <c r="J5" s="196"/>
      <c r="K5" s="196"/>
      <c r="L5" s="196"/>
      <c r="M5" s="196" t="s">
        <v>36</v>
      </c>
      <c r="N5" s="196"/>
      <c r="O5" s="196"/>
      <c r="P5" s="196"/>
      <c r="Q5" s="196"/>
      <c r="R5" s="196"/>
      <c r="S5" s="196"/>
      <c r="T5" s="194"/>
      <c r="U5" s="196"/>
      <c r="V5" s="196"/>
      <c r="W5" s="196"/>
      <c r="X5" s="196"/>
      <c r="Y5" s="196"/>
      <c r="Z5" s="196"/>
      <c r="AA5" s="196"/>
      <c r="AB5" s="194"/>
      <c r="AC5" s="196"/>
      <c r="AD5" s="195">
        <f t="shared" si="1"/>
        <v>1</v>
      </c>
      <c r="AE5" s="157"/>
    </row>
    <row r="6" spans="1:31">
      <c r="A6" s="71">
        <v>4</v>
      </c>
      <c r="B6" s="38" t="s">
        <v>544</v>
      </c>
      <c r="C6" s="197" t="s">
        <v>41</v>
      </c>
      <c r="D6" s="197" t="s">
        <v>43</v>
      </c>
      <c r="E6" s="196"/>
      <c r="F6" s="163" t="s">
        <v>35</v>
      </c>
      <c r="G6" s="196"/>
      <c r="H6" s="196"/>
      <c r="I6" s="196"/>
      <c r="J6" s="196"/>
      <c r="K6" s="196"/>
      <c r="L6" s="196"/>
      <c r="M6" s="196" t="s">
        <v>36</v>
      </c>
      <c r="N6" s="196"/>
      <c r="O6" s="196"/>
      <c r="P6" s="196"/>
      <c r="Q6" s="196"/>
      <c r="R6" s="196"/>
      <c r="S6" s="196"/>
      <c r="T6" s="194"/>
      <c r="U6" s="196"/>
      <c r="V6" s="196"/>
      <c r="W6" s="196"/>
      <c r="X6" s="196"/>
      <c r="Y6" s="196"/>
      <c r="Z6" s="196"/>
      <c r="AA6" s="196"/>
      <c r="AB6" s="194"/>
      <c r="AC6" s="196"/>
      <c r="AD6" s="195">
        <f t="shared" si="1"/>
        <v>1</v>
      </c>
      <c r="AE6" s="157"/>
    </row>
    <row r="7" spans="1:31">
      <c r="A7" s="70">
        <v>5</v>
      </c>
      <c r="B7" s="40" t="s">
        <v>544</v>
      </c>
      <c r="C7" s="191" t="s">
        <v>546</v>
      </c>
      <c r="D7" s="191"/>
      <c r="E7" s="192"/>
      <c r="F7" s="193" t="s">
        <v>35</v>
      </c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4"/>
      <c r="U7" s="192"/>
      <c r="V7" s="192"/>
      <c r="W7" s="192"/>
      <c r="X7" s="192"/>
      <c r="Y7" s="192"/>
      <c r="Z7" s="192"/>
      <c r="AA7" s="192"/>
      <c r="AB7" s="194"/>
      <c r="AC7" s="192"/>
      <c r="AD7" s="195">
        <f t="shared" si="1"/>
        <v>0</v>
      </c>
      <c r="AE7" s="157"/>
    </row>
    <row r="8" spans="1:31">
      <c r="A8" s="70">
        <v>6</v>
      </c>
      <c r="B8" s="40" t="s">
        <v>544</v>
      </c>
      <c r="C8" s="191" t="s">
        <v>547</v>
      </c>
      <c r="D8" s="191"/>
      <c r="E8" s="192"/>
      <c r="F8" s="193" t="s">
        <v>35</v>
      </c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4"/>
      <c r="U8" s="192"/>
      <c r="V8" s="192"/>
      <c r="W8" s="192"/>
      <c r="X8" s="192"/>
      <c r="Y8" s="192"/>
      <c r="Z8" s="192"/>
      <c r="AA8" s="192"/>
      <c r="AB8" s="194"/>
      <c r="AC8" s="192"/>
      <c r="AD8" s="195">
        <f t="shared" si="1"/>
        <v>0</v>
      </c>
      <c r="AE8" s="157"/>
    </row>
    <row r="9" spans="1:31">
      <c r="A9" s="70">
        <v>7</v>
      </c>
      <c r="B9" s="40" t="s">
        <v>544</v>
      </c>
      <c r="C9" s="191" t="s">
        <v>548</v>
      </c>
      <c r="D9" s="191"/>
      <c r="E9" s="192"/>
      <c r="F9" s="193" t="s">
        <v>35</v>
      </c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4"/>
      <c r="U9" s="192"/>
      <c r="V9" s="192"/>
      <c r="W9" s="192"/>
      <c r="X9" s="192"/>
      <c r="Y9" s="192"/>
      <c r="Z9" s="192"/>
      <c r="AA9" s="192"/>
      <c r="AB9" s="194"/>
      <c r="AC9" s="192"/>
      <c r="AD9" s="195">
        <f t="shared" si="1"/>
        <v>0</v>
      </c>
      <c r="AE9" s="157"/>
    </row>
    <row r="10" spans="1:31">
      <c r="A10" s="71">
        <v>8</v>
      </c>
      <c r="B10" s="38" t="s">
        <v>544</v>
      </c>
      <c r="C10" s="92" t="s">
        <v>44</v>
      </c>
      <c r="D10" s="92" t="s">
        <v>34</v>
      </c>
      <c r="E10" s="196"/>
      <c r="F10" s="163" t="s">
        <v>35</v>
      </c>
      <c r="G10" s="196"/>
      <c r="H10" s="196"/>
      <c r="I10" s="196"/>
      <c r="J10" s="196"/>
      <c r="K10" s="196"/>
      <c r="L10" s="196"/>
      <c r="M10" s="196" t="s">
        <v>36</v>
      </c>
      <c r="N10" s="196"/>
      <c r="O10" s="196"/>
      <c r="P10" s="196"/>
      <c r="Q10" s="196"/>
      <c r="R10" s="196"/>
      <c r="S10" s="196"/>
      <c r="T10" s="194"/>
      <c r="U10" s="196"/>
      <c r="V10" s="196"/>
      <c r="W10" s="196"/>
      <c r="X10" s="196"/>
      <c r="Y10" s="196"/>
      <c r="Z10" s="196"/>
      <c r="AA10" s="196"/>
      <c r="AB10" s="194"/>
      <c r="AC10" s="196"/>
      <c r="AD10" s="195">
        <f t="shared" si="1"/>
        <v>1</v>
      </c>
      <c r="AE10" s="88" t="s">
        <v>37</v>
      </c>
    </row>
    <row r="11" spans="1:31">
      <c r="A11" s="71">
        <v>9</v>
      </c>
      <c r="B11" s="38" t="s">
        <v>544</v>
      </c>
      <c r="C11" s="197" t="s">
        <v>47</v>
      </c>
      <c r="D11" s="75" t="s">
        <v>34</v>
      </c>
      <c r="E11" s="89"/>
      <c r="F11" s="163" t="s">
        <v>35</v>
      </c>
      <c r="G11" s="196"/>
      <c r="H11" s="196"/>
      <c r="I11" s="196"/>
      <c r="J11" s="196"/>
      <c r="K11" s="196"/>
      <c r="L11" s="196"/>
      <c r="M11" s="196" t="s">
        <v>36</v>
      </c>
      <c r="N11" s="196"/>
      <c r="O11" s="196"/>
      <c r="P11" s="196"/>
      <c r="Q11" s="196"/>
      <c r="R11" s="196"/>
      <c r="S11" s="196"/>
      <c r="T11" s="194"/>
      <c r="U11" s="196"/>
      <c r="V11" s="196"/>
      <c r="W11" s="196"/>
      <c r="X11" s="196"/>
      <c r="Y11" s="196"/>
      <c r="Z11" s="196"/>
      <c r="AA11" s="196"/>
      <c r="AB11" s="194"/>
      <c r="AC11" s="196"/>
      <c r="AD11" s="195">
        <f t="shared" si="1"/>
        <v>1</v>
      </c>
      <c r="AE11" s="157"/>
    </row>
    <row r="12" spans="1:31">
      <c r="A12" s="71">
        <v>10</v>
      </c>
      <c r="B12" s="38" t="s">
        <v>544</v>
      </c>
      <c r="C12" s="92" t="s">
        <v>49</v>
      </c>
      <c r="D12" s="92" t="s">
        <v>51</v>
      </c>
      <c r="E12" s="196">
        <v>10</v>
      </c>
      <c r="F12" s="163" t="s">
        <v>35</v>
      </c>
      <c r="G12" s="196"/>
      <c r="H12" s="196"/>
      <c r="I12" s="196"/>
      <c r="J12" s="196"/>
      <c r="K12" s="196"/>
      <c r="L12" s="196"/>
      <c r="M12" s="196" t="s">
        <v>36</v>
      </c>
      <c r="N12" s="196"/>
      <c r="O12" s="196"/>
      <c r="P12" s="196"/>
      <c r="Q12" s="196"/>
      <c r="R12" s="196"/>
      <c r="S12" s="196"/>
      <c r="T12" s="194"/>
      <c r="U12" s="196"/>
      <c r="V12" s="196"/>
      <c r="W12" s="196"/>
      <c r="X12" s="196"/>
      <c r="Y12" s="196"/>
      <c r="Z12" s="196"/>
      <c r="AA12" s="196"/>
      <c r="AB12" s="194"/>
      <c r="AC12" s="196"/>
      <c r="AD12" s="195">
        <f t="shared" si="1"/>
        <v>1</v>
      </c>
      <c r="AE12" s="88" t="s">
        <v>37</v>
      </c>
    </row>
    <row r="13" spans="1:31">
      <c r="A13" s="70">
        <v>11</v>
      </c>
      <c r="B13" s="40" t="s">
        <v>544</v>
      </c>
      <c r="C13" s="191" t="s">
        <v>549</v>
      </c>
      <c r="D13" s="191"/>
      <c r="E13" s="192"/>
      <c r="F13" s="193" t="s">
        <v>35</v>
      </c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4"/>
      <c r="U13" s="192"/>
      <c r="V13" s="192"/>
      <c r="W13" s="192"/>
      <c r="X13" s="192"/>
      <c r="Y13" s="192"/>
      <c r="Z13" s="192"/>
      <c r="AA13" s="192"/>
      <c r="AB13" s="194"/>
      <c r="AC13" s="192"/>
      <c r="AD13" s="195">
        <f t="shared" si="1"/>
        <v>0</v>
      </c>
      <c r="AE13" s="157"/>
    </row>
    <row r="14" spans="1:31">
      <c r="A14" s="71">
        <v>12</v>
      </c>
      <c r="B14" s="38" t="s">
        <v>544</v>
      </c>
      <c r="C14" s="197" t="s">
        <v>52</v>
      </c>
      <c r="D14" s="76" t="s">
        <v>34</v>
      </c>
      <c r="E14" s="87"/>
      <c r="F14" s="163" t="s">
        <v>35</v>
      </c>
      <c r="G14" s="196"/>
      <c r="H14" s="196"/>
      <c r="I14" s="196"/>
      <c r="J14" s="196"/>
      <c r="K14" s="196"/>
      <c r="L14" s="196"/>
      <c r="M14" s="196" t="s">
        <v>36</v>
      </c>
      <c r="N14" s="196"/>
      <c r="O14" s="196"/>
      <c r="P14" s="196"/>
      <c r="Q14" s="196"/>
      <c r="R14" s="196"/>
      <c r="S14" s="196"/>
      <c r="T14" s="194"/>
      <c r="U14" s="196"/>
      <c r="V14" s="196"/>
      <c r="W14" s="196"/>
      <c r="X14" s="196"/>
      <c r="Y14" s="196"/>
      <c r="Z14" s="196"/>
      <c r="AA14" s="196"/>
      <c r="AB14" s="194"/>
      <c r="AC14" s="196"/>
      <c r="AD14" s="195">
        <f t="shared" si="1"/>
        <v>1</v>
      </c>
      <c r="AE14" s="157"/>
    </row>
    <row r="15" spans="1:31">
      <c r="A15" s="70">
        <v>13</v>
      </c>
      <c r="B15" s="40" t="s">
        <v>544</v>
      </c>
      <c r="C15" s="191" t="s">
        <v>550</v>
      </c>
      <c r="D15" s="191"/>
      <c r="E15" s="192"/>
      <c r="F15" s="193" t="s">
        <v>551</v>
      </c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4"/>
      <c r="U15" s="192"/>
      <c r="V15" s="192"/>
      <c r="W15" s="192"/>
      <c r="X15" s="192"/>
      <c r="Y15" s="192"/>
      <c r="Z15" s="192"/>
      <c r="AA15" s="192"/>
      <c r="AB15" s="194"/>
      <c r="AC15" s="192"/>
      <c r="AD15" s="198">
        <f t="shared" si="1"/>
        <v>0</v>
      </c>
      <c r="AE15" s="157"/>
    </row>
    <row r="16" spans="1:31">
      <c r="A16" s="70">
        <v>14</v>
      </c>
      <c r="B16" s="40" t="s">
        <v>544</v>
      </c>
      <c r="C16" s="191" t="s">
        <v>552</v>
      </c>
      <c r="D16" s="191"/>
      <c r="E16" s="192"/>
      <c r="F16" s="193" t="s">
        <v>551</v>
      </c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4"/>
      <c r="U16" s="192"/>
      <c r="V16" s="192"/>
      <c r="W16" s="192"/>
      <c r="X16" s="192"/>
      <c r="Y16" s="192"/>
      <c r="Z16" s="192"/>
      <c r="AA16" s="192"/>
      <c r="AB16" s="194"/>
      <c r="AC16" s="192"/>
      <c r="AD16" s="198">
        <f t="shared" si="1"/>
        <v>0</v>
      </c>
      <c r="AE16" s="157"/>
    </row>
    <row r="17" spans="1:31">
      <c r="A17" s="70">
        <v>15</v>
      </c>
      <c r="B17" s="40" t="s">
        <v>544</v>
      </c>
      <c r="C17" s="191" t="s">
        <v>553</v>
      </c>
      <c r="D17" s="191"/>
      <c r="E17" s="192"/>
      <c r="F17" s="193" t="s">
        <v>551</v>
      </c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4"/>
      <c r="U17" s="192"/>
      <c r="V17" s="192"/>
      <c r="W17" s="192"/>
      <c r="X17" s="192"/>
      <c r="Y17" s="192"/>
      <c r="Z17" s="192"/>
      <c r="AA17" s="192"/>
      <c r="AB17" s="194"/>
      <c r="AC17" s="192"/>
      <c r="AD17" s="198">
        <f t="shared" si="1"/>
        <v>0</v>
      </c>
      <c r="AE17" s="157"/>
    </row>
    <row r="18" spans="1:31">
      <c r="A18" s="71">
        <v>16</v>
      </c>
      <c r="B18" s="38" t="s">
        <v>544</v>
      </c>
      <c r="C18" s="197" t="s">
        <v>54</v>
      </c>
      <c r="D18" s="75" t="s">
        <v>40</v>
      </c>
      <c r="E18" s="89"/>
      <c r="F18" s="163" t="s">
        <v>56</v>
      </c>
      <c r="G18" s="196" t="s">
        <v>36</v>
      </c>
      <c r="H18" s="196" t="s">
        <v>36</v>
      </c>
      <c r="I18" s="196" t="s">
        <v>36</v>
      </c>
      <c r="J18" s="196" t="s">
        <v>36</v>
      </c>
      <c r="K18" s="196" t="s">
        <v>36</v>
      </c>
      <c r="L18" s="196" t="s">
        <v>36</v>
      </c>
      <c r="M18" s="196" t="s">
        <v>36</v>
      </c>
      <c r="N18" s="196" t="s">
        <v>36</v>
      </c>
      <c r="O18" s="196" t="s">
        <v>36</v>
      </c>
      <c r="P18" s="196"/>
      <c r="Q18" s="196"/>
      <c r="R18" s="196"/>
      <c r="S18" s="196"/>
      <c r="T18" s="194" t="s">
        <v>36</v>
      </c>
      <c r="U18" s="196"/>
      <c r="V18" s="196"/>
      <c r="W18" s="196"/>
      <c r="X18" s="196"/>
      <c r="Y18" s="196" t="s">
        <v>36</v>
      </c>
      <c r="Z18" s="196"/>
      <c r="AA18" s="196"/>
      <c r="AB18" s="194" t="s">
        <v>36</v>
      </c>
      <c r="AC18" s="196"/>
      <c r="AD18" s="195">
        <f t="shared" si="1"/>
        <v>12</v>
      </c>
      <c r="AE18" s="157"/>
    </row>
    <row r="19" spans="1:31">
      <c r="A19" s="71">
        <v>17</v>
      </c>
      <c r="B19" s="38" t="s">
        <v>544</v>
      </c>
      <c r="C19" s="197" t="s">
        <v>59</v>
      </c>
      <c r="D19" s="75" t="s">
        <v>40</v>
      </c>
      <c r="E19" s="89"/>
      <c r="F19" s="163" t="s">
        <v>56</v>
      </c>
      <c r="G19" s="196" t="s">
        <v>36</v>
      </c>
      <c r="H19" s="196" t="s">
        <v>36</v>
      </c>
      <c r="I19" s="196" t="s">
        <v>36</v>
      </c>
      <c r="J19" s="196" t="s">
        <v>36</v>
      </c>
      <c r="K19" s="196" t="s">
        <v>36</v>
      </c>
      <c r="L19" s="196" t="s">
        <v>36</v>
      </c>
      <c r="M19" s="196" t="s">
        <v>36</v>
      </c>
      <c r="N19" s="196" t="s">
        <v>36</v>
      </c>
      <c r="O19" s="196" t="s">
        <v>36</v>
      </c>
      <c r="P19" s="196"/>
      <c r="Q19" s="196"/>
      <c r="R19" s="196"/>
      <c r="S19" s="196"/>
      <c r="T19" s="194" t="s">
        <v>36</v>
      </c>
      <c r="U19" s="196" t="s">
        <v>36</v>
      </c>
      <c r="V19" s="196"/>
      <c r="W19" s="196"/>
      <c r="X19" s="196"/>
      <c r="Y19" s="196" t="s">
        <v>36</v>
      </c>
      <c r="Z19" s="196" t="s">
        <v>36</v>
      </c>
      <c r="AA19" s="196" t="s">
        <v>36</v>
      </c>
      <c r="AB19" s="194" t="s">
        <v>36</v>
      </c>
      <c r="AC19" s="196"/>
      <c r="AD19" s="195">
        <f t="shared" si="1"/>
        <v>15</v>
      </c>
      <c r="AE19" s="157"/>
    </row>
    <row r="20" spans="1:31">
      <c r="A20" s="71">
        <v>18</v>
      </c>
      <c r="B20" s="38" t="s">
        <v>544</v>
      </c>
      <c r="C20" s="197" t="s">
        <v>66</v>
      </c>
      <c r="D20" s="197" t="s">
        <v>34</v>
      </c>
      <c r="E20" s="196"/>
      <c r="F20" s="163" t="s">
        <v>56</v>
      </c>
      <c r="G20" s="196" t="s">
        <v>36</v>
      </c>
      <c r="H20" s="196" t="s">
        <v>36</v>
      </c>
      <c r="I20" s="196" t="s">
        <v>36</v>
      </c>
      <c r="J20" s="196" t="s">
        <v>36</v>
      </c>
      <c r="K20" s="196" t="s">
        <v>36</v>
      </c>
      <c r="L20" s="196" t="s">
        <v>36</v>
      </c>
      <c r="M20" s="196" t="s">
        <v>36</v>
      </c>
      <c r="N20" s="196" t="s">
        <v>36</v>
      </c>
      <c r="O20" s="196" t="s">
        <v>36</v>
      </c>
      <c r="P20" s="196"/>
      <c r="Q20" s="196"/>
      <c r="R20" s="196"/>
      <c r="S20" s="196"/>
      <c r="T20" s="194" t="s">
        <v>36</v>
      </c>
      <c r="U20" s="196"/>
      <c r="V20" s="196"/>
      <c r="W20" s="196"/>
      <c r="X20" s="196"/>
      <c r="Y20" s="196" t="s">
        <v>36</v>
      </c>
      <c r="Z20" s="196"/>
      <c r="AA20" s="196" t="s">
        <v>36</v>
      </c>
      <c r="AB20" s="194" t="s">
        <v>36</v>
      </c>
      <c r="AC20" s="196"/>
      <c r="AD20" s="195">
        <f t="shared" si="1"/>
        <v>13</v>
      </c>
      <c r="AE20" s="157"/>
    </row>
    <row r="21" spans="1:31">
      <c r="A21" s="71">
        <v>19</v>
      </c>
      <c r="B21" s="38" t="s">
        <v>544</v>
      </c>
      <c r="C21" s="197" t="s">
        <v>68</v>
      </c>
      <c r="D21" s="197" t="s">
        <v>40</v>
      </c>
      <c r="E21" s="196"/>
      <c r="F21" s="163" t="s">
        <v>56</v>
      </c>
      <c r="G21" s="196"/>
      <c r="H21" s="196"/>
      <c r="I21" s="196"/>
      <c r="J21" s="196"/>
      <c r="K21" s="196" t="s">
        <v>36</v>
      </c>
      <c r="L21" s="196" t="s">
        <v>36</v>
      </c>
      <c r="M21" s="196" t="s">
        <v>36</v>
      </c>
      <c r="N21" s="196"/>
      <c r="O21" s="196"/>
      <c r="P21" s="196"/>
      <c r="Q21" s="196"/>
      <c r="R21" s="196"/>
      <c r="S21" s="196"/>
      <c r="T21" s="194" t="s">
        <v>36</v>
      </c>
      <c r="U21" s="196"/>
      <c r="V21" s="196"/>
      <c r="W21" s="196"/>
      <c r="X21" s="196"/>
      <c r="Y21" s="196"/>
      <c r="Z21" s="196"/>
      <c r="AA21" s="196"/>
      <c r="AB21" s="194" t="s">
        <v>36</v>
      </c>
      <c r="AC21" s="196"/>
      <c r="AD21" s="195">
        <f t="shared" si="1"/>
        <v>5</v>
      </c>
      <c r="AE21" s="157"/>
    </row>
    <row r="22" spans="1:31">
      <c r="A22" s="71">
        <v>20</v>
      </c>
      <c r="B22" s="38" t="s">
        <v>544</v>
      </c>
      <c r="C22" s="197" t="s">
        <v>70</v>
      </c>
      <c r="D22" s="197" t="s">
        <v>34</v>
      </c>
      <c r="E22" s="196"/>
      <c r="F22" s="163" t="s">
        <v>56</v>
      </c>
      <c r="G22" s="196" t="s">
        <v>36</v>
      </c>
      <c r="H22" s="196" t="s">
        <v>36</v>
      </c>
      <c r="I22" s="196" t="s">
        <v>36</v>
      </c>
      <c r="J22" s="196" t="s">
        <v>36</v>
      </c>
      <c r="K22" s="196" t="s">
        <v>36</v>
      </c>
      <c r="L22" s="196" t="s">
        <v>36</v>
      </c>
      <c r="M22" s="196" t="s">
        <v>36</v>
      </c>
      <c r="N22" s="196" t="s">
        <v>36</v>
      </c>
      <c r="O22" s="196" t="s">
        <v>36</v>
      </c>
      <c r="P22" s="196"/>
      <c r="Q22" s="196"/>
      <c r="R22" s="196"/>
      <c r="S22" s="196"/>
      <c r="T22" s="194" t="s">
        <v>36</v>
      </c>
      <c r="U22" s="196"/>
      <c r="V22" s="196"/>
      <c r="W22" s="196"/>
      <c r="X22" s="196"/>
      <c r="Y22" s="196" t="s">
        <v>36</v>
      </c>
      <c r="Z22" s="196"/>
      <c r="AA22" s="196" t="s">
        <v>36</v>
      </c>
      <c r="AB22" s="194" t="s">
        <v>36</v>
      </c>
      <c r="AC22" s="196"/>
      <c r="AD22" s="195">
        <f t="shared" si="1"/>
        <v>13</v>
      </c>
      <c r="AE22" s="157"/>
    </row>
    <row r="23" spans="1:31">
      <c r="A23" s="71">
        <v>21</v>
      </c>
      <c r="B23" s="38" t="s">
        <v>544</v>
      </c>
      <c r="C23" s="197" t="s">
        <v>72</v>
      </c>
      <c r="D23" s="75" t="s">
        <v>40</v>
      </c>
      <c r="E23" s="89"/>
      <c r="F23" s="163" t="s">
        <v>56</v>
      </c>
      <c r="G23" s="196" t="s">
        <v>36</v>
      </c>
      <c r="H23" s="196" t="s">
        <v>36</v>
      </c>
      <c r="I23" s="196"/>
      <c r="J23" s="196"/>
      <c r="K23" s="196" t="s">
        <v>36</v>
      </c>
      <c r="L23" s="196" t="s">
        <v>36</v>
      </c>
      <c r="M23" s="196" t="s">
        <v>36</v>
      </c>
      <c r="N23" s="196" t="s">
        <v>36</v>
      </c>
      <c r="O23" s="196" t="s">
        <v>36</v>
      </c>
      <c r="P23" s="196"/>
      <c r="Q23" s="196"/>
      <c r="R23" s="196"/>
      <c r="S23" s="196"/>
      <c r="T23" s="194" t="s">
        <v>36</v>
      </c>
      <c r="U23" s="196"/>
      <c r="V23" s="196"/>
      <c r="W23" s="196"/>
      <c r="X23" s="196"/>
      <c r="Y23" s="196" t="s">
        <v>36</v>
      </c>
      <c r="Z23" s="196"/>
      <c r="AA23" s="196" t="s">
        <v>36</v>
      </c>
      <c r="AB23" s="194" t="s">
        <v>36</v>
      </c>
      <c r="AC23" s="196"/>
      <c r="AD23" s="195">
        <f t="shared" si="1"/>
        <v>11</v>
      </c>
      <c r="AE23" s="157"/>
    </row>
    <row r="24" spans="1:31">
      <c r="A24" s="71">
        <v>22</v>
      </c>
      <c r="B24" s="38" t="s">
        <v>544</v>
      </c>
      <c r="C24" s="197" t="s">
        <v>74</v>
      </c>
      <c r="D24" s="75" t="s">
        <v>34</v>
      </c>
      <c r="E24" s="89"/>
      <c r="F24" s="163" t="s">
        <v>56</v>
      </c>
      <c r="G24" s="196" t="s">
        <v>36</v>
      </c>
      <c r="H24" s="196" t="s">
        <v>36</v>
      </c>
      <c r="I24" s="196"/>
      <c r="J24" s="196"/>
      <c r="K24" s="196" t="s">
        <v>36</v>
      </c>
      <c r="L24" s="196" t="s">
        <v>36</v>
      </c>
      <c r="M24" s="196" t="s">
        <v>36</v>
      </c>
      <c r="N24" s="196" t="s">
        <v>36</v>
      </c>
      <c r="O24" s="196" t="s">
        <v>36</v>
      </c>
      <c r="P24" s="196"/>
      <c r="Q24" s="196"/>
      <c r="R24" s="196"/>
      <c r="S24" s="196"/>
      <c r="T24" s="194" t="s">
        <v>36</v>
      </c>
      <c r="U24" s="196" t="s">
        <v>36</v>
      </c>
      <c r="V24" s="196"/>
      <c r="W24" s="196"/>
      <c r="X24" s="196"/>
      <c r="Y24" s="196" t="s">
        <v>36</v>
      </c>
      <c r="Z24" s="196" t="s">
        <v>36</v>
      </c>
      <c r="AA24" s="196" t="s">
        <v>36</v>
      </c>
      <c r="AB24" s="194" t="s">
        <v>36</v>
      </c>
      <c r="AC24" s="196"/>
      <c r="AD24" s="195">
        <f t="shared" si="1"/>
        <v>13</v>
      </c>
      <c r="AE24" s="157"/>
    </row>
    <row r="25" spans="1:31">
      <c r="A25" s="71">
        <v>23</v>
      </c>
      <c r="B25" s="38" t="s">
        <v>544</v>
      </c>
      <c r="C25" s="197" t="s">
        <v>244</v>
      </c>
      <c r="D25" s="197" t="s">
        <v>43</v>
      </c>
      <c r="E25" s="196"/>
      <c r="F25" s="163" t="s">
        <v>78</v>
      </c>
      <c r="G25" s="196"/>
      <c r="H25" s="196"/>
      <c r="I25" s="196"/>
      <c r="J25" s="196"/>
      <c r="K25" s="196"/>
      <c r="L25" s="196"/>
      <c r="M25" s="196" t="s">
        <v>36</v>
      </c>
      <c r="N25" s="196"/>
      <c r="O25" s="196"/>
      <c r="P25" s="196"/>
      <c r="Q25" s="196"/>
      <c r="R25" s="196"/>
      <c r="S25" s="196"/>
      <c r="T25" s="194"/>
      <c r="U25" s="196"/>
      <c r="V25" s="196"/>
      <c r="W25" s="196"/>
      <c r="X25" s="196"/>
      <c r="Y25" s="196"/>
      <c r="Z25" s="196"/>
      <c r="AA25" s="196"/>
      <c r="AB25" s="194"/>
      <c r="AC25" s="196"/>
      <c r="AD25" s="198">
        <f t="shared" si="1"/>
        <v>1</v>
      </c>
      <c r="AE25" s="74" t="s">
        <v>554</v>
      </c>
    </row>
    <row r="26" spans="1:31">
      <c r="A26" s="72">
        <v>24</v>
      </c>
      <c r="B26" s="41" t="s">
        <v>544</v>
      </c>
      <c r="C26" s="199" t="s">
        <v>76</v>
      </c>
      <c r="D26" s="199" t="s">
        <v>34</v>
      </c>
      <c r="E26" s="194"/>
      <c r="F26" s="171" t="s">
        <v>78</v>
      </c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8">
        <f t="shared" si="1"/>
        <v>0</v>
      </c>
      <c r="AE26" s="173" t="s">
        <v>79</v>
      </c>
    </row>
    <row r="27" spans="1:31">
      <c r="A27" s="71">
        <v>25</v>
      </c>
      <c r="B27" s="38" t="s">
        <v>544</v>
      </c>
      <c r="C27" s="197" t="s">
        <v>80</v>
      </c>
      <c r="D27" s="197" t="s">
        <v>82</v>
      </c>
      <c r="E27" s="196"/>
      <c r="F27" s="163" t="s">
        <v>78</v>
      </c>
      <c r="G27" s="196" t="s">
        <v>36</v>
      </c>
      <c r="H27" s="196" t="s">
        <v>36</v>
      </c>
      <c r="I27" s="196" t="s">
        <v>36</v>
      </c>
      <c r="J27" s="196" t="s">
        <v>36</v>
      </c>
      <c r="K27" s="196" t="s">
        <v>36</v>
      </c>
      <c r="L27" s="196" t="s">
        <v>36</v>
      </c>
      <c r="M27" s="196" t="s">
        <v>36</v>
      </c>
      <c r="N27" s="196" t="s">
        <v>36</v>
      </c>
      <c r="O27" s="196" t="s">
        <v>36</v>
      </c>
      <c r="P27" s="196"/>
      <c r="Q27" s="196" t="s">
        <v>36</v>
      </c>
      <c r="R27" s="196" t="s">
        <v>36</v>
      </c>
      <c r="S27" s="196" t="s">
        <v>36</v>
      </c>
      <c r="T27" s="194" t="s">
        <v>36</v>
      </c>
      <c r="U27" s="196"/>
      <c r="V27" s="196"/>
      <c r="W27" s="196"/>
      <c r="X27" s="196" t="s">
        <v>36</v>
      </c>
      <c r="Y27" s="196" t="s">
        <v>36</v>
      </c>
      <c r="Z27" s="196"/>
      <c r="AA27" s="196" t="s">
        <v>36</v>
      </c>
      <c r="AB27" s="194" t="s">
        <v>36</v>
      </c>
      <c r="AC27" s="196"/>
      <c r="AD27" s="198">
        <f t="shared" si="1"/>
        <v>17</v>
      </c>
      <c r="AE27" s="157"/>
    </row>
    <row r="28" spans="1:31">
      <c r="A28" s="71">
        <v>26</v>
      </c>
      <c r="B28" s="38" t="s">
        <v>544</v>
      </c>
      <c r="C28" s="197" t="s">
        <v>93</v>
      </c>
      <c r="D28" s="197" t="s">
        <v>43</v>
      </c>
      <c r="E28" s="196"/>
      <c r="F28" s="163" t="s">
        <v>78</v>
      </c>
      <c r="G28" s="196" t="s">
        <v>36</v>
      </c>
      <c r="H28" s="196" t="s">
        <v>36</v>
      </c>
      <c r="I28" s="196" t="s">
        <v>36</v>
      </c>
      <c r="J28" s="196" t="s">
        <v>36</v>
      </c>
      <c r="K28" s="196" t="s">
        <v>36</v>
      </c>
      <c r="L28" s="196" t="s">
        <v>36</v>
      </c>
      <c r="M28" s="196" t="s">
        <v>36</v>
      </c>
      <c r="N28" s="196" t="s">
        <v>36</v>
      </c>
      <c r="O28" s="196" t="s">
        <v>36</v>
      </c>
      <c r="P28" s="196" t="s">
        <v>36</v>
      </c>
      <c r="Q28" s="196" t="s">
        <v>36</v>
      </c>
      <c r="R28" s="196" t="s">
        <v>36</v>
      </c>
      <c r="S28" s="196" t="s">
        <v>36</v>
      </c>
      <c r="T28" s="194" t="s">
        <v>36</v>
      </c>
      <c r="U28" s="196" t="s">
        <v>36</v>
      </c>
      <c r="V28" s="196"/>
      <c r="W28" s="196"/>
      <c r="X28" s="196" t="s">
        <v>36</v>
      </c>
      <c r="Y28" s="196" t="s">
        <v>36</v>
      </c>
      <c r="Z28" s="196" t="s">
        <v>36</v>
      </c>
      <c r="AA28" s="196" t="s">
        <v>36</v>
      </c>
      <c r="AB28" s="194" t="s">
        <v>36</v>
      </c>
      <c r="AC28" s="196"/>
      <c r="AD28" s="198">
        <f t="shared" si="1"/>
        <v>20</v>
      </c>
      <c r="AE28" s="157"/>
    </row>
    <row r="29" spans="1:31">
      <c r="A29" s="72">
        <v>27</v>
      </c>
      <c r="B29" s="41" t="s">
        <v>544</v>
      </c>
      <c r="C29" s="199" t="s">
        <v>99</v>
      </c>
      <c r="D29" s="199" t="s">
        <v>34</v>
      </c>
      <c r="E29" s="194"/>
      <c r="F29" s="171" t="s">
        <v>78</v>
      </c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8">
        <f t="shared" si="1"/>
        <v>0</v>
      </c>
      <c r="AE29" s="173" t="s">
        <v>79</v>
      </c>
    </row>
    <row r="30" spans="1:31">
      <c r="A30" s="71">
        <v>28</v>
      </c>
      <c r="B30" s="38" t="s">
        <v>544</v>
      </c>
      <c r="C30" s="197" t="s">
        <v>101</v>
      </c>
      <c r="D30" s="197" t="s">
        <v>43</v>
      </c>
      <c r="E30" s="196"/>
      <c r="F30" s="163" t="s">
        <v>78</v>
      </c>
      <c r="G30" s="196" t="s">
        <v>36</v>
      </c>
      <c r="H30" s="196" t="s">
        <v>36</v>
      </c>
      <c r="I30" s="196"/>
      <c r="J30" s="196"/>
      <c r="K30" s="196"/>
      <c r="L30" s="196"/>
      <c r="M30" s="196" t="s">
        <v>36</v>
      </c>
      <c r="N30" s="196" t="s">
        <v>36</v>
      </c>
      <c r="O30" s="196" t="s">
        <v>36</v>
      </c>
      <c r="P30" s="196"/>
      <c r="Q30" s="196"/>
      <c r="R30" s="196"/>
      <c r="S30" s="196"/>
      <c r="T30" s="194" t="s">
        <v>36</v>
      </c>
      <c r="U30" s="196"/>
      <c r="V30" s="196"/>
      <c r="W30" s="196"/>
      <c r="X30" s="196"/>
      <c r="Y30" s="196"/>
      <c r="Z30" s="196"/>
      <c r="AA30" s="196" t="s">
        <v>36</v>
      </c>
      <c r="AB30" s="194" t="s">
        <v>36</v>
      </c>
      <c r="AC30" s="196"/>
      <c r="AD30" s="198">
        <f t="shared" si="1"/>
        <v>8</v>
      </c>
      <c r="AE30" s="157"/>
    </row>
    <row r="31" spans="1:31">
      <c r="A31" s="71">
        <v>29</v>
      </c>
      <c r="B31" s="38" t="s">
        <v>544</v>
      </c>
      <c r="C31" s="197" t="s">
        <v>103</v>
      </c>
      <c r="D31" s="197" t="s">
        <v>43</v>
      </c>
      <c r="E31" s="196"/>
      <c r="F31" s="163" t="s">
        <v>78</v>
      </c>
      <c r="G31" s="196" t="s">
        <v>36</v>
      </c>
      <c r="H31" s="196" t="s">
        <v>36</v>
      </c>
      <c r="I31" s="196"/>
      <c r="J31" s="196"/>
      <c r="K31" s="196"/>
      <c r="L31" s="196"/>
      <c r="M31" s="196" t="s">
        <v>36</v>
      </c>
      <c r="N31" s="196" t="s">
        <v>36</v>
      </c>
      <c r="O31" s="196" t="s">
        <v>36</v>
      </c>
      <c r="P31" s="196"/>
      <c r="Q31" s="196"/>
      <c r="R31" s="196"/>
      <c r="S31" s="196"/>
      <c r="T31" s="194" t="s">
        <v>36</v>
      </c>
      <c r="U31" s="196"/>
      <c r="V31" s="196"/>
      <c r="W31" s="196"/>
      <c r="X31" s="196"/>
      <c r="Y31" s="196"/>
      <c r="Z31" s="196"/>
      <c r="AA31" s="196" t="s">
        <v>36</v>
      </c>
      <c r="AB31" s="194" t="s">
        <v>36</v>
      </c>
      <c r="AC31" s="196"/>
      <c r="AD31" s="198">
        <f t="shared" si="1"/>
        <v>8</v>
      </c>
      <c r="AE31" s="157"/>
    </row>
    <row r="32" spans="1:31">
      <c r="A32" s="70">
        <v>30</v>
      </c>
      <c r="B32" s="40" t="s">
        <v>544</v>
      </c>
      <c r="C32" s="191" t="s">
        <v>555</v>
      </c>
      <c r="D32" s="191"/>
      <c r="E32" s="192"/>
      <c r="F32" s="193" t="s">
        <v>78</v>
      </c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4"/>
      <c r="U32" s="192"/>
      <c r="V32" s="192"/>
      <c r="W32" s="192"/>
      <c r="X32" s="192"/>
      <c r="Y32" s="192"/>
      <c r="Z32" s="192"/>
      <c r="AA32" s="192"/>
      <c r="AB32" s="194"/>
      <c r="AC32" s="192"/>
      <c r="AD32" s="198">
        <f t="shared" si="1"/>
        <v>0</v>
      </c>
      <c r="AE32" s="157"/>
    </row>
    <row r="33" spans="1:31">
      <c r="A33" s="71">
        <v>31</v>
      </c>
      <c r="B33" s="38" t="s">
        <v>544</v>
      </c>
      <c r="C33" s="197" t="s">
        <v>381</v>
      </c>
      <c r="D33" s="197" t="s">
        <v>40</v>
      </c>
      <c r="E33" s="196"/>
      <c r="F33" s="163" t="s">
        <v>78</v>
      </c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4"/>
      <c r="U33" s="196"/>
      <c r="V33" s="196"/>
      <c r="W33" s="196"/>
      <c r="X33" s="196"/>
      <c r="Y33" s="196"/>
      <c r="Z33" s="196"/>
      <c r="AA33" s="196"/>
      <c r="AB33" s="194"/>
      <c r="AC33" s="196"/>
      <c r="AD33" s="198">
        <f t="shared" si="1"/>
        <v>0</v>
      </c>
      <c r="AE33" s="74" t="s">
        <v>554</v>
      </c>
    </row>
    <row r="34" spans="1:31">
      <c r="A34" s="71">
        <v>32</v>
      </c>
      <c r="B34" s="38" t="s">
        <v>544</v>
      </c>
      <c r="C34" s="197" t="s">
        <v>105</v>
      </c>
      <c r="D34" s="197" t="s">
        <v>51</v>
      </c>
      <c r="E34" s="196"/>
      <c r="F34" s="163" t="s">
        <v>78</v>
      </c>
      <c r="G34" s="196" t="s">
        <v>36</v>
      </c>
      <c r="H34" s="196"/>
      <c r="I34" s="196"/>
      <c r="J34" s="196"/>
      <c r="K34" s="196"/>
      <c r="L34" s="196"/>
      <c r="M34" s="196" t="s">
        <v>36</v>
      </c>
      <c r="N34" s="196" t="s">
        <v>36</v>
      </c>
      <c r="O34" s="196"/>
      <c r="P34" s="196"/>
      <c r="Q34" s="196"/>
      <c r="R34" s="196"/>
      <c r="S34" s="196"/>
      <c r="T34" s="194" t="s">
        <v>36</v>
      </c>
      <c r="U34" s="196"/>
      <c r="V34" s="196"/>
      <c r="W34" s="196"/>
      <c r="X34" s="196"/>
      <c r="Y34" s="196" t="s">
        <v>36</v>
      </c>
      <c r="Z34" s="196"/>
      <c r="AA34" s="196"/>
      <c r="AB34" s="194" t="s">
        <v>36</v>
      </c>
      <c r="AC34" s="196"/>
      <c r="AD34" s="198">
        <f t="shared" si="1"/>
        <v>6</v>
      </c>
      <c r="AE34" s="157"/>
    </row>
    <row r="35" spans="1:31">
      <c r="A35" s="72">
        <v>33</v>
      </c>
      <c r="B35" s="41" t="s">
        <v>544</v>
      </c>
      <c r="C35" s="199" t="s">
        <v>107</v>
      </c>
      <c r="D35" s="199"/>
      <c r="E35" s="194"/>
      <c r="F35" s="171" t="s">
        <v>78</v>
      </c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8">
        <f t="shared" si="1"/>
        <v>0</v>
      </c>
      <c r="AE35" s="173" t="s">
        <v>79</v>
      </c>
    </row>
    <row r="36" spans="1:31">
      <c r="A36" s="71">
        <v>34</v>
      </c>
      <c r="B36" s="38" t="s">
        <v>544</v>
      </c>
      <c r="C36" s="197" t="s">
        <v>556</v>
      </c>
      <c r="D36" s="197"/>
      <c r="E36" s="196"/>
      <c r="F36" s="163" t="s">
        <v>78</v>
      </c>
      <c r="G36" s="196"/>
      <c r="H36" s="196"/>
      <c r="I36" s="196"/>
      <c r="J36" s="196"/>
      <c r="K36" s="196"/>
      <c r="L36" s="196"/>
      <c r="M36" s="196" t="s">
        <v>36</v>
      </c>
      <c r="N36" s="196"/>
      <c r="O36" s="196"/>
      <c r="P36" s="196"/>
      <c r="Q36" s="196"/>
      <c r="R36" s="196"/>
      <c r="S36" s="196"/>
      <c r="T36" s="194"/>
      <c r="U36" s="196"/>
      <c r="V36" s="196"/>
      <c r="W36" s="196"/>
      <c r="X36" s="196"/>
      <c r="Y36" s="196"/>
      <c r="Z36" s="196"/>
      <c r="AA36" s="196"/>
      <c r="AB36" s="194"/>
      <c r="AC36" s="196"/>
      <c r="AD36" s="198">
        <f t="shared" si="1"/>
        <v>1</v>
      </c>
      <c r="AE36" s="157"/>
    </row>
    <row r="37" spans="1:31">
      <c r="A37" s="71">
        <v>35</v>
      </c>
      <c r="B37" s="38" t="s">
        <v>544</v>
      </c>
      <c r="C37" s="197" t="s">
        <v>109</v>
      </c>
      <c r="D37" s="197" t="s">
        <v>43</v>
      </c>
      <c r="E37" s="196"/>
      <c r="F37" s="163" t="s">
        <v>78</v>
      </c>
      <c r="G37" s="196" t="s">
        <v>36</v>
      </c>
      <c r="H37" s="196" t="s">
        <v>36</v>
      </c>
      <c r="I37" s="196" t="s">
        <v>36</v>
      </c>
      <c r="J37" s="196" t="s">
        <v>36</v>
      </c>
      <c r="K37" s="196"/>
      <c r="L37" s="196"/>
      <c r="M37" s="196" t="s">
        <v>36</v>
      </c>
      <c r="N37" s="196" t="s">
        <v>36</v>
      </c>
      <c r="O37" s="196" t="s">
        <v>36</v>
      </c>
      <c r="P37" s="196"/>
      <c r="Q37" s="196" t="s">
        <v>36</v>
      </c>
      <c r="R37" s="196" t="s">
        <v>36</v>
      </c>
      <c r="S37" s="196" t="s">
        <v>36</v>
      </c>
      <c r="T37" s="194" t="s">
        <v>36</v>
      </c>
      <c r="U37" s="196"/>
      <c r="V37" s="196"/>
      <c r="W37" s="196"/>
      <c r="X37" s="196"/>
      <c r="Y37" s="196" t="s">
        <v>36</v>
      </c>
      <c r="Z37" s="196"/>
      <c r="AA37" s="196" t="s">
        <v>36</v>
      </c>
      <c r="AB37" s="194" t="s">
        <v>36</v>
      </c>
      <c r="AC37" s="196"/>
      <c r="AD37" s="198">
        <f t="shared" si="1"/>
        <v>14</v>
      </c>
      <c r="AE37" s="157"/>
    </row>
    <row r="38" spans="1:31">
      <c r="A38" s="71">
        <v>36</v>
      </c>
      <c r="B38" s="38"/>
      <c r="C38" s="197" t="s">
        <v>111</v>
      </c>
      <c r="D38" s="197" t="s">
        <v>40</v>
      </c>
      <c r="E38" s="196"/>
      <c r="F38" s="163" t="s">
        <v>78</v>
      </c>
      <c r="G38" s="200"/>
      <c r="H38" s="200"/>
      <c r="I38" s="200"/>
      <c r="J38" s="200"/>
      <c r="K38" s="200"/>
      <c r="L38" s="200"/>
      <c r="M38" s="200" t="s">
        <v>36</v>
      </c>
      <c r="N38" s="200"/>
      <c r="O38" s="200"/>
      <c r="P38" s="200"/>
      <c r="Q38" s="200"/>
      <c r="R38" s="200"/>
      <c r="S38" s="200"/>
      <c r="T38" s="201" t="s">
        <v>36</v>
      </c>
      <c r="U38" s="200"/>
      <c r="V38" s="200"/>
      <c r="W38" s="200"/>
      <c r="X38" s="200"/>
      <c r="Y38" s="200"/>
      <c r="Z38" s="200"/>
      <c r="AA38" s="200" t="s">
        <v>36</v>
      </c>
      <c r="AB38" s="201" t="s">
        <v>36</v>
      </c>
      <c r="AC38" s="200"/>
      <c r="AD38" s="198">
        <f t="shared" si="1"/>
        <v>4</v>
      </c>
      <c r="AE38" s="157"/>
    </row>
    <row r="39" spans="1:31">
      <c r="A39" s="71">
        <v>37</v>
      </c>
      <c r="B39" s="38" t="s">
        <v>544</v>
      </c>
      <c r="C39" s="197" t="s">
        <v>113</v>
      </c>
      <c r="D39" s="197" t="s">
        <v>115</v>
      </c>
      <c r="E39" s="196"/>
      <c r="F39" s="163" t="s">
        <v>78</v>
      </c>
      <c r="G39" s="196" t="s">
        <v>36</v>
      </c>
      <c r="H39" s="196" t="s">
        <v>36</v>
      </c>
      <c r="I39" s="196" t="s">
        <v>36</v>
      </c>
      <c r="J39" s="196" t="s">
        <v>36</v>
      </c>
      <c r="K39" s="196" t="s">
        <v>36</v>
      </c>
      <c r="L39" s="196" t="s">
        <v>36</v>
      </c>
      <c r="M39" s="196" t="s">
        <v>36</v>
      </c>
      <c r="N39" s="196" t="s">
        <v>36</v>
      </c>
      <c r="O39" s="196" t="s">
        <v>36</v>
      </c>
      <c r="P39" s="196"/>
      <c r="Q39" s="196"/>
      <c r="R39" s="196"/>
      <c r="S39" s="196"/>
      <c r="T39" s="194" t="s">
        <v>36</v>
      </c>
      <c r="U39" s="196"/>
      <c r="V39" s="196"/>
      <c r="W39" s="196"/>
      <c r="X39" s="196" t="s">
        <v>36</v>
      </c>
      <c r="Y39" s="196" t="s">
        <v>36</v>
      </c>
      <c r="Z39" s="196"/>
      <c r="AA39" s="196" t="s">
        <v>36</v>
      </c>
      <c r="AB39" s="194" t="s">
        <v>36</v>
      </c>
      <c r="AC39" s="196"/>
      <c r="AD39" s="198">
        <f t="shared" si="1"/>
        <v>14</v>
      </c>
      <c r="AE39" s="157"/>
    </row>
    <row r="40" spans="1:31">
      <c r="A40" s="71">
        <v>38</v>
      </c>
      <c r="B40" s="38"/>
      <c r="C40" s="197" t="s">
        <v>557</v>
      </c>
      <c r="D40" s="197"/>
      <c r="E40" s="196"/>
      <c r="F40" s="163" t="s">
        <v>120</v>
      </c>
      <c r="G40" s="196" t="s">
        <v>36</v>
      </c>
      <c r="H40" s="196" t="s">
        <v>36</v>
      </c>
      <c r="I40" s="196" t="s">
        <v>36</v>
      </c>
      <c r="J40" s="196" t="s">
        <v>36</v>
      </c>
      <c r="K40" s="196" t="s">
        <v>36</v>
      </c>
      <c r="L40" s="196" t="s">
        <v>36</v>
      </c>
      <c r="M40" s="196" t="s">
        <v>36</v>
      </c>
      <c r="N40" s="196" t="s">
        <v>36</v>
      </c>
      <c r="O40" s="196" t="s">
        <v>36</v>
      </c>
      <c r="P40" s="196" t="s">
        <v>36</v>
      </c>
      <c r="Q40" s="196" t="s">
        <v>36</v>
      </c>
      <c r="R40" s="196" t="s">
        <v>36</v>
      </c>
      <c r="S40" s="196" t="s">
        <v>36</v>
      </c>
      <c r="T40" s="194" t="s">
        <v>36</v>
      </c>
      <c r="U40" s="196" t="s">
        <v>36</v>
      </c>
      <c r="V40" s="196" t="s">
        <v>36</v>
      </c>
      <c r="W40" s="196" t="s">
        <v>36</v>
      </c>
      <c r="X40" s="196" t="s">
        <v>36</v>
      </c>
      <c r="Y40" s="196" t="s">
        <v>36</v>
      </c>
      <c r="Z40" s="196" t="s">
        <v>36</v>
      </c>
      <c r="AA40" s="196" t="s">
        <v>36</v>
      </c>
      <c r="AB40" s="194" t="s">
        <v>36</v>
      </c>
      <c r="AC40" s="196"/>
      <c r="AD40" s="195">
        <f t="shared" si="1"/>
        <v>22</v>
      </c>
      <c r="AE40" s="157"/>
    </row>
    <row r="41" spans="1:31">
      <c r="A41" s="70">
        <v>39</v>
      </c>
      <c r="B41" s="40" t="s">
        <v>544</v>
      </c>
      <c r="C41" s="191" t="s">
        <v>558</v>
      </c>
      <c r="D41" s="191"/>
      <c r="E41" s="192"/>
      <c r="F41" s="193" t="s">
        <v>120</v>
      </c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4"/>
      <c r="U41" s="192"/>
      <c r="V41" s="192"/>
      <c r="W41" s="192"/>
      <c r="X41" s="192"/>
      <c r="Y41" s="192"/>
      <c r="Z41" s="192"/>
      <c r="AA41" s="192"/>
      <c r="AB41" s="194"/>
      <c r="AC41" s="192"/>
      <c r="AD41" s="195">
        <f t="shared" si="1"/>
        <v>0</v>
      </c>
      <c r="AE41" s="157"/>
    </row>
    <row r="42" spans="1:31">
      <c r="A42" s="71">
        <v>40</v>
      </c>
      <c r="B42" s="38" t="s">
        <v>544</v>
      </c>
      <c r="C42" s="197" t="s">
        <v>118</v>
      </c>
      <c r="D42" s="197" t="s">
        <v>34</v>
      </c>
      <c r="E42" s="196"/>
      <c r="F42" s="163" t="s">
        <v>120</v>
      </c>
      <c r="G42" s="196"/>
      <c r="H42" s="196" t="s">
        <v>36</v>
      </c>
      <c r="I42" s="196"/>
      <c r="J42" s="196" t="s">
        <v>36</v>
      </c>
      <c r="K42" s="196"/>
      <c r="L42" s="196"/>
      <c r="M42" s="196" t="s">
        <v>36</v>
      </c>
      <c r="N42" s="196"/>
      <c r="O42" s="196"/>
      <c r="P42" s="196"/>
      <c r="Q42" s="196"/>
      <c r="R42" s="196"/>
      <c r="S42" s="196"/>
      <c r="T42" s="194"/>
      <c r="U42" s="196"/>
      <c r="V42" s="196"/>
      <c r="W42" s="196"/>
      <c r="X42" s="196"/>
      <c r="Y42" s="196"/>
      <c r="Z42" s="196"/>
      <c r="AA42" s="196"/>
      <c r="AB42" s="194"/>
      <c r="AC42" s="196"/>
      <c r="AD42" s="195">
        <f t="shared" si="1"/>
        <v>3</v>
      </c>
      <c r="AE42" s="157"/>
    </row>
    <row r="43" spans="1:31">
      <c r="A43" s="71">
        <v>41</v>
      </c>
      <c r="B43" s="38" t="s">
        <v>544</v>
      </c>
      <c r="C43" s="197" t="s">
        <v>121</v>
      </c>
      <c r="D43" s="197" t="s">
        <v>82</v>
      </c>
      <c r="E43" s="196"/>
      <c r="F43" s="163" t="s">
        <v>120</v>
      </c>
      <c r="G43" s="196" t="s">
        <v>36</v>
      </c>
      <c r="H43" s="196"/>
      <c r="I43" s="196" t="s">
        <v>36</v>
      </c>
      <c r="J43" s="196" t="s">
        <v>36</v>
      </c>
      <c r="K43" s="196"/>
      <c r="L43" s="196"/>
      <c r="M43" s="196" t="s">
        <v>36</v>
      </c>
      <c r="N43" s="196" t="s">
        <v>36</v>
      </c>
      <c r="O43" s="196"/>
      <c r="P43" s="196"/>
      <c r="Q43" s="196"/>
      <c r="R43" s="196" t="s">
        <v>36</v>
      </c>
      <c r="S43" s="196" t="s">
        <v>36</v>
      </c>
      <c r="T43" s="194" t="s">
        <v>36</v>
      </c>
      <c r="U43" s="196"/>
      <c r="V43" s="196"/>
      <c r="W43" s="196"/>
      <c r="X43" s="196"/>
      <c r="Y43" s="196"/>
      <c r="Z43" s="196"/>
      <c r="AA43" s="196"/>
      <c r="AB43" s="194" t="s">
        <v>36</v>
      </c>
      <c r="AC43" s="196"/>
      <c r="AD43" s="195">
        <f t="shared" si="1"/>
        <v>9</v>
      </c>
      <c r="AE43" s="157"/>
    </row>
    <row r="44" spans="1:31">
      <c r="A44" s="71">
        <v>42</v>
      </c>
      <c r="B44" s="38" t="s">
        <v>544</v>
      </c>
      <c r="C44" s="197" t="s">
        <v>123</v>
      </c>
      <c r="D44" s="197" t="s">
        <v>40</v>
      </c>
      <c r="E44" s="196"/>
      <c r="F44" s="163" t="s">
        <v>120</v>
      </c>
      <c r="G44" s="196"/>
      <c r="H44" s="196"/>
      <c r="I44" s="196" t="s">
        <v>36</v>
      </c>
      <c r="J44" s="196" t="s">
        <v>36</v>
      </c>
      <c r="K44" s="196"/>
      <c r="L44" s="196"/>
      <c r="M44" s="196" t="s">
        <v>36</v>
      </c>
      <c r="N44" s="196"/>
      <c r="O44" s="196"/>
      <c r="P44" s="196"/>
      <c r="Q44" s="196"/>
      <c r="R44" s="196"/>
      <c r="S44" s="196"/>
      <c r="T44" s="194"/>
      <c r="U44" s="196"/>
      <c r="V44" s="196"/>
      <c r="W44" s="196"/>
      <c r="X44" s="196"/>
      <c r="Y44" s="196"/>
      <c r="Z44" s="196"/>
      <c r="AA44" s="196"/>
      <c r="AB44" s="194"/>
      <c r="AC44" s="196"/>
      <c r="AD44" s="195">
        <f t="shared" si="1"/>
        <v>3</v>
      </c>
      <c r="AE44" s="157"/>
    </row>
    <row r="45" spans="1:31">
      <c r="A45" s="71">
        <v>43</v>
      </c>
      <c r="B45" s="38" t="s">
        <v>544</v>
      </c>
      <c r="C45" s="197" t="s">
        <v>125</v>
      </c>
      <c r="D45" s="197" t="s">
        <v>40</v>
      </c>
      <c r="E45" s="196"/>
      <c r="F45" s="163" t="s">
        <v>120</v>
      </c>
      <c r="G45" s="196"/>
      <c r="H45" s="196"/>
      <c r="I45" s="196"/>
      <c r="J45" s="196" t="s">
        <v>36</v>
      </c>
      <c r="K45" s="196"/>
      <c r="L45" s="196"/>
      <c r="M45" s="196" t="s">
        <v>36</v>
      </c>
      <c r="N45" s="196"/>
      <c r="O45" s="196"/>
      <c r="P45" s="196"/>
      <c r="Q45" s="196"/>
      <c r="R45" s="196"/>
      <c r="S45" s="196"/>
      <c r="T45" s="194"/>
      <c r="U45" s="196"/>
      <c r="V45" s="196"/>
      <c r="W45" s="196"/>
      <c r="X45" s="196"/>
      <c r="Y45" s="196"/>
      <c r="Z45" s="196"/>
      <c r="AA45" s="196"/>
      <c r="AB45" s="194"/>
      <c r="AC45" s="196"/>
      <c r="AD45" s="195">
        <f t="shared" si="1"/>
        <v>2</v>
      </c>
      <c r="AE45" s="157"/>
    </row>
    <row r="46" spans="1:31">
      <c r="A46" s="71">
        <v>44</v>
      </c>
      <c r="B46" s="38" t="s">
        <v>544</v>
      </c>
      <c r="C46" s="197" t="s">
        <v>127</v>
      </c>
      <c r="D46" s="197" t="s">
        <v>34</v>
      </c>
      <c r="E46" s="196"/>
      <c r="F46" s="163" t="s">
        <v>120</v>
      </c>
      <c r="G46" s="196"/>
      <c r="H46" s="196"/>
      <c r="I46" s="196"/>
      <c r="J46" s="196"/>
      <c r="K46" s="196"/>
      <c r="L46" s="196"/>
      <c r="M46" s="196"/>
      <c r="N46" s="196" t="s">
        <v>36</v>
      </c>
      <c r="O46" s="196"/>
      <c r="P46" s="196"/>
      <c r="Q46" s="196"/>
      <c r="R46" s="196"/>
      <c r="S46" s="196" t="s">
        <v>36</v>
      </c>
      <c r="T46" s="194"/>
      <c r="U46" s="196"/>
      <c r="V46" s="196"/>
      <c r="W46" s="196"/>
      <c r="X46" s="196"/>
      <c r="Y46" s="196"/>
      <c r="Z46" s="196"/>
      <c r="AA46" s="196"/>
      <c r="AB46" s="194"/>
      <c r="AC46" s="196"/>
      <c r="AD46" s="195">
        <f t="shared" si="1"/>
        <v>2</v>
      </c>
      <c r="AE46" s="157"/>
    </row>
    <row r="47" spans="1:31">
      <c r="A47" s="71">
        <v>45</v>
      </c>
      <c r="B47" s="38" t="s">
        <v>544</v>
      </c>
      <c r="C47" s="197" t="s">
        <v>130</v>
      </c>
      <c r="D47" s="197" t="s">
        <v>51</v>
      </c>
      <c r="E47" s="196"/>
      <c r="F47" s="163" t="s">
        <v>120</v>
      </c>
      <c r="G47" s="196"/>
      <c r="H47" s="196"/>
      <c r="I47" s="196"/>
      <c r="J47" s="196" t="s">
        <v>36</v>
      </c>
      <c r="K47" s="196"/>
      <c r="L47" s="196"/>
      <c r="M47" s="196" t="s">
        <v>36</v>
      </c>
      <c r="N47" s="196" t="s">
        <v>36</v>
      </c>
      <c r="O47" s="196"/>
      <c r="P47" s="196"/>
      <c r="Q47" s="196"/>
      <c r="R47" s="196"/>
      <c r="S47" s="196" t="s">
        <v>36</v>
      </c>
      <c r="T47" s="194"/>
      <c r="U47" s="196"/>
      <c r="V47" s="196"/>
      <c r="W47" s="196"/>
      <c r="X47" s="196"/>
      <c r="Y47" s="196"/>
      <c r="Z47" s="196"/>
      <c r="AA47" s="196"/>
      <c r="AB47" s="194"/>
      <c r="AC47" s="196"/>
      <c r="AD47" s="195">
        <f t="shared" si="1"/>
        <v>4</v>
      </c>
      <c r="AE47" s="157"/>
    </row>
    <row r="48" spans="1:31">
      <c r="A48" s="71">
        <v>46</v>
      </c>
      <c r="B48" s="38" t="s">
        <v>544</v>
      </c>
      <c r="C48" s="197" t="s">
        <v>132</v>
      </c>
      <c r="D48" s="197" t="s">
        <v>34</v>
      </c>
      <c r="E48" s="196"/>
      <c r="F48" s="163" t="s">
        <v>120</v>
      </c>
      <c r="G48" s="196"/>
      <c r="H48" s="196"/>
      <c r="I48" s="196" t="s">
        <v>36</v>
      </c>
      <c r="J48" s="196" t="s">
        <v>36</v>
      </c>
      <c r="K48" s="196"/>
      <c r="L48" s="196"/>
      <c r="M48" s="196" t="s">
        <v>36</v>
      </c>
      <c r="N48" s="196" t="s">
        <v>36</v>
      </c>
      <c r="O48" s="196"/>
      <c r="P48" s="196"/>
      <c r="Q48" s="196"/>
      <c r="R48" s="196"/>
      <c r="S48" s="196" t="s">
        <v>36</v>
      </c>
      <c r="T48" s="194"/>
      <c r="U48" s="196"/>
      <c r="V48" s="196"/>
      <c r="W48" s="196"/>
      <c r="X48" s="196"/>
      <c r="Y48" s="196"/>
      <c r="Z48" s="196"/>
      <c r="AA48" s="196"/>
      <c r="AB48" s="194"/>
      <c r="AC48" s="196"/>
      <c r="AD48" s="195">
        <f t="shared" si="1"/>
        <v>5</v>
      </c>
      <c r="AE48" s="157"/>
    </row>
    <row r="49" spans="1:31">
      <c r="A49" s="71">
        <v>47</v>
      </c>
      <c r="B49" s="38" t="s">
        <v>544</v>
      </c>
      <c r="C49" s="197" t="s">
        <v>134</v>
      </c>
      <c r="D49" s="197" t="s">
        <v>115</v>
      </c>
      <c r="E49" s="196"/>
      <c r="F49" s="163" t="s">
        <v>120</v>
      </c>
      <c r="G49" s="196"/>
      <c r="H49" s="196"/>
      <c r="I49" s="196"/>
      <c r="J49" s="196" t="s">
        <v>36</v>
      </c>
      <c r="K49" s="196"/>
      <c r="L49" s="196"/>
      <c r="M49" s="196" t="s">
        <v>36</v>
      </c>
      <c r="N49" s="196"/>
      <c r="O49" s="196"/>
      <c r="P49" s="196"/>
      <c r="Q49" s="196"/>
      <c r="R49" s="196"/>
      <c r="S49" s="196"/>
      <c r="T49" s="194"/>
      <c r="U49" s="196"/>
      <c r="V49" s="196"/>
      <c r="W49" s="196"/>
      <c r="X49" s="196"/>
      <c r="Y49" s="196"/>
      <c r="Z49" s="196"/>
      <c r="AA49" s="196"/>
      <c r="AB49" s="194"/>
      <c r="AC49" s="196"/>
      <c r="AD49" s="195">
        <f t="shared" si="1"/>
        <v>2</v>
      </c>
      <c r="AE49" s="157"/>
    </row>
    <row r="50" spans="1:31">
      <c r="A50" s="71">
        <v>48</v>
      </c>
      <c r="B50" s="38" t="s">
        <v>544</v>
      </c>
      <c r="C50" s="197" t="s">
        <v>136</v>
      </c>
      <c r="D50" s="197" t="s">
        <v>43</v>
      </c>
      <c r="E50" s="196"/>
      <c r="F50" s="163" t="s">
        <v>120</v>
      </c>
      <c r="G50" s="196"/>
      <c r="H50" s="196"/>
      <c r="I50" s="196"/>
      <c r="J50" s="196" t="s">
        <v>36</v>
      </c>
      <c r="K50" s="196"/>
      <c r="L50" s="196"/>
      <c r="M50" s="196" t="s">
        <v>36</v>
      </c>
      <c r="N50" s="196"/>
      <c r="O50" s="196"/>
      <c r="P50" s="196"/>
      <c r="Q50" s="196"/>
      <c r="R50" s="196"/>
      <c r="S50" s="196"/>
      <c r="T50" s="194"/>
      <c r="U50" s="196"/>
      <c r="V50" s="196"/>
      <c r="W50" s="196"/>
      <c r="X50" s="196"/>
      <c r="Y50" s="196"/>
      <c r="Z50" s="196"/>
      <c r="AA50" s="196"/>
      <c r="AB50" s="194"/>
      <c r="AC50" s="196"/>
      <c r="AD50" s="195">
        <f t="shared" si="1"/>
        <v>2</v>
      </c>
      <c r="AE50" s="157"/>
    </row>
    <row r="51" spans="1:31">
      <c r="A51" s="71">
        <v>49</v>
      </c>
      <c r="B51" s="38" t="s">
        <v>544</v>
      </c>
      <c r="C51" s="197" t="s">
        <v>142</v>
      </c>
      <c r="D51" s="197" t="s">
        <v>115</v>
      </c>
      <c r="E51" s="196"/>
      <c r="F51" s="163" t="s">
        <v>120</v>
      </c>
      <c r="G51" s="196"/>
      <c r="H51" s="196"/>
      <c r="I51" s="196"/>
      <c r="J51" s="196" t="s">
        <v>36</v>
      </c>
      <c r="K51" s="196"/>
      <c r="L51" s="196"/>
      <c r="M51" s="196" t="s">
        <v>36</v>
      </c>
      <c r="N51" s="196"/>
      <c r="O51" s="196"/>
      <c r="P51" s="196"/>
      <c r="Q51" s="196"/>
      <c r="R51" s="196"/>
      <c r="S51" s="196"/>
      <c r="T51" s="194"/>
      <c r="U51" s="196"/>
      <c r="V51" s="196"/>
      <c r="W51" s="196"/>
      <c r="X51" s="196"/>
      <c r="Y51" s="196"/>
      <c r="Z51" s="196"/>
      <c r="AA51" s="196"/>
      <c r="AB51" s="194"/>
      <c r="AC51" s="196"/>
      <c r="AD51" s="195">
        <f t="shared" si="1"/>
        <v>2</v>
      </c>
      <c r="AE51" s="157"/>
    </row>
    <row r="52" spans="1:31">
      <c r="A52" s="71">
        <v>50</v>
      </c>
      <c r="B52" s="38" t="s">
        <v>544</v>
      </c>
      <c r="C52" s="197" t="s">
        <v>144</v>
      </c>
      <c r="D52" s="197" t="s">
        <v>43</v>
      </c>
      <c r="E52" s="196"/>
      <c r="F52" s="163" t="s">
        <v>120</v>
      </c>
      <c r="G52" s="196"/>
      <c r="H52" s="196"/>
      <c r="I52" s="196"/>
      <c r="J52" s="196" t="s">
        <v>36</v>
      </c>
      <c r="K52" s="196"/>
      <c r="L52" s="196"/>
      <c r="M52" s="196" t="s">
        <v>36</v>
      </c>
      <c r="N52" s="196"/>
      <c r="O52" s="196"/>
      <c r="P52" s="196"/>
      <c r="Q52" s="196"/>
      <c r="R52" s="196"/>
      <c r="S52" s="196"/>
      <c r="T52" s="194"/>
      <c r="U52" s="196"/>
      <c r="V52" s="196"/>
      <c r="W52" s="196"/>
      <c r="X52" s="196"/>
      <c r="Y52" s="196"/>
      <c r="Z52" s="196"/>
      <c r="AA52" s="196"/>
      <c r="AB52" s="194"/>
      <c r="AC52" s="196"/>
      <c r="AD52" s="195">
        <f t="shared" si="1"/>
        <v>2</v>
      </c>
      <c r="AE52" s="157"/>
    </row>
    <row r="53" spans="1:31">
      <c r="A53" s="71">
        <v>51</v>
      </c>
      <c r="B53" s="38" t="s">
        <v>544</v>
      </c>
      <c r="C53" s="197" t="s">
        <v>150</v>
      </c>
      <c r="D53" s="197" t="s">
        <v>115</v>
      </c>
      <c r="E53" s="196"/>
      <c r="F53" s="163" t="s">
        <v>120</v>
      </c>
      <c r="G53" s="196"/>
      <c r="H53" s="196"/>
      <c r="I53" s="196" t="s">
        <v>36</v>
      </c>
      <c r="J53" s="196" t="s">
        <v>36</v>
      </c>
      <c r="K53" s="196"/>
      <c r="L53" s="196"/>
      <c r="M53" s="196" t="s">
        <v>36</v>
      </c>
      <c r="N53" s="196"/>
      <c r="O53" s="196"/>
      <c r="P53" s="196"/>
      <c r="Q53" s="196"/>
      <c r="R53" s="196"/>
      <c r="S53" s="196"/>
      <c r="T53" s="194"/>
      <c r="U53" s="196"/>
      <c r="V53" s="196"/>
      <c r="W53" s="196"/>
      <c r="X53" s="196"/>
      <c r="Y53" s="196"/>
      <c r="Z53" s="196"/>
      <c r="AA53" s="196"/>
      <c r="AB53" s="194"/>
      <c r="AC53" s="196"/>
      <c r="AD53" s="195">
        <f t="shared" si="1"/>
        <v>3</v>
      </c>
      <c r="AE53" s="157"/>
    </row>
    <row r="54" spans="1:31">
      <c r="A54" s="71">
        <v>52</v>
      </c>
      <c r="B54" s="38" t="s">
        <v>544</v>
      </c>
      <c r="C54" s="197" t="s">
        <v>152</v>
      </c>
      <c r="D54" s="197" t="s">
        <v>34</v>
      </c>
      <c r="E54" s="196"/>
      <c r="F54" s="163" t="s">
        <v>120</v>
      </c>
      <c r="G54" s="196"/>
      <c r="H54" s="196"/>
      <c r="I54" s="196"/>
      <c r="J54" s="196" t="s">
        <v>36</v>
      </c>
      <c r="K54" s="196"/>
      <c r="L54" s="196"/>
      <c r="M54" s="196" t="s">
        <v>36</v>
      </c>
      <c r="N54" s="196"/>
      <c r="O54" s="196"/>
      <c r="P54" s="196"/>
      <c r="Q54" s="196"/>
      <c r="R54" s="196"/>
      <c r="S54" s="196"/>
      <c r="T54" s="194"/>
      <c r="U54" s="196"/>
      <c r="V54" s="196"/>
      <c r="W54" s="196"/>
      <c r="X54" s="196"/>
      <c r="Y54" s="196"/>
      <c r="Z54" s="196"/>
      <c r="AA54" s="196"/>
      <c r="AB54" s="194"/>
      <c r="AC54" s="196"/>
      <c r="AD54" s="195">
        <f t="shared" si="1"/>
        <v>2</v>
      </c>
      <c r="AE54" s="157"/>
    </row>
    <row r="55" spans="1:31" ht="15" customHeight="1">
      <c r="A55" s="70">
        <v>53</v>
      </c>
      <c r="B55" s="40" t="s">
        <v>544</v>
      </c>
      <c r="C55" s="202" t="s">
        <v>559</v>
      </c>
      <c r="D55" s="202"/>
      <c r="E55" s="203"/>
      <c r="F55" s="204" t="s">
        <v>560</v>
      </c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4"/>
      <c r="U55" s="192"/>
      <c r="V55" s="192"/>
      <c r="W55" s="192"/>
      <c r="X55" s="192"/>
      <c r="Y55" s="192"/>
      <c r="Z55" s="192"/>
      <c r="AA55" s="192"/>
      <c r="AB55" s="194"/>
      <c r="AC55" s="192"/>
      <c r="AD55" s="205">
        <f t="shared" si="1"/>
        <v>0</v>
      </c>
      <c r="AE55" s="157"/>
    </row>
    <row r="56" spans="1:31">
      <c r="A56" s="70">
        <v>54</v>
      </c>
      <c r="B56" s="40" t="s">
        <v>544</v>
      </c>
      <c r="C56" s="202" t="s">
        <v>561</v>
      </c>
      <c r="D56" s="202"/>
      <c r="E56" s="203"/>
      <c r="F56" s="204" t="s">
        <v>560</v>
      </c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4"/>
      <c r="U56" s="192"/>
      <c r="V56" s="192"/>
      <c r="W56" s="192"/>
      <c r="X56" s="192"/>
      <c r="Y56" s="192"/>
      <c r="Z56" s="192"/>
      <c r="AA56" s="192"/>
      <c r="AB56" s="194"/>
      <c r="AC56" s="192"/>
      <c r="AD56" s="205">
        <f t="shared" si="1"/>
        <v>0</v>
      </c>
      <c r="AE56" s="157"/>
    </row>
    <row r="57" spans="1:31">
      <c r="A57" s="70">
        <v>55</v>
      </c>
      <c r="B57" s="40" t="s">
        <v>544</v>
      </c>
      <c r="C57" s="202" t="s">
        <v>562</v>
      </c>
      <c r="D57" s="202"/>
      <c r="E57" s="203"/>
      <c r="F57" s="204" t="s">
        <v>560</v>
      </c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4"/>
      <c r="U57" s="192"/>
      <c r="V57" s="192"/>
      <c r="W57" s="192"/>
      <c r="X57" s="192"/>
      <c r="Y57" s="192"/>
      <c r="Z57" s="192"/>
      <c r="AA57" s="192"/>
      <c r="AB57" s="194"/>
      <c r="AC57" s="192"/>
      <c r="AD57" s="205">
        <f t="shared" si="1"/>
        <v>0</v>
      </c>
      <c r="AE57" s="157"/>
    </row>
    <row r="58" spans="1:31">
      <c r="A58" s="70">
        <v>56</v>
      </c>
      <c r="B58" s="40" t="s">
        <v>544</v>
      </c>
      <c r="C58" s="202" t="s">
        <v>563</v>
      </c>
      <c r="D58" s="202"/>
      <c r="E58" s="203"/>
      <c r="F58" s="204" t="s">
        <v>560</v>
      </c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4"/>
      <c r="U58" s="192"/>
      <c r="V58" s="192"/>
      <c r="W58" s="192"/>
      <c r="X58" s="192"/>
      <c r="Y58" s="192"/>
      <c r="Z58" s="192"/>
      <c r="AA58" s="192"/>
      <c r="AB58" s="194"/>
      <c r="AC58" s="192"/>
      <c r="AD58" s="205">
        <f t="shared" si="1"/>
        <v>0</v>
      </c>
      <c r="AE58" s="157"/>
    </row>
    <row r="59" spans="1:31">
      <c r="A59" s="70">
        <v>57</v>
      </c>
      <c r="B59" s="40" t="s">
        <v>544</v>
      </c>
      <c r="C59" s="202" t="s">
        <v>564</v>
      </c>
      <c r="D59" s="202"/>
      <c r="E59" s="203"/>
      <c r="F59" s="204" t="s">
        <v>560</v>
      </c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4"/>
      <c r="U59" s="192"/>
      <c r="V59" s="192"/>
      <c r="W59" s="192"/>
      <c r="X59" s="192"/>
      <c r="Y59" s="192"/>
      <c r="Z59" s="192"/>
      <c r="AA59" s="192"/>
      <c r="AB59" s="194"/>
      <c r="AC59" s="192"/>
      <c r="AD59" s="205">
        <f t="shared" si="1"/>
        <v>0</v>
      </c>
      <c r="AE59" s="157"/>
    </row>
    <row r="60" spans="1:31">
      <c r="A60" s="70">
        <v>58</v>
      </c>
      <c r="B60" s="40" t="s">
        <v>544</v>
      </c>
      <c r="C60" s="202" t="s">
        <v>565</v>
      </c>
      <c r="D60" s="202"/>
      <c r="E60" s="203"/>
      <c r="F60" s="204" t="s">
        <v>560</v>
      </c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4"/>
      <c r="U60" s="192"/>
      <c r="V60" s="192"/>
      <c r="W60" s="192"/>
      <c r="X60" s="192"/>
      <c r="Y60" s="192"/>
      <c r="Z60" s="192"/>
      <c r="AA60" s="192"/>
      <c r="AB60" s="194"/>
      <c r="AC60" s="192"/>
      <c r="AD60" s="205">
        <f t="shared" si="1"/>
        <v>0</v>
      </c>
      <c r="AE60" s="157"/>
    </row>
    <row r="61" spans="1:31">
      <c r="A61" s="70">
        <v>59</v>
      </c>
      <c r="B61" s="40" t="s">
        <v>544</v>
      </c>
      <c r="C61" s="202" t="s">
        <v>566</v>
      </c>
      <c r="D61" s="202"/>
      <c r="E61" s="203"/>
      <c r="F61" s="204" t="s">
        <v>560</v>
      </c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4"/>
      <c r="U61" s="192"/>
      <c r="V61" s="192"/>
      <c r="W61" s="192"/>
      <c r="X61" s="192"/>
      <c r="Y61" s="192"/>
      <c r="Z61" s="192"/>
      <c r="AA61" s="192"/>
      <c r="AB61" s="194"/>
      <c r="AC61" s="192"/>
      <c r="AD61" s="205">
        <f t="shared" si="1"/>
        <v>0</v>
      </c>
      <c r="AE61" s="157"/>
    </row>
    <row r="62" spans="1:31">
      <c r="A62" s="70">
        <v>60</v>
      </c>
      <c r="B62" s="40" t="s">
        <v>544</v>
      </c>
      <c r="C62" s="202" t="s">
        <v>567</v>
      </c>
      <c r="D62" s="202"/>
      <c r="E62" s="203"/>
      <c r="F62" s="204" t="s">
        <v>560</v>
      </c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4"/>
      <c r="U62" s="192"/>
      <c r="V62" s="192"/>
      <c r="W62" s="192"/>
      <c r="X62" s="192"/>
      <c r="Y62" s="192"/>
      <c r="Z62" s="192"/>
      <c r="AA62" s="192"/>
      <c r="AB62" s="194"/>
      <c r="AC62" s="192"/>
      <c r="AD62" s="205">
        <f t="shared" si="1"/>
        <v>0</v>
      </c>
      <c r="AE62" s="157"/>
    </row>
    <row r="63" spans="1:31">
      <c r="A63" s="70">
        <v>61</v>
      </c>
      <c r="B63" s="40" t="s">
        <v>544</v>
      </c>
      <c r="C63" s="202" t="s">
        <v>568</v>
      </c>
      <c r="D63" s="202"/>
      <c r="E63" s="203"/>
      <c r="F63" s="204" t="s">
        <v>560</v>
      </c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4"/>
      <c r="U63" s="192"/>
      <c r="V63" s="192"/>
      <c r="W63" s="192"/>
      <c r="X63" s="192"/>
      <c r="Y63" s="192"/>
      <c r="Z63" s="192"/>
      <c r="AA63" s="192"/>
      <c r="AB63" s="194"/>
      <c r="AC63" s="192"/>
      <c r="AD63" s="205">
        <f t="shared" si="1"/>
        <v>0</v>
      </c>
      <c r="AE63" s="157"/>
    </row>
    <row r="64" spans="1:31">
      <c r="A64" s="70">
        <v>62</v>
      </c>
      <c r="B64" s="40" t="s">
        <v>544</v>
      </c>
      <c r="C64" s="202" t="s">
        <v>569</v>
      </c>
      <c r="D64" s="202"/>
      <c r="E64" s="203"/>
      <c r="F64" s="204" t="s">
        <v>560</v>
      </c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4"/>
      <c r="U64" s="192"/>
      <c r="V64" s="192"/>
      <c r="W64" s="192"/>
      <c r="X64" s="192"/>
      <c r="Y64" s="192"/>
      <c r="Z64" s="192"/>
      <c r="AA64" s="192"/>
      <c r="AB64" s="194"/>
      <c r="AC64" s="192"/>
      <c r="AD64" s="205">
        <f t="shared" si="1"/>
        <v>0</v>
      </c>
      <c r="AE64" s="157"/>
    </row>
    <row r="65" spans="1:31">
      <c r="A65" s="70">
        <v>63</v>
      </c>
      <c r="B65" s="40" t="s">
        <v>544</v>
      </c>
      <c r="C65" s="202" t="s">
        <v>570</v>
      </c>
      <c r="D65" s="202"/>
      <c r="E65" s="203"/>
      <c r="F65" s="204" t="s">
        <v>560</v>
      </c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4"/>
      <c r="U65" s="192"/>
      <c r="V65" s="192"/>
      <c r="W65" s="192"/>
      <c r="X65" s="192"/>
      <c r="Y65" s="192"/>
      <c r="Z65" s="192"/>
      <c r="AA65" s="192"/>
      <c r="AB65" s="194"/>
      <c r="AC65" s="192"/>
      <c r="AD65" s="205">
        <f t="shared" si="1"/>
        <v>0</v>
      </c>
      <c r="AE65" s="157"/>
    </row>
    <row r="66" spans="1:31">
      <c r="A66" s="70">
        <v>64</v>
      </c>
      <c r="B66" s="40" t="s">
        <v>544</v>
      </c>
      <c r="C66" s="202" t="s">
        <v>571</v>
      </c>
      <c r="D66" s="202"/>
      <c r="E66" s="203"/>
      <c r="F66" s="204" t="s">
        <v>560</v>
      </c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4"/>
      <c r="U66" s="192"/>
      <c r="V66" s="192"/>
      <c r="W66" s="192"/>
      <c r="X66" s="192"/>
      <c r="Y66" s="192"/>
      <c r="Z66" s="192"/>
      <c r="AA66" s="192"/>
      <c r="AB66" s="194"/>
      <c r="AC66" s="192"/>
      <c r="AD66" s="205">
        <f t="shared" si="1"/>
        <v>0</v>
      </c>
      <c r="AE66" s="157"/>
    </row>
    <row r="67" spans="1:31">
      <c r="A67" s="71">
        <v>65</v>
      </c>
      <c r="B67" s="38" t="s">
        <v>544</v>
      </c>
      <c r="C67" s="157" t="s">
        <v>154</v>
      </c>
      <c r="D67" s="157" t="s">
        <v>34</v>
      </c>
      <c r="E67" s="195"/>
      <c r="F67" s="163" t="s">
        <v>156</v>
      </c>
      <c r="G67" s="196"/>
      <c r="H67" s="196"/>
      <c r="I67" s="196"/>
      <c r="J67" s="196"/>
      <c r="K67" s="196"/>
      <c r="L67" s="196"/>
      <c r="M67" s="196" t="s">
        <v>36</v>
      </c>
      <c r="N67" s="196"/>
      <c r="O67" s="196"/>
      <c r="P67" s="196"/>
      <c r="Q67" s="196" t="s">
        <v>36</v>
      </c>
      <c r="R67" s="196" t="s">
        <v>36</v>
      </c>
      <c r="S67" s="196" t="s">
        <v>36</v>
      </c>
      <c r="T67" s="194"/>
      <c r="U67" s="196"/>
      <c r="V67" s="196"/>
      <c r="W67" s="196"/>
      <c r="X67" s="196"/>
      <c r="Y67" s="196"/>
      <c r="Z67" s="196"/>
      <c r="AA67" s="196"/>
      <c r="AB67" s="194"/>
      <c r="AC67" s="196"/>
      <c r="AD67" s="195">
        <f t="shared" ref="AD67:AD130" si="2">COUNTIF(G67:AC67,"X")</f>
        <v>4</v>
      </c>
      <c r="AE67" s="157"/>
    </row>
    <row r="68" spans="1:31">
      <c r="A68" s="71">
        <v>66</v>
      </c>
      <c r="B68" s="38" t="s">
        <v>544</v>
      </c>
      <c r="C68" s="157" t="s">
        <v>159</v>
      </c>
      <c r="D68" s="157" t="s">
        <v>43</v>
      </c>
      <c r="E68" s="195"/>
      <c r="F68" s="163" t="s">
        <v>156</v>
      </c>
      <c r="G68" s="196"/>
      <c r="H68" s="196"/>
      <c r="I68" s="196"/>
      <c r="J68" s="196"/>
      <c r="K68" s="196"/>
      <c r="L68" s="196"/>
      <c r="M68" s="196" t="s">
        <v>36</v>
      </c>
      <c r="N68" s="196"/>
      <c r="O68" s="196"/>
      <c r="P68" s="196"/>
      <c r="Q68" s="196" t="s">
        <v>36</v>
      </c>
      <c r="R68" s="196" t="s">
        <v>36</v>
      </c>
      <c r="S68" s="196" t="s">
        <v>36</v>
      </c>
      <c r="T68" s="194"/>
      <c r="U68" s="196"/>
      <c r="V68" s="196"/>
      <c r="W68" s="196"/>
      <c r="X68" s="196"/>
      <c r="Y68" s="196"/>
      <c r="Z68" s="196"/>
      <c r="AA68" s="196"/>
      <c r="AB68" s="194"/>
      <c r="AC68" s="196"/>
      <c r="AD68" s="195">
        <f t="shared" si="2"/>
        <v>4</v>
      </c>
      <c r="AE68" s="157"/>
    </row>
    <row r="69" spans="1:31">
      <c r="A69" s="71">
        <v>67</v>
      </c>
      <c r="B69" s="38" t="s">
        <v>544</v>
      </c>
      <c r="C69" s="157" t="s">
        <v>161</v>
      </c>
      <c r="D69" s="157" t="s">
        <v>43</v>
      </c>
      <c r="E69" s="195"/>
      <c r="F69" s="163" t="s">
        <v>156</v>
      </c>
      <c r="G69" s="196" t="s">
        <v>36</v>
      </c>
      <c r="H69" s="196" t="s">
        <v>36</v>
      </c>
      <c r="I69" s="196" t="s">
        <v>36</v>
      </c>
      <c r="J69" s="196" t="s">
        <v>36</v>
      </c>
      <c r="K69" s="196"/>
      <c r="L69" s="196"/>
      <c r="M69" s="196" t="s">
        <v>36</v>
      </c>
      <c r="N69" s="196" t="s">
        <v>36</v>
      </c>
      <c r="O69" s="196" t="s">
        <v>36</v>
      </c>
      <c r="P69" s="196"/>
      <c r="Q69" s="196" t="s">
        <v>36</v>
      </c>
      <c r="R69" s="196" t="s">
        <v>36</v>
      </c>
      <c r="S69" s="196" t="s">
        <v>36</v>
      </c>
      <c r="T69" s="194" t="s">
        <v>36</v>
      </c>
      <c r="U69" s="196"/>
      <c r="V69" s="196"/>
      <c r="W69" s="196"/>
      <c r="X69" s="196"/>
      <c r="Y69" s="196"/>
      <c r="Z69" s="196"/>
      <c r="AA69" s="196" t="s">
        <v>36</v>
      </c>
      <c r="AB69" s="194" t="s">
        <v>36</v>
      </c>
      <c r="AC69" s="196"/>
      <c r="AD69" s="195">
        <f t="shared" si="2"/>
        <v>13</v>
      </c>
      <c r="AE69" s="157"/>
    </row>
    <row r="70" spans="1:31">
      <c r="A70" s="71">
        <v>68</v>
      </c>
      <c r="B70" s="38" t="s">
        <v>544</v>
      </c>
      <c r="C70" s="157" t="s">
        <v>166</v>
      </c>
      <c r="D70" s="157" t="s">
        <v>43</v>
      </c>
      <c r="E70" s="195"/>
      <c r="F70" s="163" t="s">
        <v>156</v>
      </c>
      <c r="G70" s="196" t="s">
        <v>36</v>
      </c>
      <c r="H70" s="196" t="s">
        <v>36</v>
      </c>
      <c r="I70" s="196" t="s">
        <v>36</v>
      </c>
      <c r="J70" s="196" t="s">
        <v>36</v>
      </c>
      <c r="K70" s="196"/>
      <c r="L70" s="196"/>
      <c r="M70" s="196" t="s">
        <v>36</v>
      </c>
      <c r="N70" s="196" t="s">
        <v>36</v>
      </c>
      <c r="O70" s="196" t="s">
        <v>36</v>
      </c>
      <c r="P70" s="196"/>
      <c r="Q70" s="196" t="s">
        <v>36</v>
      </c>
      <c r="R70" s="196" t="s">
        <v>36</v>
      </c>
      <c r="S70" s="196" t="s">
        <v>36</v>
      </c>
      <c r="T70" s="194" t="s">
        <v>36</v>
      </c>
      <c r="U70" s="196"/>
      <c r="V70" s="196"/>
      <c r="W70" s="196"/>
      <c r="X70" s="196"/>
      <c r="Y70" s="196"/>
      <c r="Z70" s="196"/>
      <c r="AA70" s="196" t="s">
        <v>36</v>
      </c>
      <c r="AB70" s="194" t="s">
        <v>36</v>
      </c>
      <c r="AC70" s="196"/>
      <c r="AD70" s="195">
        <f t="shared" si="2"/>
        <v>13</v>
      </c>
      <c r="AE70" s="157"/>
    </row>
    <row r="71" spans="1:31">
      <c r="A71" s="71">
        <v>69</v>
      </c>
      <c r="B71" s="38" t="s">
        <v>544</v>
      </c>
      <c r="C71" s="157" t="s">
        <v>174</v>
      </c>
      <c r="D71" s="157" t="s">
        <v>34</v>
      </c>
      <c r="E71" s="195"/>
      <c r="F71" s="163" t="s">
        <v>156</v>
      </c>
      <c r="G71" s="196" t="s">
        <v>36</v>
      </c>
      <c r="H71" s="196" t="s">
        <v>36</v>
      </c>
      <c r="I71" s="196" t="s">
        <v>36</v>
      </c>
      <c r="J71" s="196" t="s">
        <v>36</v>
      </c>
      <c r="K71" s="196"/>
      <c r="L71" s="196"/>
      <c r="M71" s="196" t="s">
        <v>36</v>
      </c>
      <c r="N71" s="196" t="s">
        <v>36</v>
      </c>
      <c r="O71" s="196" t="s">
        <v>36</v>
      </c>
      <c r="P71" s="196"/>
      <c r="Q71" s="196" t="s">
        <v>36</v>
      </c>
      <c r="R71" s="196" t="s">
        <v>36</v>
      </c>
      <c r="S71" s="196" t="s">
        <v>36</v>
      </c>
      <c r="T71" s="194" t="s">
        <v>36</v>
      </c>
      <c r="U71" s="196"/>
      <c r="V71" s="196"/>
      <c r="W71" s="196"/>
      <c r="X71" s="196"/>
      <c r="Y71" s="196" t="s">
        <v>36</v>
      </c>
      <c r="Z71" s="196"/>
      <c r="AA71" s="196" t="s">
        <v>36</v>
      </c>
      <c r="AB71" s="194" t="s">
        <v>36</v>
      </c>
      <c r="AC71" s="196"/>
      <c r="AD71" s="195">
        <f t="shared" si="2"/>
        <v>14</v>
      </c>
      <c r="AE71" s="157"/>
    </row>
    <row r="72" spans="1:31">
      <c r="A72" s="71">
        <v>70</v>
      </c>
      <c r="B72" s="38" t="s">
        <v>544</v>
      </c>
      <c r="C72" s="157" t="s">
        <v>176</v>
      </c>
      <c r="D72" s="157" t="s">
        <v>82</v>
      </c>
      <c r="E72" s="195"/>
      <c r="F72" s="163" t="s">
        <v>156</v>
      </c>
      <c r="G72" s="196" t="s">
        <v>36</v>
      </c>
      <c r="H72" s="196" t="s">
        <v>36</v>
      </c>
      <c r="I72" s="196" t="s">
        <v>36</v>
      </c>
      <c r="J72" s="196" t="s">
        <v>36</v>
      </c>
      <c r="K72" s="196" t="s">
        <v>36</v>
      </c>
      <c r="L72" s="196" t="s">
        <v>36</v>
      </c>
      <c r="M72" s="196" t="s">
        <v>36</v>
      </c>
      <c r="N72" s="196" t="s">
        <v>36</v>
      </c>
      <c r="O72" s="196" t="s">
        <v>36</v>
      </c>
      <c r="P72" s="196"/>
      <c r="Q72" s="196" t="s">
        <v>36</v>
      </c>
      <c r="R72" s="196" t="s">
        <v>36</v>
      </c>
      <c r="S72" s="196" t="s">
        <v>36</v>
      </c>
      <c r="T72" s="194" t="s">
        <v>36</v>
      </c>
      <c r="U72" s="196"/>
      <c r="V72" s="196"/>
      <c r="W72" s="196"/>
      <c r="X72" s="196"/>
      <c r="Y72" s="196" t="s">
        <v>36</v>
      </c>
      <c r="Z72" s="196"/>
      <c r="AA72" s="196" t="s">
        <v>36</v>
      </c>
      <c r="AB72" s="194" t="s">
        <v>36</v>
      </c>
      <c r="AC72" s="196"/>
      <c r="AD72" s="195">
        <f t="shared" si="2"/>
        <v>16</v>
      </c>
      <c r="AE72" s="157"/>
    </row>
    <row r="73" spans="1:31">
      <c r="A73" s="71">
        <v>71</v>
      </c>
      <c r="B73" s="38" t="s">
        <v>544</v>
      </c>
      <c r="C73" s="157" t="s">
        <v>185</v>
      </c>
      <c r="D73" s="157" t="s">
        <v>34</v>
      </c>
      <c r="E73" s="195"/>
      <c r="F73" s="163" t="s">
        <v>156</v>
      </c>
      <c r="G73" s="196" t="s">
        <v>36</v>
      </c>
      <c r="H73" s="196" t="s">
        <v>36</v>
      </c>
      <c r="I73" s="196" t="s">
        <v>36</v>
      </c>
      <c r="J73" s="196" t="s">
        <v>36</v>
      </c>
      <c r="K73" s="196"/>
      <c r="L73" s="196"/>
      <c r="M73" s="196" t="s">
        <v>36</v>
      </c>
      <c r="N73" s="196" t="s">
        <v>36</v>
      </c>
      <c r="O73" s="196" t="s">
        <v>36</v>
      </c>
      <c r="P73" s="196"/>
      <c r="Q73" s="196" t="s">
        <v>36</v>
      </c>
      <c r="R73" s="196" t="s">
        <v>36</v>
      </c>
      <c r="S73" s="196" t="s">
        <v>36</v>
      </c>
      <c r="T73" s="194" t="s">
        <v>36</v>
      </c>
      <c r="U73" s="196"/>
      <c r="V73" s="196"/>
      <c r="W73" s="196"/>
      <c r="X73" s="196"/>
      <c r="Y73" s="196"/>
      <c r="Z73" s="196"/>
      <c r="AA73" s="196" t="s">
        <v>36</v>
      </c>
      <c r="AB73" s="194" t="s">
        <v>36</v>
      </c>
      <c r="AC73" s="196"/>
      <c r="AD73" s="195">
        <f t="shared" si="2"/>
        <v>13</v>
      </c>
      <c r="AE73" s="157"/>
    </row>
    <row r="74" spans="1:31">
      <c r="A74" s="71">
        <v>72</v>
      </c>
      <c r="B74" s="38" t="s">
        <v>544</v>
      </c>
      <c r="C74" s="157" t="s">
        <v>187</v>
      </c>
      <c r="D74" s="157" t="s">
        <v>51</v>
      </c>
      <c r="E74" s="195"/>
      <c r="F74" s="163" t="s">
        <v>156</v>
      </c>
      <c r="G74" s="196" t="s">
        <v>36</v>
      </c>
      <c r="H74" s="196" t="s">
        <v>36</v>
      </c>
      <c r="I74" s="196" t="s">
        <v>36</v>
      </c>
      <c r="J74" s="196" t="s">
        <v>36</v>
      </c>
      <c r="K74" s="196"/>
      <c r="L74" s="196"/>
      <c r="M74" s="196" t="s">
        <v>36</v>
      </c>
      <c r="N74" s="196" t="s">
        <v>36</v>
      </c>
      <c r="O74" s="196" t="s">
        <v>36</v>
      </c>
      <c r="P74" s="196"/>
      <c r="Q74" s="196" t="s">
        <v>36</v>
      </c>
      <c r="R74" s="196" t="s">
        <v>36</v>
      </c>
      <c r="S74" s="196" t="s">
        <v>36</v>
      </c>
      <c r="T74" s="194" t="s">
        <v>36</v>
      </c>
      <c r="U74" s="196"/>
      <c r="V74" s="196"/>
      <c r="W74" s="196"/>
      <c r="X74" s="196"/>
      <c r="Y74" s="196"/>
      <c r="Z74" s="196"/>
      <c r="AA74" s="196" t="s">
        <v>36</v>
      </c>
      <c r="AB74" s="194" t="s">
        <v>36</v>
      </c>
      <c r="AC74" s="196"/>
      <c r="AD74" s="195">
        <f t="shared" si="2"/>
        <v>13</v>
      </c>
      <c r="AE74" s="157"/>
    </row>
    <row r="75" spans="1:31">
      <c r="A75" s="71">
        <v>73</v>
      </c>
      <c r="B75" s="38" t="s">
        <v>544</v>
      </c>
      <c r="C75" s="157" t="s">
        <v>189</v>
      </c>
      <c r="D75" s="157" t="s">
        <v>51</v>
      </c>
      <c r="E75" s="195"/>
      <c r="F75" s="163" t="s">
        <v>156</v>
      </c>
      <c r="G75" s="196" t="s">
        <v>36</v>
      </c>
      <c r="H75" s="196" t="s">
        <v>36</v>
      </c>
      <c r="I75" s="196" t="s">
        <v>36</v>
      </c>
      <c r="J75" s="196" t="s">
        <v>36</v>
      </c>
      <c r="K75" s="196"/>
      <c r="L75" s="196"/>
      <c r="M75" s="196" t="s">
        <v>36</v>
      </c>
      <c r="N75" s="196" t="s">
        <v>36</v>
      </c>
      <c r="O75" s="196" t="s">
        <v>36</v>
      </c>
      <c r="P75" s="196"/>
      <c r="Q75" s="196" t="s">
        <v>36</v>
      </c>
      <c r="R75" s="196" t="s">
        <v>36</v>
      </c>
      <c r="S75" s="196" t="s">
        <v>36</v>
      </c>
      <c r="T75" s="194" t="s">
        <v>36</v>
      </c>
      <c r="U75" s="196"/>
      <c r="V75" s="196"/>
      <c r="W75" s="196"/>
      <c r="X75" s="196"/>
      <c r="Y75" s="196" t="s">
        <v>36</v>
      </c>
      <c r="Z75" s="196"/>
      <c r="AA75" s="196" t="s">
        <v>36</v>
      </c>
      <c r="AB75" s="194" t="s">
        <v>36</v>
      </c>
      <c r="AC75" s="196"/>
      <c r="AD75" s="195">
        <f t="shared" si="2"/>
        <v>14</v>
      </c>
      <c r="AE75" s="157"/>
    </row>
    <row r="76" spans="1:31">
      <c r="A76" s="71">
        <v>74</v>
      </c>
      <c r="B76" s="38" t="s">
        <v>544</v>
      </c>
      <c r="C76" s="157" t="s">
        <v>191</v>
      </c>
      <c r="D76" s="157" t="s">
        <v>34</v>
      </c>
      <c r="E76" s="195"/>
      <c r="F76" s="163" t="s">
        <v>156</v>
      </c>
      <c r="G76" s="196" t="s">
        <v>36</v>
      </c>
      <c r="H76" s="196" t="s">
        <v>36</v>
      </c>
      <c r="I76" s="196" t="s">
        <v>36</v>
      </c>
      <c r="J76" s="196" t="s">
        <v>36</v>
      </c>
      <c r="K76" s="196"/>
      <c r="L76" s="196"/>
      <c r="M76" s="196" t="s">
        <v>36</v>
      </c>
      <c r="N76" s="196" t="s">
        <v>36</v>
      </c>
      <c r="O76" s="196" t="s">
        <v>36</v>
      </c>
      <c r="P76" s="196"/>
      <c r="Q76" s="196"/>
      <c r="R76" s="196"/>
      <c r="S76" s="196"/>
      <c r="T76" s="194" t="s">
        <v>36</v>
      </c>
      <c r="U76" s="196"/>
      <c r="V76" s="196"/>
      <c r="W76" s="196"/>
      <c r="X76" s="196"/>
      <c r="Y76" s="196"/>
      <c r="Z76" s="196"/>
      <c r="AA76" s="196" t="s">
        <v>36</v>
      </c>
      <c r="AB76" s="194" t="s">
        <v>36</v>
      </c>
      <c r="AC76" s="196"/>
      <c r="AD76" s="195">
        <f t="shared" si="2"/>
        <v>10</v>
      </c>
      <c r="AE76" s="157"/>
    </row>
    <row r="77" spans="1:31">
      <c r="A77" s="71">
        <v>75</v>
      </c>
      <c r="B77" s="38" t="s">
        <v>544</v>
      </c>
      <c r="C77" s="157" t="s">
        <v>193</v>
      </c>
      <c r="D77" s="157" t="s">
        <v>34</v>
      </c>
      <c r="E77" s="195"/>
      <c r="F77" s="163" t="s">
        <v>156</v>
      </c>
      <c r="G77" s="196"/>
      <c r="H77" s="196"/>
      <c r="I77" s="196"/>
      <c r="J77" s="196"/>
      <c r="K77" s="196"/>
      <c r="L77" s="196"/>
      <c r="M77" s="196" t="s">
        <v>36</v>
      </c>
      <c r="N77" s="196"/>
      <c r="O77" s="196"/>
      <c r="P77" s="196"/>
      <c r="Q77" s="196"/>
      <c r="R77" s="196"/>
      <c r="S77" s="196"/>
      <c r="T77" s="194" t="s">
        <v>36</v>
      </c>
      <c r="U77" s="196"/>
      <c r="V77" s="196"/>
      <c r="W77" s="196"/>
      <c r="X77" s="196"/>
      <c r="Y77" s="196"/>
      <c r="Z77" s="196"/>
      <c r="AA77" s="196" t="s">
        <v>36</v>
      </c>
      <c r="AB77" s="194" t="s">
        <v>36</v>
      </c>
      <c r="AC77" s="196"/>
      <c r="AD77" s="195">
        <f t="shared" si="2"/>
        <v>4</v>
      </c>
      <c r="AE77" s="157"/>
    </row>
    <row r="78" spans="1:31">
      <c r="A78" s="71">
        <v>76</v>
      </c>
      <c r="B78" s="38" t="s">
        <v>544</v>
      </c>
      <c r="C78" s="157" t="s">
        <v>572</v>
      </c>
      <c r="D78" s="157" t="s">
        <v>82</v>
      </c>
      <c r="E78" s="195"/>
      <c r="F78" s="163" t="s">
        <v>197</v>
      </c>
      <c r="G78" s="196" t="s">
        <v>36</v>
      </c>
      <c r="H78" s="196" t="s">
        <v>36</v>
      </c>
      <c r="I78" s="196" t="s">
        <v>36</v>
      </c>
      <c r="J78" s="196" t="s">
        <v>36</v>
      </c>
      <c r="K78" s="196" t="s">
        <v>36</v>
      </c>
      <c r="L78" s="196" t="s">
        <v>36</v>
      </c>
      <c r="M78" s="196" t="s">
        <v>36</v>
      </c>
      <c r="N78" s="196" t="s">
        <v>36</v>
      </c>
      <c r="O78" s="196" t="s">
        <v>36</v>
      </c>
      <c r="P78" s="196"/>
      <c r="Q78" s="196" t="s">
        <v>36</v>
      </c>
      <c r="R78" s="196" t="s">
        <v>36</v>
      </c>
      <c r="S78" s="196" t="s">
        <v>36</v>
      </c>
      <c r="T78" s="194" t="s">
        <v>36</v>
      </c>
      <c r="U78" s="196"/>
      <c r="V78" s="196"/>
      <c r="W78" s="196"/>
      <c r="X78" s="196"/>
      <c r="Y78" s="196" t="s">
        <v>36</v>
      </c>
      <c r="Z78" s="196"/>
      <c r="AA78" s="196" t="s">
        <v>36</v>
      </c>
      <c r="AB78" s="194" t="s">
        <v>36</v>
      </c>
      <c r="AC78" s="196"/>
      <c r="AD78" s="198">
        <f t="shared" si="2"/>
        <v>16</v>
      </c>
      <c r="AE78" s="157"/>
    </row>
    <row r="79" spans="1:31">
      <c r="A79" s="71">
        <v>77</v>
      </c>
      <c r="B79" s="38" t="s">
        <v>544</v>
      </c>
      <c r="C79" s="157" t="s">
        <v>573</v>
      </c>
      <c r="D79" s="157" t="s">
        <v>82</v>
      </c>
      <c r="E79" s="195"/>
      <c r="F79" s="163" t="s">
        <v>197</v>
      </c>
      <c r="G79" s="196" t="s">
        <v>36</v>
      </c>
      <c r="H79" s="196" t="s">
        <v>36</v>
      </c>
      <c r="I79" s="196" t="s">
        <v>36</v>
      </c>
      <c r="J79" s="196" t="s">
        <v>36</v>
      </c>
      <c r="K79" s="196" t="s">
        <v>36</v>
      </c>
      <c r="L79" s="196" t="s">
        <v>36</v>
      </c>
      <c r="M79" s="196" t="s">
        <v>36</v>
      </c>
      <c r="N79" s="196" t="s">
        <v>36</v>
      </c>
      <c r="O79" s="196" t="s">
        <v>36</v>
      </c>
      <c r="P79" s="196"/>
      <c r="Q79" s="196" t="s">
        <v>36</v>
      </c>
      <c r="R79" s="196" t="s">
        <v>36</v>
      </c>
      <c r="S79" s="196" t="s">
        <v>36</v>
      </c>
      <c r="T79" s="194" t="s">
        <v>36</v>
      </c>
      <c r="U79" s="196"/>
      <c r="V79" s="196"/>
      <c r="W79" s="196"/>
      <c r="X79" s="196"/>
      <c r="Y79" s="196" t="s">
        <v>36</v>
      </c>
      <c r="Z79" s="196"/>
      <c r="AA79" s="196"/>
      <c r="AB79" s="194" t="s">
        <v>36</v>
      </c>
      <c r="AC79" s="196"/>
      <c r="AD79" s="198">
        <f t="shared" si="2"/>
        <v>15</v>
      </c>
      <c r="AE79" s="157"/>
    </row>
    <row r="80" spans="1:31">
      <c r="A80" s="71">
        <v>78</v>
      </c>
      <c r="B80" s="38" t="s">
        <v>544</v>
      </c>
      <c r="C80" s="157" t="s">
        <v>210</v>
      </c>
      <c r="D80" s="157" t="s">
        <v>34</v>
      </c>
      <c r="E80" s="195">
        <v>9</v>
      </c>
      <c r="F80" s="163" t="s">
        <v>197</v>
      </c>
      <c r="G80" s="196"/>
      <c r="H80" s="196" t="s">
        <v>36</v>
      </c>
      <c r="I80" s="196"/>
      <c r="J80" s="196"/>
      <c r="K80" s="196" t="s">
        <v>36</v>
      </c>
      <c r="L80" s="196" t="s">
        <v>36</v>
      </c>
      <c r="M80" s="196" t="s">
        <v>36</v>
      </c>
      <c r="N80" s="196" t="s">
        <v>36</v>
      </c>
      <c r="O80" s="196" t="s">
        <v>36</v>
      </c>
      <c r="P80" s="196"/>
      <c r="Q80" s="196"/>
      <c r="R80" s="196"/>
      <c r="S80" s="196"/>
      <c r="T80" s="194" t="s">
        <v>36</v>
      </c>
      <c r="U80" s="196"/>
      <c r="V80" s="196"/>
      <c r="W80" s="196"/>
      <c r="X80" s="196"/>
      <c r="Y80" s="196" t="s">
        <v>36</v>
      </c>
      <c r="Z80" s="196"/>
      <c r="AA80" s="196"/>
      <c r="AB80" s="194"/>
      <c r="AC80" s="196"/>
      <c r="AD80" s="198">
        <f t="shared" si="2"/>
        <v>8</v>
      </c>
      <c r="AE80" s="157"/>
    </row>
    <row r="81" spans="1:31">
      <c r="A81" s="71">
        <v>79</v>
      </c>
      <c r="B81" s="38" t="s">
        <v>544</v>
      </c>
      <c r="C81" s="157" t="s">
        <v>213</v>
      </c>
      <c r="D81" s="157" t="s">
        <v>43</v>
      </c>
      <c r="E81" s="195"/>
      <c r="F81" s="163" t="s">
        <v>197</v>
      </c>
      <c r="G81" s="196" t="s">
        <v>36</v>
      </c>
      <c r="H81" s="196" t="s">
        <v>36</v>
      </c>
      <c r="I81" s="196" t="s">
        <v>36</v>
      </c>
      <c r="J81" s="196" t="s">
        <v>36</v>
      </c>
      <c r="K81" s="196" t="s">
        <v>36</v>
      </c>
      <c r="L81" s="196" t="s">
        <v>36</v>
      </c>
      <c r="M81" s="196" t="s">
        <v>36</v>
      </c>
      <c r="N81" s="196" t="s">
        <v>36</v>
      </c>
      <c r="O81" s="196" t="s">
        <v>36</v>
      </c>
      <c r="P81" s="196"/>
      <c r="Q81" s="196" t="s">
        <v>36</v>
      </c>
      <c r="R81" s="196" t="s">
        <v>36</v>
      </c>
      <c r="S81" s="196" t="s">
        <v>36</v>
      </c>
      <c r="T81" s="194" t="s">
        <v>36</v>
      </c>
      <c r="U81" s="196"/>
      <c r="V81" s="196"/>
      <c r="W81" s="196"/>
      <c r="X81" s="196"/>
      <c r="Y81" s="196" t="s">
        <v>36</v>
      </c>
      <c r="Z81" s="196"/>
      <c r="AA81" s="196"/>
      <c r="AB81" s="194" t="s">
        <v>36</v>
      </c>
      <c r="AC81" s="196"/>
      <c r="AD81" s="198">
        <f t="shared" si="2"/>
        <v>15</v>
      </c>
      <c r="AE81" s="157"/>
    </row>
    <row r="82" spans="1:31">
      <c r="A82" s="71">
        <v>80</v>
      </c>
      <c r="B82" s="38" t="s">
        <v>544</v>
      </c>
      <c r="C82" s="157" t="s">
        <v>216</v>
      </c>
      <c r="D82" s="157" t="s">
        <v>43</v>
      </c>
      <c r="E82" s="195">
        <v>11</v>
      </c>
      <c r="F82" s="163" t="s">
        <v>197</v>
      </c>
      <c r="G82" s="196" t="s">
        <v>36</v>
      </c>
      <c r="H82" s="196" t="s">
        <v>36</v>
      </c>
      <c r="I82" s="196" t="s">
        <v>36</v>
      </c>
      <c r="J82" s="196" t="s">
        <v>36</v>
      </c>
      <c r="K82" s="196" t="s">
        <v>36</v>
      </c>
      <c r="L82" s="196" t="s">
        <v>36</v>
      </c>
      <c r="M82" s="196" t="s">
        <v>36</v>
      </c>
      <c r="N82" s="196" t="s">
        <v>36</v>
      </c>
      <c r="O82" s="196" t="s">
        <v>36</v>
      </c>
      <c r="P82" s="196"/>
      <c r="Q82" s="196" t="s">
        <v>36</v>
      </c>
      <c r="R82" s="196" t="s">
        <v>36</v>
      </c>
      <c r="S82" s="196" t="s">
        <v>36</v>
      </c>
      <c r="T82" s="194" t="s">
        <v>36</v>
      </c>
      <c r="U82" s="196" t="s">
        <v>36</v>
      </c>
      <c r="V82" s="196" t="s">
        <v>36</v>
      </c>
      <c r="W82" s="196" t="s">
        <v>36</v>
      </c>
      <c r="X82" s="196" t="s">
        <v>36</v>
      </c>
      <c r="Y82" s="196" t="s">
        <v>36</v>
      </c>
      <c r="Z82" s="196" t="s">
        <v>36</v>
      </c>
      <c r="AA82" s="196" t="s">
        <v>36</v>
      </c>
      <c r="AB82" s="194" t="s">
        <v>36</v>
      </c>
      <c r="AC82" s="196"/>
      <c r="AD82" s="198">
        <f t="shared" si="2"/>
        <v>21</v>
      </c>
      <c r="AE82" s="157"/>
    </row>
    <row r="83" spans="1:31">
      <c r="A83" s="71">
        <v>81</v>
      </c>
      <c r="B83" s="38" t="s">
        <v>544</v>
      </c>
      <c r="C83" s="157" t="s">
        <v>222</v>
      </c>
      <c r="D83" s="157" t="s">
        <v>82</v>
      </c>
      <c r="E83" s="195"/>
      <c r="F83" s="163" t="s">
        <v>197</v>
      </c>
      <c r="G83" s="196" t="s">
        <v>36</v>
      </c>
      <c r="H83" s="196" t="s">
        <v>36</v>
      </c>
      <c r="I83" s="196" t="s">
        <v>36</v>
      </c>
      <c r="J83" s="196" t="s">
        <v>36</v>
      </c>
      <c r="K83" s="196" t="s">
        <v>36</v>
      </c>
      <c r="L83" s="196" t="s">
        <v>36</v>
      </c>
      <c r="M83" s="196" t="s">
        <v>36</v>
      </c>
      <c r="N83" s="196" t="s">
        <v>36</v>
      </c>
      <c r="O83" s="196"/>
      <c r="P83" s="196"/>
      <c r="Q83" s="196"/>
      <c r="R83" s="196"/>
      <c r="S83" s="196"/>
      <c r="T83" s="194" t="s">
        <v>36</v>
      </c>
      <c r="U83" s="196"/>
      <c r="V83" s="196"/>
      <c r="W83" s="196"/>
      <c r="X83" s="196"/>
      <c r="Y83" s="196" t="s">
        <v>36</v>
      </c>
      <c r="Z83" s="196"/>
      <c r="AA83" s="196"/>
      <c r="AB83" s="194" t="s">
        <v>36</v>
      </c>
      <c r="AC83" s="196"/>
      <c r="AD83" s="198">
        <f t="shared" si="2"/>
        <v>11</v>
      </c>
      <c r="AE83" s="157"/>
    </row>
    <row r="84" spans="1:31">
      <c r="A84" s="71">
        <v>82</v>
      </c>
      <c r="B84" s="38" t="s">
        <v>544</v>
      </c>
      <c r="C84" s="157" t="s">
        <v>228</v>
      </c>
      <c r="D84" s="157" t="s">
        <v>34</v>
      </c>
      <c r="E84" s="195"/>
      <c r="F84" s="163" t="s">
        <v>230</v>
      </c>
      <c r="G84" s="196"/>
      <c r="H84" s="196" t="s">
        <v>36</v>
      </c>
      <c r="I84" s="196"/>
      <c r="J84" s="196"/>
      <c r="K84" s="196" t="s">
        <v>36</v>
      </c>
      <c r="L84" s="196" t="s">
        <v>36</v>
      </c>
      <c r="M84" s="196" t="s">
        <v>36</v>
      </c>
      <c r="N84" s="196"/>
      <c r="O84" s="196"/>
      <c r="P84" s="196"/>
      <c r="Q84" s="196"/>
      <c r="R84" s="196"/>
      <c r="S84" s="196"/>
      <c r="T84" s="194" t="s">
        <v>36</v>
      </c>
      <c r="U84" s="196"/>
      <c r="V84" s="196"/>
      <c r="W84" s="196"/>
      <c r="X84" s="196"/>
      <c r="Y84" s="196" t="s">
        <v>36</v>
      </c>
      <c r="Z84" s="196"/>
      <c r="AA84" s="196" t="s">
        <v>36</v>
      </c>
      <c r="AB84" s="194" t="s">
        <v>36</v>
      </c>
      <c r="AC84" s="196"/>
      <c r="AD84" s="195">
        <f t="shared" si="2"/>
        <v>8</v>
      </c>
      <c r="AE84" s="157"/>
    </row>
    <row r="85" spans="1:31">
      <c r="A85" s="71">
        <v>83</v>
      </c>
      <c r="B85" s="38" t="s">
        <v>544</v>
      </c>
      <c r="C85" s="157" t="s">
        <v>233</v>
      </c>
      <c r="D85" s="157" t="s">
        <v>34</v>
      </c>
      <c r="E85" s="195"/>
      <c r="F85" s="163" t="s">
        <v>230</v>
      </c>
      <c r="G85" s="196"/>
      <c r="H85" s="196"/>
      <c r="I85" s="196"/>
      <c r="J85" s="196"/>
      <c r="K85" s="196"/>
      <c r="L85" s="196"/>
      <c r="M85" s="196" t="s">
        <v>36</v>
      </c>
      <c r="N85" s="196"/>
      <c r="O85" s="196"/>
      <c r="P85" s="196"/>
      <c r="Q85" s="196"/>
      <c r="R85" s="196"/>
      <c r="S85" s="196"/>
      <c r="T85" s="194"/>
      <c r="U85" s="196"/>
      <c r="V85" s="196"/>
      <c r="W85" s="196"/>
      <c r="X85" s="196"/>
      <c r="Y85" s="196"/>
      <c r="Z85" s="196"/>
      <c r="AA85" s="196"/>
      <c r="AB85" s="194"/>
      <c r="AC85" s="196"/>
      <c r="AD85" s="195">
        <f t="shared" si="2"/>
        <v>1</v>
      </c>
      <c r="AE85" s="157"/>
    </row>
    <row r="86" spans="1:31">
      <c r="A86" s="71">
        <v>84</v>
      </c>
      <c r="B86" s="38" t="s">
        <v>544</v>
      </c>
      <c r="C86" s="157" t="s">
        <v>237</v>
      </c>
      <c r="D86" s="157" t="s">
        <v>51</v>
      </c>
      <c r="E86" s="195"/>
      <c r="F86" s="163" t="s">
        <v>230</v>
      </c>
      <c r="G86" s="196"/>
      <c r="H86" s="196"/>
      <c r="I86" s="196"/>
      <c r="J86" s="196"/>
      <c r="K86" s="196"/>
      <c r="L86" s="196" t="s">
        <v>36</v>
      </c>
      <c r="M86" s="196" t="s">
        <v>36</v>
      </c>
      <c r="N86" s="196"/>
      <c r="O86" s="196" t="s">
        <v>36</v>
      </c>
      <c r="P86" s="196"/>
      <c r="Q86" s="196"/>
      <c r="R86" s="196"/>
      <c r="S86" s="196"/>
      <c r="T86" s="194" t="s">
        <v>36</v>
      </c>
      <c r="U86" s="196"/>
      <c r="V86" s="196"/>
      <c r="W86" s="196"/>
      <c r="X86" s="196"/>
      <c r="Y86" s="196" t="s">
        <v>36</v>
      </c>
      <c r="Z86" s="196"/>
      <c r="AA86" s="196" t="s">
        <v>36</v>
      </c>
      <c r="AB86" s="194" t="s">
        <v>36</v>
      </c>
      <c r="AC86" s="196"/>
      <c r="AD86" s="195">
        <f t="shared" si="2"/>
        <v>7</v>
      </c>
      <c r="AE86" s="157"/>
    </row>
    <row r="87" spans="1:31">
      <c r="A87" s="71">
        <v>85</v>
      </c>
      <c r="B87" s="38" t="s">
        <v>544</v>
      </c>
      <c r="C87" s="157" t="s">
        <v>244</v>
      </c>
      <c r="D87" s="197" t="s">
        <v>43</v>
      </c>
      <c r="E87" s="196"/>
      <c r="F87" s="163" t="s">
        <v>245</v>
      </c>
      <c r="G87" s="196"/>
      <c r="H87" s="196"/>
      <c r="I87" s="196"/>
      <c r="J87" s="196"/>
      <c r="K87" s="196"/>
      <c r="L87" s="196"/>
      <c r="M87" s="196" t="s">
        <v>36</v>
      </c>
      <c r="N87" s="196" t="s">
        <v>36</v>
      </c>
      <c r="O87" s="196"/>
      <c r="P87" s="196"/>
      <c r="Q87" s="196" t="s">
        <v>36</v>
      </c>
      <c r="R87" s="196" t="s">
        <v>36</v>
      </c>
      <c r="S87" s="196" t="s">
        <v>36</v>
      </c>
      <c r="T87" s="194"/>
      <c r="U87" s="196"/>
      <c r="V87" s="196"/>
      <c r="W87" s="196"/>
      <c r="X87" s="196"/>
      <c r="Y87" s="196"/>
      <c r="Z87" s="196"/>
      <c r="AA87" s="196"/>
      <c r="AB87" s="194"/>
      <c r="AC87" s="196"/>
      <c r="AD87" s="198">
        <f t="shared" si="2"/>
        <v>5</v>
      </c>
      <c r="AE87" s="74" t="s">
        <v>554</v>
      </c>
    </row>
    <row r="88" spans="1:31">
      <c r="A88" s="71">
        <v>86</v>
      </c>
      <c r="B88" s="38" t="s">
        <v>544</v>
      </c>
      <c r="C88" s="157" t="s">
        <v>247</v>
      </c>
      <c r="D88" s="157" t="s">
        <v>40</v>
      </c>
      <c r="E88" s="195"/>
      <c r="F88" s="163" t="s">
        <v>245</v>
      </c>
      <c r="G88" s="196"/>
      <c r="H88" s="196"/>
      <c r="I88" s="196"/>
      <c r="J88" s="196"/>
      <c r="K88" s="196"/>
      <c r="L88" s="196"/>
      <c r="M88" s="196" t="s">
        <v>36</v>
      </c>
      <c r="N88" s="196"/>
      <c r="O88" s="196"/>
      <c r="P88" s="196"/>
      <c r="Q88" s="196"/>
      <c r="R88" s="196"/>
      <c r="S88" s="196" t="s">
        <v>36</v>
      </c>
      <c r="T88" s="194"/>
      <c r="U88" s="196"/>
      <c r="V88" s="196"/>
      <c r="W88" s="196"/>
      <c r="X88" s="196"/>
      <c r="Y88" s="196"/>
      <c r="Z88" s="196"/>
      <c r="AA88" s="196"/>
      <c r="AB88" s="194"/>
      <c r="AC88" s="196"/>
      <c r="AD88" s="198">
        <f t="shared" si="2"/>
        <v>2</v>
      </c>
      <c r="AE88" s="157"/>
    </row>
    <row r="89" spans="1:31">
      <c r="A89" s="71">
        <v>87</v>
      </c>
      <c r="B89" s="38"/>
      <c r="C89" s="157" t="s">
        <v>249</v>
      </c>
      <c r="D89" s="157" t="s">
        <v>34</v>
      </c>
      <c r="E89" s="195"/>
      <c r="F89" s="163" t="s">
        <v>245</v>
      </c>
      <c r="G89" s="196" t="s">
        <v>36</v>
      </c>
      <c r="H89" s="196" t="s">
        <v>36</v>
      </c>
      <c r="I89" s="196" t="s">
        <v>36</v>
      </c>
      <c r="J89" s="196" t="s">
        <v>36</v>
      </c>
      <c r="K89" s="196" t="s">
        <v>36</v>
      </c>
      <c r="L89" s="196" t="s">
        <v>36</v>
      </c>
      <c r="M89" s="196" t="s">
        <v>36</v>
      </c>
      <c r="N89" s="196" t="s">
        <v>36</v>
      </c>
      <c r="O89" s="196" t="s">
        <v>36</v>
      </c>
      <c r="P89" s="196"/>
      <c r="Q89" s="196" t="s">
        <v>36</v>
      </c>
      <c r="R89" s="196" t="s">
        <v>36</v>
      </c>
      <c r="S89" s="196" t="s">
        <v>36</v>
      </c>
      <c r="T89" s="194" t="s">
        <v>36</v>
      </c>
      <c r="U89" s="196"/>
      <c r="V89" s="196"/>
      <c r="W89" s="196"/>
      <c r="X89" s="196"/>
      <c r="Y89" s="196" t="s">
        <v>36</v>
      </c>
      <c r="Z89" s="196"/>
      <c r="AA89" s="196" t="s">
        <v>36</v>
      </c>
      <c r="AB89" s="194" t="s">
        <v>36</v>
      </c>
      <c r="AC89" s="196"/>
      <c r="AD89" s="198">
        <f t="shared" si="2"/>
        <v>16</v>
      </c>
      <c r="AE89" s="157"/>
    </row>
    <row r="90" spans="1:31">
      <c r="A90" s="71">
        <v>88</v>
      </c>
      <c r="B90" s="38" t="s">
        <v>544</v>
      </c>
      <c r="C90" s="157" t="s">
        <v>251</v>
      </c>
      <c r="D90" s="157" t="s">
        <v>40</v>
      </c>
      <c r="E90" s="195"/>
      <c r="F90" s="163" t="s">
        <v>245</v>
      </c>
      <c r="G90" s="196"/>
      <c r="H90" s="196"/>
      <c r="I90" s="196"/>
      <c r="J90" s="196"/>
      <c r="K90" s="196"/>
      <c r="L90" s="196"/>
      <c r="M90" s="196" t="s">
        <v>36</v>
      </c>
      <c r="N90" s="196"/>
      <c r="O90" s="196"/>
      <c r="P90" s="196"/>
      <c r="Q90" s="196" t="s">
        <v>36</v>
      </c>
      <c r="R90" s="196" t="s">
        <v>36</v>
      </c>
      <c r="S90" s="196" t="s">
        <v>36</v>
      </c>
      <c r="T90" s="194"/>
      <c r="U90" s="196"/>
      <c r="V90" s="196"/>
      <c r="W90" s="196"/>
      <c r="X90" s="196"/>
      <c r="Y90" s="196"/>
      <c r="Z90" s="196"/>
      <c r="AA90" s="196"/>
      <c r="AB90" s="194"/>
      <c r="AC90" s="196"/>
      <c r="AD90" s="198">
        <f t="shared" si="2"/>
        <v>4</v>
      </c>
      <c r="AE90" s="157"/>
    </row>
    <row r="91" spans="1:31">
      <c r="A91" s="71">
        <v>89</v>
      </c>
      <c r="B91" s="38" t="s">
        <v>544</v>
      </c>
      <c r="C91" s="157" t="s">
        <v>257</v>
      </c>
      <c r="D91" s="157" t="s">
        <v>40</v>
      </c>
      <c r="E91" s="195"/>
      <c r="F91" s="163" t="s">
        <v>245</v>
      </c>
      <c r="G91" s="196"/>
      <c r="H91" s="196"/>
      <c r="I91" s="196"/>
      <c r="J91" s="196"/>
      <c r="K91" s="196"/>
      <c r="L91" s="196"/>
      <c r="M91" s="196" t="s">
        <v>36</v>
      </c>
      <c r="N91" s="196"/>
      <c r="O91" s="196"/>
      <c r="P91" s="196"/>
      <c r="Q91" s="196" t="s">
        <v>36</v>
      </c>
      <c r="R91" s="196" t="s">
        <v>36</v>
      </c>
      <c r="S91" s="196" t="s">
        <v>36</v>
      </c>
      <c r="T91" s="194"/>
      <c r="U91" s="196"/>
      <c r="V91" s="196"/>
      <c r="W91" s="196"/>
      <c r="X91" s="196"/>
      <c r="Y91" s="196"/>
      <c r="Z91" s="196"/>
      <c r="AA91" s="196"/>
      <c r="AB91" s="194"/>
      <c r="AC91" s="196"/>
      <c r="AD91" s="198">
        <f t="shared" si="2"/>
        <v>4</v>
      </c>
      <c r="AE91" s="74" t="s">
        <v>554</v>
      </c>
    </row>
    <row r="92" spans="1:31">
      <c r="A92" s="71">
        <v>90</v>
      </c>
      <c r="B92" s="38" t="s">
        <v>544</v>
      </c>
      <c r="C92" s="157" t="s">
        <v>260</v>
      </c>
      <c r="D92" s="197" t="s">
        <v>43</v>
      </c>
      <c r="E92" s="196"/>
      <c r="F92" s="163" t="s">
        <v>245</v>
      </c>
      <c r="G92" s="196"/>
      <c r="H92" s="196"/>
      <c r="I92" s="196"/>
      <c r="J92" s="196" t="s">
        <v>36</v>
      </c>
      <c r="K92" s="196"/>
      <c r="L92" s="196"/>
      <c r="M92" s="196" t="s">
        <v>36</v>
      </c>
      <c r="N92" s="196"/>
      <c r="O92" s="196"/>
      <c r="P92" s="196"/>
      <c r="Q92" s="196" t="s">
        <v>36</v>
      </c>
      <c r="R92" s="196" t="s">
        <v>36</v>
      </c>
      <c r="S92" s="196" t="s">
        <v>36</v>
      </c>
      <c r="T92" s="194"/>
      <c r="U92" s="196"/>
      <c r="V92" s="196"/>
      <c r="W92" s="196"/>
      <c r="X92" s="196"/>
      <c r="Y92" s="196"/>
      <c r="Z92" s="196"/>
      <c r="AA92" s="196"/>
      <c r="AB92" s="194"/>
      <c r="AC92" s="196"/>
      <c r="AD92" s="198">
        <f t="shared" si="2"/>
        <v>5</v>
      </c>
      <c r="AE92" s="157"/>
    </row>
    <row r="93" spans="1:31">
      <c r="A93" s="78">
        <v>91</v>
      </c>
      <c r="B93" s="79" t="s">
        <v>544</v>
      </c>
      <c r="C93" s="206" t="s">
        <v>574</v>
      </c>
      <c r="D93" s="206"/>
      <c r="E93" s="207"/>
      <c r="F93" s="208" t="s">
        <v>245</v>
      </c>
      <c r="G93" s="209" t="s">
        <v>36</v>
      </c>
      <c r="H93" s="209"/>
      <c r="I93" s="209"/>
      <c r="J93" s="209" t="s">
        <v>36</v>
      </c>
      <c r="K93" s="209"/>
      <c r="L93" s="209"/>
      <c r="M93" s="209" t="s">
        <v>36</v>
      </c>
      <c r="N93" s="209" t="s">
        <v>36</v>
      </c>
      <c r="O93" s="209"/>
      <c r="P93" s="209"/>
      <c r="Q93" s="209" t="s">
        <v>36</v>
      </c>
      <c r="R93" s="209" t="s">
        <v>36</v>
      </c>
      <c r="S93" s="209" t="s">
        <v>36</v>
      </c>
      <c r="T93" s="194" t="s">
        <v>36</v>
      </c>
      <c r="U93" s="209"/>
      <c r="V93" s="209"/>
      <c r="W93" s="209"/>
      <c r="X93" s="209"/>
      <c r="Y93" s="209" t="s">
        <v>36</v>
      </c>
      <c r="Z93" s="209"/>
      <c r="AA93" s="209"/>
      <c r="AB93" s="194" t="s">
        <v>36</v>
      </c>
      <c r="AC93" s="209"/>
      <c r="AD93" s="198">
        <f t="shared" si="2"/>
        <v>10</v>
      </c>
      <c r="AE93" s="80" t="s">
        <v>575</v>
      </c>
    </row>
    <row r="94" spans="1:31">
      <c r="A94" s="71">
        <v>92</v>
      </c>
      <c r="B94" s="38" t="s">
        <v>544</v>
      </c>
      <c r="C94" s="157" t="s">
        <v>262</v>
      </c>
      <c r="D94" s="157" t="s">
        <v>40</v>
      </c>
      <c r="E94" s="195"/>
      <c r="F94" s="163" t="s">
        <v>245</v>
      </c>
      <c r="G94" s="196" t="s">
        <v>36</v>
      </c>
      <c r="H94" s="196"/>
      <c r="I94" s="196"/>
      <c r="J94" s="196" t="s">
        <v>36</v>
      </c>
      <c r="K94" s="196"/>
      <c r="L94" s="196"/>
      <c r="M94" s="196" t="s">
        <v>36</v>
      </c>
      <c r="N94" s="196" t="s">
        <v>36</v>
      </c>
      <c r="O94" s="196"/>
      <c r="P94" s="196"/>
      <c r="Q94" s="196" t="s">
        <v>36</v>
      </c>
      <c r="R94" s="196" t="s">
        <v>36</v>
      </c>
      <c r="S94" s="196" t="s">
        <v>36</v>
      </c>
      <c r="T94" s="194" t="s">
        <v>36</v>
      </c>
      <c r="U94" s="196"/>
      <c r="V94" s="196"/>
      <c r="W94" s="196"/>
      <c r="X94" s="196"/>
      <c r="Y94" s="196"/>
      <c r="Z94" s="196"/>
      <c r="AA94" s="196"/>
      <c r="AB94" s="194" t="s">
        <v>36</v>
      </c>
      <c r="AC94" s="196"/>
      <c r="AD94" s="198">
        <f t="shared" si="2"/>
        <v>9</v>
      </c>
      <c r="AE94" s="157"/>
    </row>
    <row r="95" spans="1:31">
      <c r="A95" s="71">
        <v>93</v>
      </c>
      <c r="B95" s="38" t="s">
        <v>544</v>
      </c>
      <c r="C95" s="157" t="s">
        <v>265</v>
      </c>
      <c r="D95" s="157" t="s">
        <v>34</v>
      </c>
      <c r="E95" s="195"/>
      <c r="F95" s="163" t="s">
        <v>245</v>
      </c>
      <c r="G95" s="196"/>
      <c r="H95" s="196"/>
      <c r="I95" s="196"/>
      <c r="J95" s="196"/>
      <c r="K95" s="196"/>
      <c r="L95" s="196"/>
      <c r="M95" s="196" t="s">
        <v>36</v>
      </c>
      <c r="N95" s="196"/>
      <c r="O95" s="196"/>
      <c r="P95" s="196"/>
      <c r="Q95" s="196" t="s">
        <v>36</v>
      </c>
      <c r="R95" s="196" t="s">
        <v>36</v>
      </c>
      <c r="S95" s="196" t="s">
        <v>36</v>
      </c>
      <c r="T95" s="194"/>
      <c r="U95" s="196"/>
      <c r="V95" s="196"/>
      <c r="W95" s="196"/>
      <c r="X95" s="196"/>
      <c r="Y95" s="196"/>
      <c r="Z95" s="196"/>
      <c r="AA95" s="196"/>
      <c r="AB95" s="194"/>
      <c r="AC95" s="196"/>
      <c r="AD95" s="198">
        <f t="shared" si="2"/>
        <v>4</v>
      </c>
      <c r="AE95" s="157"/>
    </row>
    <row r="96" spans="1:31">
      <c r="A96" s="71">
        <v>94</v>
      </c>
      <c r="B96" s="38" t="s">
        <v>544</v>
      </c>
      <c r="C96" s="157" t="s">
        <v>267</v>
      </c>
      <c r="D96" s="157" t="s">
        <v>40</v>
      </c>
      <c r="E96" s="195"/>
      <c r="F96" s="163" t="s">
        <v>245</v>
      </c>
      <c r="G96" s="196"/>
      <c r="H96" s="196"/>
      <c r="I96" s="196"/>
      <c r="J96" s="196"/>
      <c r="K96" s="196"/>
      <c r="L96" s="196"/>
      <c r="M96" s="196" t="s">
        <v>36</v>
      </c>
      <c r="N96" s="196"/>
      <c r="O96" s="196"/>
      <c r="P96" s="196"/>
      <c r="Q96" s="196" t="s">
        <v>36</v>
      </c>
      <c r="R96" s="196" t="s">
        <v>36</v>
      </c>
      <c r="S96" s="196" t="s">
        <v>36</v>
      </c>
      <c r="T96" s="194"/>
      <c r="U96" s="196"/>
      <c r="V96" s="196"/>
      <c r="W96" s="196"/>
      <c r="X96" s="196"/>
      <c r="Y96" s="196"/>
      <c r="Z96" s="196"/>
      <c r="AA96" s="196"/>
      <c r="AB96" s="194"/>
      <c r="AC96" s="196"/>
      <c r="AD96" s="198">
        <f t="shared" si="2"/>
        <v>4</v>
      </c>
      <c r="AE96" s="157"/>
    </row>
    <row r="97" spans="1:31">
      <c r="A97" s="70">
        <v>95</v>
      </c>
      <c r="B97" s="40" t="s">
        <v>544</v>
      </c>
      <c r="C97" s="202" t="s">
        <v>576</v>
      </c>
      <c r="D97" s="202"/>
      <c r="E97" s="203"/>
      <c r="F97" s="193" t="s">
        <v>245</v>
      </c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4"/>
      <c r="U97" s="192"/>
      <c r="V97" s="192"/>
      <c r="W97" s="192"/>
      <c r="X97" s="192"/>
      <c r="Y97" s="192"/>
      <c r="Z97" s="192"/>
      <c r="AA97" s="192"/>
      <c r="AB97" s="194"/>
      <c r="AC97" s="192"/>
      <c r="AD97" s="198">
        <f t="shared" si="2"/>
        <v>0</v>
      </c>
      <c r="AE97" s="157"/>
    </row>
    <row r="98" spans="1:31">
      <c r="A98" s="71">
        <v>96</v>
      </c>
      <c r="B98" s="38" t="s">
        <v>544</v>
      </c>
      <c r="C98" s="157" t="s">
        <v>270</v>
      </c>
      <c r="D98" s="157" t="s">
        <v>51</v>
      </c>
      <c r="E98" s="195"/>
      <c r="F98" s="163" t="s">
        <v>245</v>
      </c>
      <c r="G98" s="196"/>
      <c r="H98" s="196"/>
      <c r="I98" s="196"/>
      <c r="J98" s="196"/>
      <c r="K98" s="196"/>
      <c r="L98" s="196"/>
      <c r="M98" s="196" t="s">
        <v>36</v>
      </c>
      <c r="N98" s="196"/>
      <c r="O98" s="196"/>
      <c r="P98" s="196"/>
      <c r="Q98" s="196"/>
      <c r="R98" s="196" t="s">
        <v>36</v>
      </c>
      <c r="S98" s="196" t="s">
        <v>36</v>
      </c>
      <c r="T98" s="194"/>
      <c r="U98" s="196"/>
      <c r="V98" s="196"/>
      <c r="W98" s="196"/>
      <c r="X98" s="196"/>
      <c r="Y98" s="196"/>
      <c r="Z98" s="196"/>
      <c r="AA98" s="196"/>
      <c r="AB98" s="194"/>
      <c r="AC98" s="196"/>
      <c r="AD98" s="198">
        <f t="shared" si="2"/>
        <v>3</v>
      </c>
      <c r="AE98" s="157"/>
    </row>
    <row r="99" spans="1:31">
      <c r="A99" s="71">
        <v>97</v>
      </c>
      <c r="B99" s="38" t="s">
        <v>544</v>
      </c>
      <c r="C99" s="157" t="s">
        <v>272</v>
      </c>
      <c r="D99" s="157" t="s">
        <v>40</v>
      </c>
      <c r="E99" s="195"/>
      <c r="F99" s="163" t="s">
        <v>245</v>
      </c>
      <c r="G99" s="196"/>
      <c r="H99" s="196"/>
      <c r="I99" s="196"/>
      <c r="J99" s="196"/>
      <c r="K99" s="196"/>
      <c r="L99" s="196"/>
      <c r="M99" s="196" t="s">
        <v>36</v>
      </c>
      <c r="N99" s="196"/>
      <c r="O99" s="196"/>
      <c r="P99" s="196"/>
      <c r="Q99" s="196" t="s">
        <v>36</v>
      </c>
      <c r="R99" s="196" t="s">
        <v>36</v>
      </c>
      <c r="S99" s="196" t="s">
        <v>36</v>
      </c>
      <c r="T99" s="194"/>
      <c r="U99" s="196"/>
      <c r="V99" s="196"/>
      <c r="W99" s="196"/>
      <c r="X99" s="196"/>
      <c r="Y99" s="196"/>
      <c r="Z99" s="196"/>
      <c r="AA99" s="196"/>
      <c r="AB99" s="194"/>
      <c r="AC99" s="196"/>
      <c r="AD99" s="198">
        <f t="shared" si="2"/>
        <v>4</v>
      </c>
      <c r="AE99" s="157"/>
    </row>
    <row r="100" spans="1:31">
      <c r="A100" s="71">
        <v>98</v>
      </c>
      <c r="B100" s="38" t="s">
        <v>544</v>
      </c>
      <c r="C100" s="157" t="s">
        <v>274</v>
      </c>
      <c r="D100" s="197" t="s">
        <v>43</v>
      </c>
      <c r="E100" s="196"/>
      <c r="F100" s="184" t="s">
        <v>276</v>
      </c>
      <c r="G100" s="196"/>
      <c r="H100" s="196"/>
      <c r="I100" s="196"/>
      <c r="J100" s="196"/>
      <c r="K100" s="196"/>
      <c r="L100" s="196"/>
      <c r="M100" s="196" t="s">
        <v>36</v>
      </c>
      <c r="N100" s="196"/>
      <c r="O100" s="196"/>
      <c r="P100" s="196"/>
      <c r="Q100" s="196"/>
      <c r="R100" s="196" t="s">
        <v>36</v>
      </c>
      <c r="S100" s="196" t="s">
        <v>36</v>
      </c>
      <c r="T100" s="194"/>
      <c r="U100" s="196"/>
      <c r="V100" s="196"/>
      <c r="W100" s="196"/>
      <c r="X100" s="196"/>
      <c r="Y100" s="196"/>
      <c r="Z100" s="196"/>
      <c r="AA100" s="196"/>
      <c r="AB100" s="194"/>
      <c r="AC100" s="196"/>
      <c r="AD100" s="195">
        <f t="shared" si="2"/>
        <v>3</v>
      </c>
      <c r="AE100" s="157"/>
    </row>
    <row r="101" spans="1:31">
      <c r="A101" s="71">
        <v>99</v>
      </c>
      <c r="B101" s="38" t="s">
        <v>544</v>
      </c>
      <c r="C101" s="157" t="s">
        <v>277</v>
      </c>
      <c r="D101" s="157" t="s">
        <v>34</v>
      </c>
      <c r="E101" s="195"/>
      <c r="F101" s="184" t="s">
        <v>276</v>
      </c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 t="s">
        <v>36</v>
      </c>
      <c r="S101" s="196" t="s">
        <v>36</v>
      </c>
      <c r="T101" s="194"/>
      <c r="U101" s="196"/>
      <c r="V101" s="196"/>
      <c r="W101" s="196"/>
      <c r="X101" s="196"/>
      <c r="Y101" s="196"/>
      <c r="Z101" s="196"/>
      <c r="AA101" s="196"/>
      <c r="AB101" s="194"/>
      <c r="AC101" s="196"/>
      <c r="AD101" s="195">
        <f t="shared" si="2"/>
        <v>2</v>
      </c>
      <c r="AE101" s="157"/>
    </row>
    <row r="102" spans="1:31">
      <c r="A102" s="71">
        <v>100</v>
      </c>
      <c r="B102" s="38" t="s">
        <v>544</v>
      </c>
      <c r="C102" s="157" t="s">
        <v>279</v>
      </c>
      <c r="D102" s="157" t="s">
        <v>40</v>
      </c>
      <c r="E102" s="195"/>
      <c r="F102" s="184" t="s">
        <v>276</v>
      </c>
      <c r="G102" s="196"/>
      <c r="H102" s="196"/>
      <c r="I102" s="196"/>
      <c r="J102" s="196"/>
      <c r="K102" s="196"/>
      <c r="L102" s="196"/>
      <c r="M102" s="196" t="s">
        <v>36</v>
      </c>
      <c r="N102" s="196"/>
      <c r="O102" s="196"/>
      <c r="P102" s="196"/>
      <c r="Q102" s="196"/>
      <c r="R102" s="196"/>
      <c r="S102" s="196" t="s">
        <v>36</v>
      </c>
      <c r="T102" s="194"/>
      <c r="U102" s="196"/>
      <c r="V102" s="196"/>
      <c r="W102" s="196"/>
      <c r="X102" s="196"/>
      <c r="Y102" s="196"/>
      <c r="Z102" s="196"/>
      <c r="AA102" s="196"/>
      <c r="AB102" s="194"/>
      <c r="AC102" s="196"/>
      <c r="AD102" s="195">
        <f t="shared" si="2"/>
        <v>2</v>
      </c>
      <c r="AE102" s="157"/>
    </row>
    <row r="103" spans="1:31">
      <c r="A103" s="71">
        <v>101</v>
      </c>
      <c r="B103" s="38" t="s">
        <v>544</v>
      </c>
      <c r="C103" s="157" t="s">
        <v>281</v>
      </c>
      <c r="D103" s="157" t="s">
        <v>51</v>
      </c>
      <c r="E103" s="195"/>
      <c r="F103" s="184" t="s">
        <v>276</v>
      </c>
      <c r="G103" s="196"/>
      <c r="H103" s="196"/>
      <c r="I103" s="196"/>
      <c r="J103" s="196"/>
      <c r="K103" s="196"/>
      <c r="L103" s="196"/>
      <c r="M103" s="196" t="s">
        <v>36</v>
      </c>
      <c r="N103" s="196"/>
      <c r="O103" s="196"/>
      <c r="P103" s="196"/>
      <c r="Q103" s="196"/>
      <c r="R103" s="196" t="s">
        <v>36</v>
      </c>
      <c r="S103" s="196" t="s">
        <v>36</v>
      </c>
      <c r="T103" s="194"/>
      <c r="U103" s="196"/>
      <c r="V103" s="196"/>
      <c r="W103" s="196"/>
      <c r="X103" s="196"/>
      <c r="Y103" s="196"/>
      <c r="Z103" s="196"/>
      <c r="AA103" s="196"/>
      <c r="AB103" s="194"/>
      <c r="AC103" s="196"/>
      <c r="AD103" s="195">
        <f t="shared" si="2"/>
        <v>3</v>
      </c>
      <c r="AE103" s="157"/>
    </row>
    <row r="104" spans="1:31">
      <c r="A104" s="71">
        <v>102</v>
      </c>
      <c r="B104" s="38" t="s">
        <v>544</v>
      </c>
      <c r="C104" s="157" t="s">
        <v>257</v>
      </c>
      <c r="D104" s="157" t="s">
        <v>40</v>
      </c>
      <c r="E104" s="195"/>
      <c r="F104" s="184" t="s">
        <v>276</v>
      </c>
      <c r="G104" s="196"/>
      <c r="H104" s="196"/>
      <c r="I104" s="196"/>
      <c r="J104" s="196"/>
      <c r="K104" s="196"/>
      <c r="L104" s="196"/>
      <c r="M104" s="196" t="s">
        <v>36</v>
      </c>
      <c r="N104" s="196"/>
      <c r="O104" s="196"/>
      <c r="P104" s="196"/>
      <c r="Q104" s="196"/>
      <c r="R104" s="196"/>
      <c r="S104" s="196" t="s">
        <v>36</v>
      </c>
      <c r="T104" s="194"/>
      <c r="U104" s="196"/>
      <c r="V104" s="196"/>
      <c r="W104" s="196"/>
      <c r="X104" s="196"/>
      <c r="Y104" s="196"/>
      <c r="Z104" s="196"/>
      <c r="AA104" s="196"/>
      <c r="AB104" s="194"/>
      <c r="AC104" s="196"/>
      <c r="AD104" s="195">
        <f t="shared" si="2"/>
        <v>2</v>
      </c>
      <c r="AE104" s="74" t="s">
        <v>554</v>
      </c>
    </row>
    <row r="105" spans="1:31">
      <c r="A105" s="71">
        <v>103</v>
      </c>
      <c r="B105" s="38" t="s">
        <v>544</v>
      </c>
      <c r="C105" s="157" t="s">
        <v>283</v>
      </c>
      <c r="D105" s="157" t="s">
        <v>34</v>
      </c>
      <c r="E105" s="195"/>
      <c r="F105" s="184" t="s">
        <v>276</v>
      </c>
      <c r="G105" s="196"/>
      <c r="H105" s="196"/>
      <c r="I105" s="196"/>
      <c r="J105" s="196"/>
      <c r="K105" s="196"/>
      <c r="L105" s="196"/>
      <c r="M105" s="196" t="s">
        <v>36</v>
      </c>
      <c r="N105" s="196"/>
      <c r="O105" s="196"/>
      <c r="P105" s="196"/>
      <c r="Q105" s="196"/>
      <c r="R105" s="196"/>
      <c r="S105" s="196" t="s">
        <v>36</v>
      </c>
      <c r="T105" s="194"/>
      <c r="U105" s="196"/>
      <c r="V105" s="196"/>
      <c r="W105" s="196"/>
      <c r="X105" s="196"/>
      <c r="Y105" s="196"/>
      <c r="Z105" s="196"/>
      <c r="AA105" s="196"/>
      <c r="AB105" s="194"/>
      <c r="AC105" s="196"/>
      <c r="AD105" s="195">
        <f t="shared" si="2"/>
        <v>2</v>
      </c>
      <c r="AE105" s="157"/>
    </row>
    <row r="106" spans="1:31">
      <c r="A106" s="71">
        <v>104</v>
      </c>
      <c r="B106" s="38" t="s">
        <v>544</v>
      </c>
      <c r="C106" s="157" t="s">
        <v>285</v>
      </c>
      <c r="D106" s="157" t="s">
        <v>34</v>
      </c>
      <c r="E106" s="195"/>
      <c r="F106" s="184" t="s">
        <v>276</v>
      </c>
      <c r="G106" s="196"/>
      <c r="H106" s="196"/>
      <c r="I106" s="196"/>
      <c r="J106" s="196"/>
      <c r="K106" s="196"/>
      <c r="L106" s="196"/>
      <c r="M106" s="196" t="s">
        <v>36</v>
      </c>
      <c r="N106" s="196"/>
      <c r="O106" s="196"/>
      <c r="P106" s="196"/>
      <c r="Q106" s="196"/>
      <c r="R106" s="196" t="s">
        <v>36</v>
      </c>
      <c r="S106" s="196" t="s">
        <v>36</v>
      </c>
      <c r="T106" s="194"/>
      <c r="U106" s="196"/>
      <c r="V106" s="196"/>
      <c r="W106" s="196"/>
      <c r="X106" s="196"/>
      <c r="Y106" s="196"/>
      <c r="Z106" s="196"/>
      <c r="AA106" s="196"/>
      <c r="AB106" s="194"/>
      <c r="AC106" s="196"/>
      <c r="AD106" s="195">
        <f t="shared" si="2"/>
        <v>3</v>
      </c>
      <c r="AE106" s="157"/>
    </row>
    <row r="107" spans="1:31">
      <c r="A107" s="71">
        <v>105</v>
      </c>
      <c r="B107" s="38" t="s">
        <v>544</v>
      </c>
      <c r="C107" s="157" t="s">
        <v>287</v>
      </c>
      <c r="D107" s="157" t="s">
        <v>34</v>
      </c>
      <c r="E107" s="195"/>
      <c r="F107" s="184" t="s">
        <v>276</v>
      </c>
      <c r="G107" s="196"/>
      <c r="H107" s="196"/>
      <c r="I107" s="196"/>
      <c r="J107" s="196"/>
      <c r="K107" s="196"/>
      <c r="L107" s="196"/>
      <c r="M107" s="196" t="s">
        <v>36</v>
      </c>
      <c r="N107" s="196"/>
      <c r="O107" s="196"/>
      <c r="P107" s="196"/>
      <c r="Q107" s="196"/>
      <c r="R107" s="196" t="s">
        <v>36</v>
      </c>
      <c r="S107" s="196" t="s">
        <v>36</v>
      </c>
      <c r="T107" s="194"/>
      <c r="U107" s="196"/>
      <c r="V107" s="196"/>
      <c r="W107" s="196"/>
      <c r="X107" s="196"/>
      <c r="Y107" s="196"/>
      <c r="Z107" s="196"/>
      <c r="AA107" s="196"/>
      <c r="AB107" s="194"/>
      <c r="AC107" s="196"/>
      <c r="AD107" s="195">
        <f t="shared" si="2"/>
        <v>3</v>
      </c>
      <c r="AE107" s="157"/>
    </row>
    <row r="108" spans="1:31">
      <c r="A108" s="70">
        <v>106</v>
      </c>
      <c r="B108" s="40" t="s">
        <v>544</v>
      </c>
      <c r="C108" s="202" t="s">
        <v>577</v>
      </c>
      <c r="D108" s="202"/>
      <c r="E108" s="203"/>
      <c r="F108" s="204" t="s">
        <v>276</v>
      </c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4"/>
      <c r="U108" s="192"/>
      <c r="V108" s="192"/>
      <c r="W108" s="192"/>
      <c r="X108" s="192"/>
      <c r="Y108" s="192"/>
      <c r="Z108" s="192"/>
      <c r="AA108" s="192"/>
      <c r="AB108" s="194"/>
      <c r="AC108" s="192"/>
      <c r="AD108" s="195">
        <f t="shared" si="2"/>
        <v>0</v>
      </c>
      <c r="AE108" s="157"/>
    </row>
    <row r="109" spans="1:31">
      <c r="A109" s="71">
        <v>107</v>
      </c>
      <c r="B109" s="38" t="s">
        <v>544</v>
      </c>
      <c r="C109" s="157" t="s">
        <v>289</v>
      </c>
      <c r="D109" s="157" t="s">
        <v>34</v>
      </c>
      <c r="E109" s="195"/>
      <c r="F109" s="184" t="s">
        <v>276</v>
      </c>
      <c r="G109" s="196"/>
      <c r="H109" s="196"/>
      <c r="I109" s="196"/>
      <c r="J109" s="196"/>
      <c r="K109" s="196"/>
      <c r="L109" s="196"/>
      <c r="M109" s="196" t="s">
        <v>36</v>
      </c>
      <c r="N109" s="196"/>
      <c r="O109" s="196"/>
      <c r="P109" s="196"/>
      <c r="Q109" s="196"/>
      <c r="R109" s="196" t="s">
        <v>36</v>
      </c>
      <c r="S109" s="196" t="s">
        <v>36</v>
      </c>
      <c r="T109" s="194"/>
      <c r="U109" s="196"/>
      <c r="V109" s="196"/>
      <c r="W109" s="196"/>
      <c r="X109" s="196"/>
      <c r="Y109" s="196"/>
      <c r="Z109" s="196"/>
      <c r="AA109" s="196"/>
      <c r="AB109" s="194"/>
      <c r="AC109" s="196"/>
      <c r="AD109" s="195">
        <f t="shared" si="2"/>
        <v>3</v>
      </c>
      <c r="AE109" s="157"/>
    </row>
    <row r="110" spans="1:31">
      <c r="A110" s="71">
        <v>108</v>
      </c>
      <c r="B110" s="38" t="s">
        <v>544</v>
      </c>
      <c r="C110" s="157" t="s">
        <v>291</v>
      </c>
      <c r="D110" s="157" t="s">
        <v>51</v>
      </c>
      <c r="E110" s="195"/>
      <c r="F110" s="184" t="s">
        <v>276</v>
      </c>
      <c r="G110" s="196"/>
      <c r="H110" s="196"/>
      <c r="I110" s="196"/>
      <c r="J110" s="196"/>
      <c r="K110" s="196"/>
      <c r="L110" s="196"/>
      <c r="M110" s="196" t="s">
        <v>36</v>
      </c>
      <c r="N110" s="196"/>
      <c r="O110" s="196"/>
      <c r="P110" s="196"/>
      <c r="Q110" s="196"/>
      <c r="R110" s="196" t="s">
        <v>36</v>
      </c>
      <c r="S110" s="196" t="s">
        <v>36</v>
      </c>
      <c r="T110" s="194"/>
      <c r="U110" s="196"/>
      <c r="V110" s="196"/>
      <c r="W110" s="196"/>
      <c r="X110" s="196"/>
      <c r="Y110" s="196"/>
      <c r="Z110" s="196"/>
      <c r="AA110" s="196"/>
      <c r="AB110" s="194"/>
      <c r="AC110" s="196"/>
      <c r="AD110" s="195">
        <f t="shared" si="2"/>
        <v>3</v>
      </c>
      <c r="AE110" s="157"/>
    </row>
    <row r="111" spans="1:31">
      <c r="A111" s="71">
        <v>109</v>
      </c>
      <c r="B111" s="38" t="s">
        <v>544</v>
      </c>
      <c r="C111" s="157" t="s">
        <v>293</v>
      </c>
      <c r="D111" s="157" t="s">
        <v>34</v>
      </c>
      <c r="E111" s="195"/>
      <c r="F111" s="184" t="s">
        <v>276</v>
      </c>
      <c r="G111" s="196"/>
      <c r="H111" s="196"/>
      <c r="I111" s="196"/>
      <c r="J111" s="196"/>
      <c r="K111" s="196"/>
      <c r="L111" s="196"/>
      <c r="M111" s="196" t="s">
        <v>36</v>
      </c>
      <c r="N111" s="196"/>
      <c r="O111" s="196"/>
      <c r="P111" s="196"/>
      <c r="Q111" s="196"/>
      <c r="R111" s="196" t="s">
        <v>36</v>
      </c>
      <c r="S111" s="196" t="s">
        <v>36</v>
      </c>
      <c r="T111" s="194"/>
      <c r="U111" s="196"/>
      <c r="V111" s="196"/>
      <c r="W111" s="196"/>
      <c r="X111" s="196"/>
      <c r="Y111" s="196"/>
      <c r="Z111" s="196"/>
      <c r="AA111" s="196"/>
      <c r="AB111" s="194"/>
      <c r="AC111" s="196"/>
      <c r="AD111" s="195">
        <f t="shared" si="2"/>
        <v>3</v>
      </c>
      <c r="AE111" s="157"/>
    </row>
    <row r="112" spans="1:31">
      <c r="A112" s="71">
        <v>110</v>
      </c>
      <c r="B112" s="38" t="s">
        <v>544</v>
      </c>
      <c r="C112" s="157" t="s">
        <v>295</v>
      </c>
      <c r="D112" s="157" t="s">
        <v>51</v>
      </c>
      <c r="E112" s="195"/>
      <c r="F112" s="184" t="s">
        <v>276</v>
      </c>
      <c r="G112" s="196"/>
      <c r="H112" s="196"/>
      <c r="I112" s="196"/>
      <c r="J112" s="196"/>
      <c r="K112" s="196"/>
      <c r="L112" s="196"/>
      <c r="M112" s="196" t="s">
        <v>36</v>
      </c>
      <c r="N112" s="196"/>
      <c r="O112" s="196"/>
      <c r="P112" s="196"/>
      <c r="Q112" s="196"/>
      <c r="R112" s="196" t="s">
        <v>36</v>
      </c>
      <c r="S112" s="196" t="s">
        <v>36</v>
      </c>
      <c r="T112" s="194"/>
      <c r="U112" s="196"/>
      <c r="V112" s="196"/>
      <c r="W112" s="196"/>
      <c r="X112" s="196"/>
      <c r="Y112" s="196"/>
      <c r="Z112" s="196"/>
      <c r="AA112" s="196"/>
      <c r="AB112" s="194"/>
      <c r="AC112" s="196"/>
      <c r="AD112" s="195">
        <f t="shared" si="2"/>
        <v>3</v>
      </c>
      <c r="AE112" s="157"/>
    </row>
    <row r="113" spans="1:31">
      <c r="A113" s="71">
        <v>111</v>
      </c>
      <c r="B113" s="38" t="s">
        <v>544</v>
      </c>
      <c r="C113" s="157" t="s">
        <v>297</v>
      </c>
      <c r="D113" s="157" t="s">
        <v>40</v>
      </c>
      <c r="E113" s="195"/>
      <c r="F113" s="163" t="s">
        <v>299</v>
      </c>
      <c r="G113" s="196"/>
      <c r="H113" s="196"/>
      <c r="I113" s="196"/>
      <c r="J113" s="196" t="s">
        <v>36</v>
      </c>
      <c r="K113" s="196"/>
      <c r="L113" s="196" t="s">
        <v>36</v>
      </c>
      <c r="M113" s="196" t="s">
        <v>36</v>
      </c>
      <c r="N113" s="196"/>
      <c r="O113" s="196"/>
      <c r="P113" s="196"/>
      <c r="Q113" s="196"/>
      <c r="R113" s="196"/>
      <c r="S113" s="196" t="s">
        <v>36</v>
      </c>
      <c r="T113" s="194" t="s">
        <v>36</v>
      </c>
      <c r="U113" s="196"/>
      <c r="V113" s="196"/>
      <c r="W113" s="196"/>
      <c r="X113" s="196"/>
      <c r="Y113" s="196"/>
      <c r="Z113" s="196"/>
      <c r="AA113" s="196"/>
      <c r="AB113" s="194" t="s">
        <v>36</v>
      </c>
      <c r="AC113" s="196"/>
      <c r="AD113" s="198">
        <f t="shared" si="2"/>
        <v>6</v>
      </c>
      <c r="AE113" s="157"/>
    </row>
    <row r="114" spans="1:31">
      <c r="A114" s="70">
        <v>112</v>
      </c>
      <c r="B114" s="40" t="s">
        <v>544</v>
      </c>
      <c r="C114" s="202" t="s">
        <v>578</v>
      </c>
      <c r="D114" s="202"/>
      <c r="E114" s="203"/>
      <c r="F114" s="193" t="s">
        <v>299</v>
      </c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4"/>
      <c r="U114" s="192"/>
      <c r="V114" s="192"/>
      <c r="W114" s="192"/>
      <c r="X114" s="192"/>
      <c r="Y114" s="192"/>
      <c r="Z114" s="192"/>
      <c r="AA114" s="192"/>
      <c r="AB114" s="194"/>
      <c r="AC114" s="192"/>
      <c r="AD114" s="198">
        <f t="shared" si="2"/>
        <v>0</v>
      </c>
      <c r="AE114" s="157"/>
    </row>
    <row r="115" spans="1:31">
      <c r="A115" s="70">
        <v>113</v>
      </c>
      <c r="B115" s="40" t="s">
        <v>544</v>
      </c>
      <c r="C115" s="202" t="s">
        <v>579</v>
      </c>
      <c r="D115" s="202"/>
      <c r="E115" s="203"/>
      <c r="F115" s="193" t="s">
        <v>299</v>
      </c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4"/>
      <c r="U115" s="192"/>
      <c r="V115" s="192"/>
      <c r="W115" s="192"/>
      <c r="X115" s="192"/>
      <c r="Y115" s="192"/>
      <c r="Z115" s="192"/>
      <c r="AA115" s="192"/>
      <c r="AB115" s="194"/>
      <c r="AC115" s="192"/>
      <c r="AD115" s="198">
        <f t="shared" si="2"/>
        <v>0</v>
      </c>
      <c r="AE115" s="157"/>
    </row>
    <row r="116" spans="1:31">
      <c r="A116" s="71">
        <v>114</v>
      </c>
      <c r="B116" s="38" t="s">
        <v>544</v>
      </c>
      <c r="C116" s="157" t="s">
        <v>300</v>
      </c>
      <c r="D116" s="157" t="s">
        <v>34</v>
      </c>
      <c r="E116" s="195"/>
      <c r="F116" s="163" t="s">
        <v>299</v>
      </c>
      <c r="G116" s="196"/>
      <c r="H116" s="196"/>
      <c r="I116" s="196"/>
      <c r="J116" s="196"/>
      <c r="K116" s="196"/>
      <c r="L116" s="196"/>
      <c r="M116" s="196" t="s">
        <v>36</v>
      </c>
      <c r="N116" s="196"/>
      <c r="O116" s="196"/>
      <c r="P116" s="196"/>
      <c r="Q116" s="196" t="s">
        <v>36</v>
      </c>
      <c r="R116" s="196" t="s">
        <v>36</v>
      </c>
      <c r="S116" s="196" t="s">
        <v>36</v>
      </c>
      <c r="T116" s="194"/>
      <c r="U116" s="196"/>
      <c r="V116" s="196"/>
      <c r="W116" s="196"/>
      <c r="X116" s="196"/>
      <c r="Y116" s="196"/>
      <c r="Z116" s="196"/>
      <c r="AA116" s="196"/>
      <c r="AB116" s="194"/>
      <c r="AC116" s="196"/>
      <c r="AD116" s="198">
        <f t="shared" si="2"/>
        <v>4</v>
      </c>
      <c r="AE116" s="157"/>
    </row>
    <row r="117" spans="1:31">
      <c r="A117" s="72">
        <v>115</v>
      </c>
      <c r="B117" s="41" t="s">
        <v>544</v>
      </c>
      <c r="C117" s="173" t="s">
        <v>302</v>
      </c>
      <c r="D117" s="173" t="s">
        <v>51</v>
      </c>
      <c r="E117" s="210"/>
      <c r="F117" s="171" t="s">
        <v>299</v>
      </c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5">
        <f t="shared" si="2"/>
        <v>0</v>
      </c>
      <c r="AE117" s="173" t="s">
        <v>79</v>
      </c>
    </row>
    <row r="118" spans="1:31">
      <c r="A118" s="71">
        <v>116</v>
      </c>
      <c r="B118" s="38" t="s">
        <v>544</v>
      </c>
      <c r="C118" s="157" t="s">
        <v>304</v>
      </c>
      <c r="D118" s="157" t="s">
        <v>34</v>
      </c>
      <c r="E118" s="195"/>
      <c r="F118" s="163" t="s">
        <v>299</v>
      </c>
      <c r="G118" s="196"/>
      <c r="H118" s="196"/>
      <c r="I118" s="196"/>
      <c r="J118" s="196" t="s">
        <v>36</v>
      </c>
      <c r="K118" s="196"/>
      <c r="L118" s="196" t="s">
        <v>36</v>
      </c>
      <c r="M118" s="196" t="s">
        <v>36</v>
      </c>
      <c r="N118" s="196"/>
      <c r="O118" s="196" t="s">
        <v>36</v>
      </c>
      <c r="P118" s="196"/>
      <c r="Q118" s="196"/>
      <c r="R118" s="196"/>
      <c r="S118" s="196"/>
      <c r="T118" s="194" t="s">
        <v>36</v>
      </c>
      <c r="U118" s="196"/>
      <c r="V118" s="196"/>
      <c r="W118" s="196"/>
      <c r="X118" s="196"/>
      <c r="Y118" s="196"/>
      <c r="Z118" s="196"/>
      <c r="AA118" s="196" t="s">
        <v>36</v>
      </c>
      <c r="AB118" s="194" t="s">
        <v>36</v>
      </c>
      <c r="AC118" s="196"/>
      <c r="AD118" s="198">
        <f t="shared" si="2"/>
        <v>7</v>
      </c>
      <c r="AE118" s="157"/>
    </row>
    <row r="119" spans="1:31">
      <c r="A119" s="71">
        <v>117</v>
      </c>
      <c r="B119" s="38" t="s">
        <v>544</v>
      </c>
      <c r="C119" s="157" t="s">
        <v>306</v>
      </c>
      <c r="D119" s="157" t="s">
        <v>40</v>
      </c>
      <c r="E119" s="195"/>
      <c r="F119" s="163" t="s">
        <v>299</v>
      </c>
      <c r="G119" s="196"/>
      <c r="H119" s="196"/>
      <c r="I119" s="196"/>
      <c r="J119" s="196"/>
      <c r="K119" s="196"/>
      <c r="L119" s="196"/>
      <c r="M119" s="196" t="s">
        <v>36</v>
      </c>
      <c r="N119" s="196"/>
      <c r="O119" s="196"/>
      <c r="P119" s="196"/>
      <c r="Q119" s="196"/>
      <c r="R119" s="196"/>
      <c r="S119" s="196"/>
      <c r="T119" s="194" t="s">
        <v>36</v>
      </c>
      <c r="U119" s="196"/>
      <c r="V119" s="196"/>
      <c r="W119" s="196"/>
      <c r="X119" s="196"/>
      <c r="Y119" s="196"/>
      <c r="Z119" s="196"/>
      <c r="AA119" s="196"/>
      <c r="AB119" s="194"/>
      <c r="AC119" s="196"/>
      <c r="AD119" s="198">
        <f t="shared" si="2"/>
        <v>2</v>
      </c>
      <c r="AE119" s="157"/>
    </row>
    <row r="120" spans="1:31">
      <c r="A120" s="71">
        <v>118</v>
      </c>
      <c r="B120" s="38" t="s">
        <v>544</v>
      </c>
      <c r="C120" s="157" t="s">
        <v>308</v>
      </c>
      <c r="D120" s="157" t="s">
        <v>43</v>
      </c>
      <c r="E120" s="195"/>
      <c r="F120" s="163" t="s">
        <v>299</v>
      </c>
      <c r="G120" s="196"/>
      <c r="H120" s="196"/>
      <c r="I120" s="196"/>
      <c r="J120" s="196"/>
      <c r="K120" s="196"/>
      <c r="L120" s="196"/>
      <c r="M120" s="196" t="s">
        <v>36</v>
      </c>
      <c r="N120" s="196"/>
      <c r="O120" s="196"/>
      <c r="P120" s="196"/>
      <c r="Q120" s="196"/>
      <c r="R120" s="196"/>
      <c r="S120" s="196"/>
      <c r="T120" s="194" t="s">
        <v>36</v>
      </c>
      <c r="U120" s="196"/>
      <c r="V120" s="196"/>
      <c r="W120" s="196"/>
      <c r="X120" s="196"/>
      <c r="Y120" s="196"/>
      <c r="Z120" s="196"/>
      <c r="AA120" s="196"/>
      <c r="AB120" s="194"/>
      <c r="AC120" s="196"/>
      <c r="AD120" s="198">
        <f t="shared" si="2"/>
        <v>2</v>
      </c>
      <c r="AE120" s="157"/>
    </row>
    <row r="121" spans="1:31">
      <c r="A121" s="71">
        <v>119</v>
      </c>
      <c r="B121" s="38" t="s">
        <v>544</v>
      </c>
      <c r="C121" s="157" t="s">
        <v>310</v>
      </c>
      <c r="D121" s="157" t="s">
        <v>51</v>
      </c>
      <c r="E121" s="195"/>
      <c r="F121" s="163" t="s">
        <v>299</v>
      </c>
      <c r="G121" s="196"/>
      <c r="H121" s="196"/>
      <c r="I121" s="196"/>
      <c r="J121" s="196"/>
      <c r="K121" s="196"/>
      <c r="L121" s="196"/>
      <c r="M121" s="196" t="s">
        <v>36</v>
      </c>
      <c r="N121" s="196"/>
      <c r="O121" s="196"/>
      <c r="P121" s="196"/>
      <c r="Q121" s="196"/>
      <c r="R121" s="196"/>
      <c r="S121" s="196"/>
      <c r="T121" s="194" t="s">
        <v>36</v>
      </c>
      <c r="U121" s="196"/>
      <c r="V121" s="196"/>
      <c r="W121" s="196"/>
      <c r="X121" s="196"/>
      <c r="Y121" s="196"/>
      <c r="Z121" s="196"/>
      <c r="AA121" s="196"/>
      <c r="AB121" s="194"/>
      <c r="AC121" s="196"/>
      <c r="AD121" s="198">
        <f t="shared" si="2"/>
        <v>2</v>
      </c>
      <c r="AE121" s="157"/>
    </row>
    <row r="122" spans="1:31">
      <c r="A122" s="70">
        <v>120</v>
      </c>
      <c r="B122" s="40" t="s">
        <v>544</v>
      </c>
      <c r="C122" s="202" t="s">
        <v>580</v>
      </c>
      <c r="D122" s="202"/>
      <c r="E122" s="203"/>
      <c r="F122" s="193" t="s">
        <v>299</v>
      </c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4"/>
      <c r="U122" s="192"/>
      <c r="V122" s="192"/>
      <c r="W122" s="192"/>
      <c r="X122" s="192"/>
      <c r="Y122" s="192"/>
      <c r="Z122" s="192"/>
      <c r="AA122" s="192"/>
      <c r="AB122" s="194"/>
      <c r="AC122" s="192"/>
      <c r="AD122" s="198">
        <f t="shared" si="2"/>
        <v>0</v>
      </c>
      <c r="AE122" s="157"/>
    </row>
    <row r="123" spans="1:31">
      <c r="A123" s="71">
        <v>121</v>
      </c>
      <c r="B123" s="38" t="s">
        <v>544</v>
      </c>
      <c r="C123" s="157" t="s">
        <v>312</v>
      </c>
      <c r="D123" s="157" t="s">
        <v>115</v>
      </c>
      <c r="E123" s="195"/>
      <c r="F123" s="163" t="s">
        <v>299</v>
      </c>
      <c r="G123" s="196" t="s">
        <v>36</v>
      </c>
      <c r="H123" s="196" t="s">
        <v>36</v>
      </c>
      <c r="I123" s="196"/>
      <c r="J123" s="196"/>
      <c r="K123" s="196"/>
      <c r="L123" s="196" t="s">
        <v>36</v>
      </c>
      <c r="M123" s="196" t="s">
        <v>36</v>
      </c>
      <c r="N123" s="196" t="s">
        <v>36</v>
      </c>
      <c r="O123" s="196" t="s">
        <v>36</v>
      </c>
      <c r="P123" s="196"/>
      <c r="Q123" s="196"/>
      <c r="R123" s="196"/>
      <c r="S123" s="196"/>
      <c r="T123" s="194" t="s">
        <v>36</v>
      </c>
      <c r="U123" s="196"/>
      <c r="V123" s="196"/>
      <c r="W123" s="196"/>
      <c r="X123" s="196"/>
      <c r="Y123" s="196" t="s">
        <v>36</v>
      </c>
      <c r="Z123" s="196"/>
      <c r="AA123" s="196" t="s">
        <v>36</v>
      </c>
      <c r="AB123" s="194" t="s">
        <v>36</v>
      </c>
      <c r="AC123" s="196"/>
      <c r="AD123" s="198">
        <f t="shared" si="2"/>
        <v>10</v>
      </c>
      <c r="AE123" s="157"/>
    </row>
    <row r="124" spans="1:31">
      <c r="A124" s="78">
        <v>122</v>
      </c>
      <c r="B124" s="79" t="s">
        <v>544</v>
      </c>
      <c r="C124" s="206" t="s">
        <v>581</v>
      </c>
      <c r="D124" s="206"/>
      <c r="E124" s="207"/>
      <c r="F124" s="208" t="s">
        <v>299</v>
      </c>
      <c r="G124" s="209"/>
      <c r="H124" s="209"/>
      <c r="I124" s="209"/>
      <c r="J124" s="209"/>
      <c r="K124" s="209"/>
      <c r="L124" s="209"/>
      <c r="M124" s="209" t="s">
        <v>36</v>
      </c>
      <c r="N124" s="209"/>
      <c r="O124" s="209"/>
      <c r="P124" s="209"/>
      <c r="Q124" s="209"/>
      <c r="R124" s="209"/>
      <c r="S124" s="209"/>
      <c r="T124" s="194"/>
      <c r="U124" s="209"/>
      <c r="V124" s="209"/>
      <c r="W124" s="209"/>
      <c r="X124" s="209"/>
      <c r="Y124" s="209"/>
      <c r="Z124" s="209"/>
      <c r="AA124" s="209"/>
      <c r="AB124" s="194"/>
      <c r="AC124" s="209"/>
      <c r="AD124" s="207">
        <f t="shared" si="2"/>
        <v>1</v>
      </c>
      <c r="AE124" s="80" t="s">
        <v>582</v>
      </c>
    </row>
    <row r="125" spans="1:31">
      <c r="A125" s="70">
        <v>123</v>
      </c>
      <c r="B125" s="40" t="s">
        <v>544</v>
      </c>
      <c r="C125" s="202" t="s">
        <v>583</v>
      </c>
      <c r="D125" s="202"/>
      <c r="E125" s="203"/>
      <c r="F125" s="193" t="s">
        <v>299</v>
      </c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4"/>
      <c r="U125" s="192"/>
      <c r="V125" s="192"/>
      <c r="W125" s="192"/>
      <c r="X125" s="192"/>
      <c r="Y125" s="192"/>
      <c r="Z125" s="192"/>
      <c r="AA125" s="192"/>
      <c r="AB125" s="194"/>
      <c r="AC125" s="192"/>
      <c r="AD125" s="198">
        <f t="shared" si="2"/>
        <v>0</v>
      </c>
      <c r="AE125" s="157"/>
    </row>
    <row r="126" spans="1:31">
      <c r="A126" s="70">
        <v>124</v>
      </c>
      <c r="B126" s="40" t="s">
        <v>544</v>
      </c>
      <c r="C126" s="202" t="s">
        <v>584</v>
      </c>
      <c r="D126" s="202"/>
      <c r="E126" s="203"/>
      <c r="F126" s="193" t="s">
        <v>299</v>
      </c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4"/>
      <c r="U126" s="192"/>
      <c r="V126" s="192"/>
      <c r="W126" s="192"/>
      <c r="X126" s="192"/>
      <c r="Y126" s="192"/>
      <c r="Z126" s="192"/>
      <c r="AA126" s="192"/>
      <c r="AB126" s="194"/>
      <c r="AC126" s="192"/>
      <c r="AD126" s="198">
        <f t="shared" si="2"/>
        <v>0</v>
      </c>
      <c r="AE126" s="157"/>
    </row>
    <row r="127" spans="1:31">
      <c r="A127" s="71">
        <v>125</v>
      </c>
      <c r="B127" s="38" t="s">
        <v>544</v>
      </c>
      <c r="C127" s="157" t="s">
        <v>316</v>
      </c>
      <c r="D127" s="157" t="s">
        <v>40</v>
      </c>
      <c r="E127" s="195"/>
      <c r="F127" s="163" t="s">
        <v>299</v>
      </c>
      <c r="G127" s="196"/>
      <c r="H127" s="196" t="s">
        <v>36</v>
      </c>
      <c r="I127" s="196"/>
      <c r="J127" s="196"/>
      <c r="K127" s="196" t="s">
        <v>36</v>
      </c>
      <c r="L127" s="196" t="s">
        <v>36</v>
      </c>
      <c r="M127" s="196" t="s">
        <v>36</v>
      </c>
      <c r="N127" s="196"/>
      <c r="O127" s="196" t="s">
        <v>36</v>
      </c>
      <c r="P127" s="196"/>
      <c r="Q127" s="196"/>
      <c r="R127" s="196"/>
      <c r="S127" s="196"/>
      <c r="T127" s="194" t="s">
        <v>36</v>
      </c>
      <c r="U127" s="196"/>
      <c r="V127" s="196"/>
      <c r="W127" s="196"/>
      <c r="X127" s="196"/>
      <c r="Y127" s="196"/>
      <c r="Z127" s="196"/>
      <c r="AA127" s="196" t="s">
        <v>36</v>
      </c>
      <c r="AB127" s="194" t="s">
        <v>36</v>
      </c>
      <c r="AC127" s="196"/>
      <c r="AD127" s="198">
        <f t="shared" si="2"/>
        <v>8</v>
      </c>
      <c r="AE127" s="157"/>
    </row>
    <row r="128" spans="1:31">
      <c r="A128" s="71">
        <v>126</v>
      </c>
      <c r="B128" s="38" t="s">
        <v>544</v>
      </c>
      <c r="C128" s="157" t="s">
        <v>318</v>
      </c>
      <c r="D128" s="157" t="s">
        <v>40</v>
      </c>
      <c r="E128" s="195"/>
      <c r="F128" s="163" t="s">
        <v>320</v>
      </c>
      <c r="G128" s="196"/>
      <c r="H128" s="196"/>
      <c r="I128" s="196"/>
      <c r="J128" s="196"/>
      <c r="K128" s="196"/>
      <c r="L128" s="196"/>
      <c r="M128" s="196" t="s">
        <v>36</v>
      </c>
      <c r="N128" s="196"/>
      <c r="O128" s="196"/>
      <c r="P128" s="196"/>
      <c r="Q128" s="196"/>
      <c r="R128" s="196"/>
      <c r="S128" s="196"/>
      <c r="T128" s="194" t="s">
        <v>36</v>
      </c>
      <c r="U128" s="196"/>
      <c r="V128" s="196"/>
      <c r="W128" s="196"/>
      <c r="X128" s="196" t="s">
        <v>36</v>
      </c>
      <c r="Y128" s="196" t="s">
        <v>36</v>
      </c>
      <c r="Z128" s="196"/>
      <c r="AA128" s="196"/>
      <c r="AB128" s="194"/>
      <c r="AC128" s="196"/>
      <c r="AD128" s="195">
        <f t="shared" si="2"/>
        <v>4</v>
      </c>
      <c r="AE128" s="157"/>
    </row>
    <row r="129" spans="1:31">
      <c r="A129" s="71">
        <v>127</v>
      </c>
      <c r="B129" s="38" t="s">
        <v>544</v>
      </c>
      <c r="C129" s="157" t="s">
        <v>321</v>
      </c>
      <c r="D129" s="157" t="s">
        <v>40</v>
      </c>
      <c r="E129" s="195"/>
      <c r="F129" s="163" t="s">
        <v>320</v>
      </c>
      <c r="G129" s="196"/>
      <c r="H129" s="196"/>
      <c r="I129" s="196"/>
      <c r="J129" s="196"/>
      <c r="K129" s="196"/>
      <c r="L129" s="196"/>
      <c r="M129" s="196" t="s">
        <v>36</v>
      </c>
      <c r="N129" s="196"/>
      <c r="O129" s="196"/>
      <c r="P129" s="196"/>
      <c r="Q129" s="196"/>
      <c r="R129" s="196"/>
      <c r="S129" s="196"/>
      <c r="T129" s="194" t="s">
        <v>36</v>
      </c>
      <c r="U129" s="196"/>
      <c r="V129" s="196"/>
      <c r="W129" s="196"/>
      <c r="X129" s="196" t="s">
        <v>36</v>
      </c>
      <c r="Y129" s="196" t="s">
        <v>36</v>
      </c>
      <c r="Z129" s="196"/>
      <c r="AA129" s="196"/>
      <c r="AB129" s="194"/>
      <c r="AC129" s="196"/>
      <c r="AD129" s="195">
        <f t="shared" si="2"/>
        <v>4</v>
      </c>
      <c r="AE129" s="157"/>
    </row>
    <row r="130" spans="1:31">
      <c r="A130" s="71">
        <v>128</v>
      </c>
      <c r="B130" s="38" t="s">
        <v>544</v>
      </c>
      <c r="C130" s="157" t="s">
        <v>323</v>
      </c>
      <c r="D130" s="157" t="s">
        <v>34</v>
      </c>
      <c r="E130" s="195"/>
      <c r="F130" s="163" t="s">
        <v>320</v>
      </c>
      <c r="G130" s="196"/>
      <c r="H130" s="196"/>
      <c r="I130" s="196"/>
      <c r="J130" s="196"/>
      <c r="K130" s="196"/>
      <c r="L130" s="196"/>
      <c r="M130" s="196" t="s">
        <v>36</v>
      </c>
      <c r="N130" s="196"/>
      <c r="O130" s="196"/>
      <c r="P130" s="196"/>
      <c r="Q130" s="196"/>
      <c r="R130" s="196"/>
      <c r="S130" s="196"/>
      <c r="T130" s="194" t="s">
        <v>36</v>
      </c>
      <c r="U130" s="196"/>
      <c r="V130" s="196"/>
      <c r="W130" s="196"/>
      <c r="X130" s="196"/>
      <c r="Y130" s="196" t="s">
        <v>36</v>
      </c>
      <c r="Z130" s="196"/>
      <c r="AA130" s="196"/>
      <c r="AB130" s="194"/>
      <c r="AC130" s="196"/>
      <c r="AD130" s="195">
        <f t="shared" si="2"/>
        <v>3</v>
      </c>
      <c r="AE130" s="157"/>
    </row>
    <row r="131" spans="1:31">
      <c r="A131" s="71">
        <v>129</v>
      </c>
      <c r="B131" s="38" t="s">
        <v>544</v>
      </c>
      <c r="C131" s="157" t="s">
        <v>325</v>
      </c>
      <c r="D131" s="157" t="s">
        <v>43</v>
      </c>
      <c r="E131" s="195"/>
      <c r="F131" s="163" t="s">
        <v>320</v>
      </c>
      <c r="G131" s="196"/>
      <c r="H131" s="196"/>
      <c r="I131" s="196"/>
      <c r="J131" s="196"/>
      <c r="K131" s="196"/>
      <c r="L131" s="196"/>
      <c r="M131" s="196" t="s">
        <v>36</v>
      </c>
      <c r="N131" s="196"/>
      <c r="O131" s="196" t="s">
        <v>36</v>
      </c>
      <c r="P131" s="196"/>
      <c r="Q131" s="196"/>
      <c r="R131" s="196"/>
      <c r="S131" s="196"/>
      <c r="T131" s="194" t="s">
        <v>36</v>
      </c>
      <c r="U131" s="196"/>
      <c r="V131" s="196"/>
      <c r="W131" s="196"/>
      <c r="X131" s="196" t="s">
        <v>36</v>
      </c>
      <c r="Y131" s="196" t="s">
        <v>36</v>
      </c>
      <c r="Z131" s="196"/>
      <c r="AA131" s="196" t="s">
        <v>36</v>
      </c>
      <c r="AB131" s="194" t="s">
        <v>36</v>
      </c>
      <c r="AC131" s="196"/>
      <c r="AD131" s="195">
        <f t="shared" ref="AD131:AD194" si="3">COUNTIF(G131:AC131,"X")</f>
        <v>7</v>
      </c>
      <c r="AE131" s="157"/>
    </row>
    <row r="132" spans="1:31" ht="15" customHeight="1">
      <c r="A132" s="70">
        <v>130</v>
      </c>
      <c r="B132" s="40" t="s">
        <v>544</v>
      </c>
      <c r="C132" s="39" t="s">
        <v>585</v>
      </c>
      <c r="D132" s="39"/>
      <c r="E132" s="90"/>
      <c r="F132" s="204" t="s">
        <v>586</v>
      </c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4"/>
      <c r="U132" s="192"/>
      <c r="V132" s="192"/>
      <c r="W132" s="192"/>
      <c r="X132" s="192"/>
      <c r="Y132" s="192"/>
      <c r="Z132" s="192"/>
      <c r="AA132" s="192"/>
      <c r="AB132" s="194"/>
      <c r="AC132" s="192"/>
      <c r="AD132" s="205">
        <f t="shared" si="3"/>
        <v>0</v>
      </c>
      <c r="AE132" s="157"/>
    </row>
    <row r="133" spans="1:31">
      <c r="A133" s="70">
        <v>131</v>
      </c>
      <c r="B133" s="40" t="s">
        <v>544</v>
      </c>
      <c r="C133" s="39" t="s">
        <v>587</v>
      </c>
      <c r="D133" s="39"/>
      <c r="E133" s="90"/>
      <c r="F133" s="204" t="s">
        <v>586</v>
      </c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4"/>
      <c r="U133" s="192"/>
      <c r="V133" s="192"/>
      <c r="W133" s="192"/>
      <c r="X133" s="192"/>
      <c r="Y133" s="192"/>
      <c r="Z133" s="192"/>
      <c r="AA133" s="192"/>
      <c r="AB133" s="194"/>
      <c r="AC133" s="192"/>
      <c r="AD133" s="205">
        <f t="shared" si="3"/>
        <v>0</v>
      </c>
      <c r="AE133" s="157"/>
    </row>
    <row r="134" spans="1:31">
      <c r="A134" s="70">
        <v>132</v>
      </c>
      <c r="B134" s="40" t="s">
        <v>544</v>
      </c>
      <c r="C134" s="39" t="s">
        <v>588</v>
      </c>
      <c r="D134" s="39"/>
      <c r="E134" s="90"/>
      <c r="F134" s="204" t="s">
        <v>586</v>
      </c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4"/>
      <c r="U134" s="192"/>
      <c r="V134" s="192"/>
      <c r="W134" s="192"/>
      <c r="X134" s="192"/>
      <c r="Y134" s="192"/>
      <c r="Z134" s="192"/>
      <c r="AA134" s="192"/>
      <c r="AB134" s="194"/>
      <c r="AC134" s="192"/>
      <c r="AD134" s="205">
        <f t="shared" si="3"/>
        <v>0</v>
      </c>
      <c r="AE134" s="157"/>
    </row>
    <row r="135" spans="1:31">
      <c r="A135" s="70">
        <v>133</v>
      </c>
      <c r="B135" s="40" t="s">
        <v>544</v>
      </c>
      <c r="C135" s="39" t="s">
        <v>589</v>
      </c>
      <c r="D135" s="39"/>
      <c r="E135" s="90"/>
      <c r="F135" s="204" t="s">
        <v>586</v>
      </c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4"/>
      <c r="U135" s="192"/>
      <c r="V135" s="192"/>
      <c r="W135" s="192"/>
      <c r="X135" s="192"/>
      <c r="Y135" s="192"/>
      <c r="Z135" s="192"/>
      <c r="AA135" s="192"/>
      <c r="AB135" s="194"/>
      <c r="AC135" s="192"/>
      <c r="AD135" s="205">
        <f t="shared" si="3"/>
        <v>0</v>
      </c>
      <c r="AE135" s="157"/>
    </row>
    <row r="136" spans="1:31">
      <c r="A136" s="70">
        <v>134</v>
      </c>
      <c r="B136" s="40" t="s">
        <v>544</v>
      </c>
      <c r="C136" s="39" t="s">
        <v>590</v>
      </c>
      <c r="D136" s="39"/>
      <c r="E136" s="90"/>
      <c r="F136" s="204" t="s">
        <v>586</v>
      </c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4"/>
      <c r="U136" s="192"/>
      <c r="V136" s="192"/>
      <c r="W136" s="192"/>
      <c r="X136" s="192"/>
      <c r="Y136" s="192"/>
      <c r="Z136" s="192"/>
      <c r="AA136" s="192"/>
      <c r="AB136" s="194"/>
      <c r="AC136" s="192"/>
      <c r="AD136" s="205">
        <f t="shared" si="3"/>
        <v>0</v>
      </c>
      <c r="AE136" s="157"/>
    </row>
    <row r="137" spans="1:31">
      <c r="A137" s="70">
        <v>135</v>
      </c>
      <c r="B137" s="40" t="s">
        <v>544</v>
      </c>
      <c r="C137" s="39" t="s">
        <v>591</v>
      </c>
      <c r="D137" s="39"/>
      <c r="E137" s="90"/>
      <c r="F137" s="204" t="s">
        <v>586</v>
      </c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4"/>
      <c r="U137" s="192"/>
      <c r="V137" s="192"/>
      <c r="W137" s="192"/>
      <c r="X137" s="192"/>
      <c r="Y137" s="192"/>
      <c r="Z137" s="192"/>
      <c r="AA137" s="192"/>
      <c r="AB137" s="194"/>
      <c r="AC137" s="192"/>
      <c r="AD137" s="205">
        <f t="shared" si="3"/>
        <v>0</v>
      </c>
      <c r="AE137" s="157"/>
    </row>
    <row r="138" spans="1:31">
      <c r="A138" s="71">
        <v>136</v>
      </c>
      <c r="B138" s="38" t="s">
        <v>544</v>
      </c>
      <c r="C138" s="157" t="s">
        <v>329</v>
      </c>
      <c r="D138" s="157" t="s">
        <v>40</v>
      </c>
      <c r="E138" s="195"/>
      <c r="F138" s="163" t="s">
        <v>331</v>
      </c>
      <c r="G138" s="196" t="s">
        <v>36</v>
      </c>
      <c r="H138" s="196" t="s">
        <v>36</v>
      </c>
      <c r="I138" s="196" t="s">
        <v>36</v>
      </c>
      <c r="J138" s="196" t="s">
        <v>36</v>
      </c>
      <c r="K138" s="196" t="s">
        <v>36</v>
      </c>
      <c r="L138" s="196" t="s">
        <v>36</v>
      </c>
      <c r="M138" s="196" t="s">
        <v>36</v>
      </c>
      <c r="N138" s="196" t="s">
        <v>36</v>
      </c>
      <c r="O138" s="196" t="s">
        <v>36</v>
      </c>
      <c r="P138" s="196"/>
      <c r="Q138" s="196"/>
      <c r="R138" s="196"/>
      <c r="S138" s="196"/>
      <c r="T138" s="194" t="s">
        <v>36</v>
      </c>
      <c r="U138" s="196"/>
      <c r="V138" s="196"/>
      <c r="W138" s="196"/>
      <c r="X138" s="196"/>
      <c r="Y138" s="196" t="s">
        <v>36</v>
      </c>
      <c r="Z138" s="196"/>
      <c r="AA138" s="196" t="s">
        <v>36</v>
      </c>
      <c r="AB138" s="194" t="s">
        <v>36</v>
      </c>
      <c r="AC138" s="196"/>
      <c r="AD138" s="195">
        <f t="shared" si="3"/>
        <v>13</v>
      </c>
      <c r="AE138" s="157"/>
    </row>
    <row r="139" spans="1:31">
      <c r="A139" s="71">
        <v>137</v>
      </c>
      <c r="B139" s="38" t="s">
        <v>544</v>
      </c>
      <c r="C139" s="157" t="s">
        <v>332</v>
      </c>
      <c r="D139" s="157" t="s">
        <v>34</v>
      </c>
      <c r="E139" s="195"/>
      <c r="F139" s="163" t="s">
        <v>331</v>
      </c>
      <c r="G139" s="196"/>
      <c r="H139" s="196"/>
      <c r="I139" s="196"/>
      <c r="J139" s="196"/>
      <c r="K139" s="196"/>
      <c r="L139" s="196"/>
      <c r="M139" s="196" t="s">
        <v>36</v>
      </c>
      <c r="N139" s="196"/>
      <c r="O139" s="196" t="s">
        <v>36</v>
      </c>
      <c r="P139" s="196"/>
      <c r="Q139" s="196"/>
      <c r="R139" s="196"/>
      <c r="S139" s="196"/>
      <c r="T139" s="194" t="s">
        <v>36</v>
      </c>
      <c r="U139" s="196"/>
      <c r="V139" s="196"/>
      <c r="W139" s="196"/>
      <c r="X139" s="196"/>
      <c r="Y139" s="196"/>
      <c r="Z139" s="196"/>
      <c r="AA139" s="196" t="s">
        <v>36</v>
      </c>
      <c r="AB139" s="194"/>
      <c r="AC139" s="196"/>
      <c r="AD139" s="195">
        <f t="shared" si="3"/>
        <v>4</v>
      </c>
      <c r="AE139" s="157"/>
    </row>
    <row r="140" spans="1:31">
      <c r="A140" s="71">
        <v>138</v>
      </c>
      <c r="B140" s="38" t="s">
        <v>544</v>
      </c>
      <c r="C140" s="157" t="s">
        <v>338</v>
      </c>
      <c r="D140" s="157" t="s">
        <v>34</v>
      </c>
      <c r="E140" s="195"/>
      <c r="F140" s="163" t="s">
        <v>331</v>
      </c>
      <c r="G140" s="196" t="s">
        <v>36</v>
      </c>
      <c r="H140" s="196" t="s">
        <v>36</v>
      </c>
      <c r="I140" s="196" t="s">
        <v>36</v>
      </c>
      <c r="J140" s="196" t="s">
        <v>36</v>
      </c>
      <c r="K140" s="196" t="s">
        <v>36</v>
      </c>
      <c r="L140" s="196" t="s">
        <v>36</v>
      </c>
      <c r="M140" s="196" t="s">
        <v>36</v>
      </c>
      <c r="N140" s="196" t="s">
        <v>36</v>
      </c>
      <c r="O140" s="196" t="s">
        <v>36</v>
      </c>
      <c r="P140" s="196"/>
      <c r="Q140" s="196"/>
      <c r="R140" s="196"/>
      <c r="S140" s="196"/>
      <c r="T140" s="194" t="s">
        <v>36</v>
      </c>
      <c r="U140" s="196"/>
      <c r="V140" s="196"/>
      <c r="W140" s="196"/>
      <c r="X140" s="196"/>
      <c r="Y140" s="196" t="s">
        <v>36</v>
      </c>
      <c r="Z140" s="196"/>
      <c r="AA140" s="196" t="s">
        <v>36</v>
      </c>
      <c r="AB140" s="194" t="s">
        <v>36</v>
      </c>
      <c r="AC140" s="196"/>
      <c r="AD140" s="195">
        <f t="shared" si="3"/>
        <v>13</v>
      </c>
      <c r="AE140" s="157"/>
    </row>
    <row r="141" spans="1:31">
      <c r="A141" s="71">
        <v>139</v>
      </c>
      <c r="B141" s="38" t="s">
        <v>544</v>
      </c>
      <c r="C141" s="157" t="s">
        <v>342</v>
      </c>
      <c r="D141" s="157" t="s">
        <v>40</v>
      </c>
      <c r="E141" s="195"/>
      <c r="F141" s="163" t="s">
        <v>331</v>
      </c>
      <c r="G141" s="196"/>
      <c r="H141" s="196"/>
      <c r="I141" s="196"/>
      <c r="J141" s="196" t="s">
        <v>36</v>
      </c>
      <c r="K141" s="196"/>
      <c r="L141" s="196" t="s">
        <v>36</v>
      </c>
      <c r="M141" s="196" t="s">
        <v>36</v>
      </c>
      <c r="N141" s="196"/>
      <c r="O141" s="196"/>
      <c r="P141" s="196"/>
      <c r="Q141" s="196"/>
      <c r="R141" s="196"/>
      <c r="S141" s="196"/>
      <c r="T141" s="194" t="s">
        <v>36</v>
      </c>
      <c r="U141" s="196"/>
      <c r="V141" s="196"/>
      <c r="W141" s="196"/>
      <c r="X141" s="196"/>
      <c r="Y141" s="196"/>
      <c r="Z141" s="196"/>
      <c r="AA141" s="196"/>
      <c r="AB141" s="194"/>
      <c r="AC141" s="196"/>
      <c r="AD141" s="195">
        <f t="shared" si="3"/>
        <v>4</v>
      </c>
      <c r="AE141" s="157"/>
    </row>
    <row r="142" spans="1:31">
      <c r="A142" s="71">
        <v>140</v>
      </c>
      <c r="B142" s="38" t="s">
        <v>544</v>
      </c>
      <c r="C142" s="157" t="s">
        <v>344</v>
      </c>
      <c r="D142" s="157" t="s">
        <v>40</v>
      </c>
      <c r="E142" s="195"/>
      <c r="F142" s="163" t="s">
        <v>331</v>
      </c>
      <c r="G142" s="196" t="s">
        <v>36</v>
      </c>
      <c r="H142" s="196" t="s">
        <v>36</v>
      </c>
      <c r="I142" s="196" t="s">
        <v>36</v>
      </c>
      <c r="J142" s="196" t="s">
        <v>36</v>
      </c>
      <c r="K142" s="196" t="s">
        <v>36</v>
      </c>
      <c r="L142" s="196" t="s">
        <v>36</v>
      </c>
      <c r="M142" s="196" t="s">
        <v>36</v>
      </c>
      <c r="N142" s="196" t="s">
        <v>36</v>
      </c>
      <c r="O142" s="196" t="s">
        <v>36</v>
      </c>
      <c r="P142" s="196"/>
      <c r="Q142" s="196" t="s">
        <v>36</v>
      </c>
      <c r="R142" s="196" t="s">
        <v>36</v>
      </c>
      <c r="S142" s="196" t="s">
        <v>36</v>
      </c>
      <c r="T142" s="194" t="s">
        <v>36</v>
      </c>
      <c r="U142" s="196"/>
      <c r="V142" s="196"/>
      <c r="W142" s="196"/>
      <c r="X142" s="196"/>
      <c r="Y142" s="196" t="s">
        <v>36</v>
      </c>
      <c r="Z142" s="196"/>
      <c r="AA142" s="196" t="s">
        <v>36</v>
      </c>
      <c r="AB142" s="194" t="s">
        <v>36</v>
      </c>
      <c r="AC142" s="196"/>
      <c r="AD142" s="195">
        <f t="shared" si="3"/>
        <v>16</v>
      </c>
      <c r="AE142" s="157"/>
    </row>
    <row r="143" spans="1:31">
      <c r="A143" s="70">
        <v>141</v>
      </c>
      <c r="B143" s="40" t="s">
        <v>544</v>
      </c>
      <c r="C143" s="202" t="s">
        <v>592</v>
      </c>
      <c r="D143" s="202"/>
      <c r="E143" s="203"/>
      <c r="F143" s="193" t="s">
        <v>331</v>
      </c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4"/>
      <c r="U143" s="192"/>
      <c r="V143" s="192"/>
      <c r="W143" s="192"/>
      <c r="X143" s="192"/>
      <c r="Y143" s="192"/>
      <c r="Z143" s="192"/>
      <c r="AA143" s="192"/>
      <c r="AB143" s="194"/>
      <c r="AC143" s="192"/>
      <c r="AD143" s="195">
        <f t="shared" si="3"/>
        <v>0</v>
      </c>
      <c r="AE143" s="157"/>
    </row>
    <row r="144" spans="1:31">
      <c r="A144" s="71">
        <v>142</v>
      </c>
      <c r="B144" s="38" t="s">
        <v>544</v>
      </c>
      <c r="C144" s="157" t="s">
        <v>351</v>
      </c>
      <c r="D144" s="157" t="s">
        <v>34</v>
      </c>
      <c r="E144" s="195"/>
      <c r="F144" s="163" t="s">
        <v>331</v>
      </c>
      <c r="G144" s="196"/>
      <c r="H144" s="196"/>
      <c r="I144" s="196"/>
      <c r="J144" s="196"/>
      <c r="K144" s="196"/>
      <c r="L144" s="196"/>
      <c r="M144" s="196" t="s">
        <v>36</v>
      </c>
      <c r="N144" s="196"/>
      <c r="O144" s="196"/>
      <c r="P144" s="196"/>
      <c r="Q144" s="196"/>
      <c r="R144" s="196"/>
      <c r="S144" s="196"/>
      <c r="T144" s="194" t="s">
        <v>36</v>
      </c>
      <c r="U144" s="196"/>
      <c r="V144" s="196"/>
      <c r="W144" s="196"/>
      <c r="X144" s="196"/>
      <c r="Y144" s="196"/>
      <c r="Z144" s="196"/>
      <c r="AA144" s="196"/>
      <c r="AB144" s="194"/>
      <c r="AC144" s="196"/>
      <c r="AD144" s="195">
        <f t="shared" si="3"/>
        <v>2</v>
      </c>
      <c r="AE144" s="157"/>
    </row>
    <row r="145" spans="1:31">
      <c r="A145" s="71">
        <v>143</v>
      </c>
      <c r="B145" s="38" t="s">
        <v>544</v>
      </c>
      <c r="C145" s="157" t="s">
        <v>353</v>
      </c>
      <c r="D145" s="157" t="s">
        <v>34</v>
      </c>
      <c r="E145" s="195"/>
      <c r="F145" s="163" t="s">
        <v>331</v>
      </c>
      <c r="G145" s="196"/>
      <c r="H145" s="196"/>
      <c r="I145" s="196"/>
      <c r="J145" s="196"/>
      <c r="K145" s="196"/>
      <c r="L145" s="196" t="s">
        <v>36</v>
      </c>
      <c r="M145" s="196" t="s">
        <v>36</v>
      </c>
      <c r="N145" s="196"/>
      <c r="O145" s="196"/>
      <c r="P145" s="196"/>
      <c r="Q145" s="196"/>
      <c r="R145" s="196"/>
      <c r="S145" s="196"/>
      <c r="T145" s="194" t="s">
        <v>36</v>
      </c>
      <c r="U145" s="196"/>
      <c r="V145" s="196"/>
      <c r="W145" s="196"/>
      <c r="X145" s="196"/>
      <c r="Y145" s="196"/>
      <c r="Z145" s="196"/>
      <c r="AA145" s="196"/>
      <c r="AB145" s="194" t="s">
        <v>36</v>
      </c>
      <c r="AC145" s="196"/>
      <c r="AD145" s="195">
        <f t="shared" si="3"/>
        <v>4</v>
      </c>
      <c r="AE145" s="157"/>
    </row>
    <row r="146" spans="1:31">
      <c r="A146" s="71">
        <v>144</v>
      </c>
      <c r="B146" s="38" t="s">
        <v>544</v>
      </c>
      <c r="C146" s="157" t="s">
        <v>357</v>
      </c>
      <c r="D146" s="157" t="s">
        <v>43</v>
      </c>
      <c r="E146" s="195"/>
      <c r="F146" s="163" t="s">
        <v>331</v>
      </c>
      <c r="G146" s="196"/>
      <c r="H146" s="196"/>
      <c r="I146" s="196"/>
      <c r="J146" s="196"/>
      <c r="K146" s="196"/>
      <c r="L146" s="196"/>
      <c r="M146" s="196" t="s">
        <v>36</v>
      </c>
      <c r="N146" s="196"/>
      <c r="O146" s="196"/>
      <c r="P146" s="196"/>
      <c r="Q146" s="196"/>
      <c r="R146" s="196"/>
      <c r="S146" s="196"/>
      <c r="T146" s="194" t="s">
        <v>36</v>
      </c>
      <c r="U146" s="196"/>
      <c r="V146" s="196"/>
      <c r="W146" s="196"/>
      <c r="X146" s="196"/>
      <c r="Y146" s="196"/>
      <c r="Z146" s="196"/>
      <c r="AA146" s="196"/>
      <c r="AB146" s="194"/>
      <c r="AC146" s="196"/>
      <c r="AD146" s="195">
        <f t="shared" si="3"/>
        <v>2</v>
      </c>
      <c r="AE146" s="157"/>
    </row>
    <row r="147" spans="1:31">
      <c r="A147" s="71">
        <v>145</v>
      </c>
      <c r="B147" s="38" t="s">
        <v>544</v>
      </c>
      <c r="C147" s="157" t="s">
        <v>360</v>
      </c>
      <c r="D147" s="197" t="s">
        <v>40</v>
      </c>
      <c r="E147" s="196"/>
      <c r="F147" s="163" t="s">
        <v>362</v>
      </c>
      <c r="G147" s="196" t="s">
        <v>36</v>
      </c>
      <c r="H147" s="196" t="s">
        <v>36</v>
      </c>
      <c r="I147" s="196"/>
      <c r="J147" s="196"/>
      <c r="K147" s="196"/>
      <c r="L147" s="196"/>
      <c r="M147" s="196" t="s">
        <v>36</v>
      </c>
      <c r="N147" s="196" t="s">
        <v>36</v>
      </c>
      <c r="O147" s="196" t="s">
        <v>36</v>
      </c>
      <c r="P147" s="196"/>
      <c r="Q147" s="196"/>
      <c r="R147" s="196"/>
      <c r="S147" s="196" t="s">
        <v>36</v>
      </c>
      <c r="T147" s="194" t="s">
        <v>36</v>
      </c>
      <c r="U147" s="196"/>
      <c r="V147" s="196"/>
      <c r="W147" s="196"/>
      <c r="X147" s="196"/>
      <c r="Y147" s="196"/>
      <c r="Z147" s="196"/>
      <c r="AA147" s="196" t="s">
        <v>36</v>
      </c>
      <c r="AB147" s="194" t="s">
        <v>36</v>
      </c>
      <c r="AC147" s="196"/>
      <c r="AD147" s="198">
        <f t="shared" si="3"/>
        <v>9</v>
      </c>
      <c r="AE147" s="157"/>
    </row>
    <row r="148" spans="1:31">
      <c r="A148" s="71">
        <v>146</v>
      </c>
      <c r="B148" s="38" t="s">
        <v>544</v>
      </c>
      <c r="C148" s="157" t="s">
        <v>363</v>
      </c>
      <c r="D148" s="197" t="s">
        <v>40</v>
      </c>
      <c r="E148" s="196"/>
      <c r="F148" s="163" t="s">
        <v>362</v>
      </c>
      <c r="G148" s="196" t="s">
        <v>36</v>
      </c>
      <c r="H148" s="196" t="s">
        <v>36</v>
      </c>
      <c r="I148" s="196"/>
      <c r="J148" s="196"/>
      <c r="K148" s="196" t="s">
        <v>36</v>
      </c>
      <c r="L148" s="196" t="s">
        <v>36</v>
      </c>
      <c r="M148" s="196" t="s">
        <v>36</v>
      </c>
      <c r="N148" s="196" t="s">
        <v>36</v>
      </c>
      <c r="O148" s="196" t="s">
        <v>36</v>
      </c>
      <c r="P148" s="196"/>
      <c r="Q148" s="196" t="s">
        <v>36</v>
      </c>
      <c r="R148" s="196" t="s">
        <v>36</v>
      </c>
      <c r="S148" s="196" t="s">
        <v>36</v>
      </c>
      <c r="T148" s="194" t="s">
        <v>36</v>
      </c>
      <c r="U148" s="196"/>
      <c r="V148" s="196"/>
      <c r="W148" s="196"/>
      <c r="X148" s="196"/>
      <c r="Y148" s="196" t="s">
        <v>36</v>
      </c>
      <c r="Z148" s="196"/>
      <c r="AA148" s="196" t="s">
        <v>36</v>
      </c>
      <c r="AB148" s="194" t="s">
        <v>36</v>
      </c>
      <c r="AC148" s="196"/>
      <c r="AD148" s="198">
        <f t="shared" si="3"/>
        <v>14</v>
      </c>
      <c r="AE148" s="157"/>
    </row>
    <row r="149" spans="1:31">
      <c r="A149" s="71">
        <v>147</v>
      </c>
      <c r="B149" s="38" t="s">
        <v>544</v>
      </c>
      <c r="C149" s="157" t="s">
        <v>365</v>
      </c>
      <c r="D149" s="197" t="s">
        <v>40</v>
      </c>
      <c r="E149" s="196"/>
      <c r="F149" s="163" t="s">
        <v>362</v>
      </c>
      <c r="G149" s="196" t="s">
        <v>36</v>
      </c>
      <c r="H149" s="196" t="s">
        <v>36</v>
      </c>
      <c r="I149" s="196"/>
      <c r="J149" s="196"/>
      <c r="K149" s="196"/>
      <c r="L149" s="196"/>
      <c r="M149" s="196" t="s">
        <v>36</v>
      </c>
      <c r="N149" s="196" t="s">
        <v>36</v>
      </c>
      <c r="O149" s="196" t="s">
        <v>36</v>
      </c>
      <c r="P149" s="196"/>
      <c r="Q149" s="196"/>
      <c r="R149" s="196"/>
      <c r="S149" s="196" t="s">
        <v>36</v>
      </c>
      <c r="T149" s="194" t="s">
        <v>36</v>
      </c>
      <c r="U149" s="196"/>
      <c r="V149" s="196"/>
      <c r="W149" s="196"/>
      <c r="X149" s="196"/>
      <c r="Y149" s="196"/>
      <c r="Z149" s="196"/>
      <c r="AA149" s="196" t="s">
        <v>36</v>
      </c>
      <c r="AB149" s="194" t="s">
        <v>36</v>
      </c>
      <c r="AC149" s="196"/>
      <c r="AD149" s="198">
        <f t="shared" si="3"/>
        <v>9</v>
      </c>
      <c r="AE149" s="157"/>
    </row>
    <row r="150" spans="1:31">
      <c r="A150" s="71">
        <v>148</v>
      </c>
      <c r="B150" s="38" t="s">
        <v>544</v>
      </c>
      <c r="C150" s="157" t="s">
        <v>367</v>
      </c>
      <c r="D150" s="157" t="s">
        <v>34</v>
      </c>
      <c r="E150" s="195"/>
      <c r="F150" s="163" t="s">
        <v>362</v>
      </c>
      <c r="G150" s="196" t="s">
        <v>36</v>
      </c>
      <c r="H150" s="196" t="s">
        <v>36</v>
      </c>
      <c r="I150" s="196" t="s">
        <v>36</v>
      </c>
      <c r="J150" s="196" t="s">
        <v>36</v>
      </c>
      <c r="K150" s="196" t="s">
        <v>36</v>
      </c>
      <c r="L150" s="196" t="s">
        <v>36</v>
      </c>
      <c r="M150" s="196" t="s">
        <v>36</v>
      </c>
      <c r="N150" s="196" t="s">
        <v>36</v>
      </c>
      <c r="O150" s="196" t="s">
        <v>36</v>
      </c>
      <c r="P150" s="196"/>
      <c r="Q150" s="196" t="s">
        <v>36</v>
      </c>
      <c r="R150" s="196" t="s">
        <v>36</v>
      </c>
      <c r="S150" s="196" t="s">
        <v>36</v>
      </c>
      <c r="T150" s="194" t="s">
        <v>36</v>
      </c>
      <c r="U150" s="196" t="s">
        <v>36</v>
      </c>
      <c r="V150" s="196"/>
      <c r="W150" s="196"/>
      <c r="X150" s="196"/>
      <c r="Y150" s="196" t="s">
        <v>36</v>
      </c>
      <c r="Z150" s="196" t="s">
        <v>36</v>
      </c>
      <c r="AA150" s="196" t="s">
        <v>36</v>
      </c>
      <c r="AB150" s="194" t="s">
        <v>36</v>
      </c>
      <c r="AC150" s="196"/>
      <c r="AD150" s="198">
        <f t="shared" si="3"/>
        <v>18</v>
      </c>
      <c r="AE150" s="157"/>
    </row>
    <row r="151" spans="1:31">
      <c r="A151" s="71">
        <v>149</v>
      </c>
      <c r="B151" s="38" t="s">
        <v>544</v>
      </c>
      <c r="C151" s="157" t="s">
        <v>371</v>
      </c>
      <c r="D151" s="157" t="s">
        <v>34</v>
      </c>
      <c r="E151" s="195"/>
      <c r="F151" s="163" t="s">
        <v>362</v>
      </c>
      <c r="G151" s="196" t="s">
        <v>36</v>
      </c>
      <c r="H151" s="196" t="s">
        <v>36</v>
      </c>
      <c r="I151" s="196"/>
      <c r="J151" s="196" t="s">
        <v>36</v>
      </c>
      <c r="K151" s="196" t="s">
        <v>36</v>
      </c>
      <c r="L151" s="196" t="s">
        <v>36</v>
      </c>
      <c r="M151" s="196" t="s">
        <v>36</v>
      </c>
      <c r="N151" s="196" t="s">
        <v>36</v>
      </c>
      <c r="O151" s="196" t="s">
        <v>36</v>
      </c>
      <c r="P151" s="196"/>
      <c r="Q151" s="196" t="s">
        <v>36</v>
      </c>
      <c r="R151" s="196" t="s">
        <v>36</v>
      </c>
      <c r="S151" s="196" t="s">
        <v>36</v>
      </c>
      <c r="T151" s="194" t="s">
        <v>36</v>
      </c>
      <c r="U151" s="196"/>
      <c r="V151" s="196"/>
      <c r="W151" s="196"/>
      <c r="X151" s="196"/>
      <c r="Y151" s="196" t="s">
        <v>36</v>
      </c>
      <c r="Z151" s="196" t="s">
        <v>36</v>
      </c>
      <c r="AA151" s="196" t="s">
        <v>36</v>
      </c>
      <c r="AB151" s="194" t="s">
        <v>36</v>
      </c>
      <c r="AC151" s="196"/>
      <c r="AD151" s="198">
        <f t="shared" si="3"/>
        <v>16</v>
      </c>
      <c r="AE151" s="157"/>
    </row>
    <row r="152" spans="1:31">
      <c r="A152" s="71">
        <v>150</v>
      </c>
      <c r="B152" s="38" t="s">
        <v>544</v>
      </c>
      <c r="C152" s="157" t="s">
        <v>373</v>
      </c>
      <c r="D152" s="157" t="s">
        <v>51</v>
      </c>
      <c r="E152" s="195"/>
      <c r="F152" s="163" t="s">
        <v>362</v>
      </c>
      <c r="G152" s="196" t="s">
        <v>36</v>
      </c>
      <c r="H152" s="196" t="s">
        <v>36</v>
      </c>
      <c r="I152" s="196"/>
      <c r="J152" s="196"/>
      <c r="K152" s="196" t="s">
        <v>36</v>
      </c>
      <c r="L152" s="196" t="s">
        <v>36</v>
      </c>
      <c r="M152" s="196" t="s">
        <v>36</v>
      </c>
      <c r="N152" s="196" t="s">
        <v>36</v>
      </c>
      <c r="O152" s="196" t="s">
        <v>36</v>
      </c>
      <c r="P152" s="196"/>
      <c r="Q152" s="196" t="s">
        <v>36</v>
      </c>
      <c r="R152" s="196" t="s">
        <v>36</v>
      </c>
      <c r="S152" s="196" t="s">
        <v>36</v>
      </c>
      <c r="T152" s="194" t="s">
        <v>36</v>
      </c>
      <c r="U152" s="196" t="s">
        <v>36</v>
      </c>
      <c r="V152" s="196"/>
      <c r="W152" s="196"/>
      <c r="X152" s="196"/>
      <c r="Y152" s="196" t="s">
        <v>36</v>
      </c>
      <c r="Z152" s="196" t="s">
        <v>36</v>
      </c>
      <c r="AA152" s="196" t="s">
        <v>36</v>
      </c>
      <c r="AB152" s="194" t="s">
        <v>36</v>
      </c>
      <c r="AC152" s="196"/>
      <c r="AD152" s="198">
        <f t="shared" si="3"/>
        <v>16</v>
      </c>
      <c r="AE152" s="157"/>
    </row>
    <row r="153" spans="1:31">
      <c r="A153" s="71">
        <v>151</v>
      </c>
      <c r="B153" s="38" t="s">
        <v>544</v>
      </c>
      <c r="C153" s="157" t="s">
        <v>375</v>
      </c>
      <c r="D153" s="157" t="s">
        <v>34</v>
      </c>
      <c r="E153" s="195"/>
      <c r="F153" s="163" t="s">
        <v>362</v>
      </c>
      <c r="G153" s="196" t="s">
        <v>36</v>
      </c>
      <c r="H153" s="196" t="s">
        <v>36</v>
      </c>
      <c r="I153" s="196"/>
      <c r="J153" s="196"/>
      <c r="K153" s="196" t="s">
        <v>36</v>
      </c>
      <c r="L153" s="196" t="s">
        <v>36</v>
      </c>
      <c r="M153" s="196" t="s">
        <v>36</v>
      </c>
      <c r="N153" s="196" t="s">
        <v>36</v>
      </c>
      <c r="O153" s="196" t="s">
        <v>36</v>
      </c>
      <c r="P153" s="196"/>
      <c r="Q153" s="196" t="s">
        <v>36</v>
      </c>
      <c r="R153" s="196" t="s">
        <v>36</v>
      </c>
      <c r="S153" s="196" t="s">
        <v>36</v>
      </c>
      <c r="T153" s="194" t="s">
        <v>36</v>
      </c>
      <c r="U153" s="196"/>
      <c r="V153" s="196"/>
      <c r="W153" s="196"/>
      <c r="X153" s="196"/>
      <c r="Y153" s="196"/>
      <c r="Z153" s="196"/>
      <c r="AA153" s="196" t="s">
        <v>36</v>
      </c>
      <c r="AB153" s="194" t="s">
        <v>36</v>
      </c>
      <c r="AC153" s="196"/>
      <c r="AD153" s="198">
        <f t="shared" si="3"/>
        <v>13</v>
      </c>
      <c r="AE153" s="157"/>
    </row>
    <row r="154" spans="1:31">
      <c r="A154" s="70">
        <v>152</v>
      </c>
      <c r="B154" s="40"/>
      <c r="C154" s="202" t="s">
        <v>593</v>
      </c>
      <c r="D154" s="202"/>
      <c r="E154" s="203"/>
      <c r="F154" s="193" t="s">
        <v>362</v>
      </c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4"/>
      <c r="U154" s="192"/>
      <c r="V154" s="192"/>
      <c r="W154" s="192"/>
      <c r="X154" s="192"/>
      <c r="Y154" s="192"/>
      <c r="Z154" s="192"/>
      <c r="AA154" s="192"/>
      <c r="AB154" s="194"/>
      <c r="AC154" s="192"/>
      <c r="AD154" s="198">
        <f t="shared" si="3"/>
        <v>0</v>
      </c>
      <c r="AE154" s="157"/>
    </row>
    <row r="155" spans="1:31">
      <c r="A155" s="71">
        <v>153</v>
      </c>
      <c r="B155" s="38" t="s">
        <v>544</v>
      </c>
      <c r="C155" s="157" t="s">
        <v>377</v>
      </c>
      <c r="D155" s="197" t="s">
        <v>40</v>
      </c>
      <c r="E155" s="196"/>
      <c r="F155" s="163" t="s">
        <v>362</v>
      </c>
      <c r="G155" s="196" t="s">
        <v>36</v>
      </c>
      <c r="H155" s="196"/>
      <c r="I155" s="196" t="s">
        <v>36</v>
      </c>
      <c r="J155" s="196" t="s">
        <v>36</v>
      </c>
      <c r="K155" s="196" t="s">
        <v>36</v>
      </c>
      <c r="L155" s="196" t="s">
        <v>36</v>
      </c>
      <c r="M155" s="196" t="s">
        <v>36</v>
      </c>
      <c r="N155" s="196"/>
      <c r="O155" s="196" t="s">
        <v>36</v>
      </c>
      <c r="P155" s="196"/>
      <c r="Q155" s="196"/>
      <c r="R155" s="196" t="s">
        <v>36</v>
      </c>
      <c r="S155" s="196" t="s">
        <v>36</v>
      </c>
      <c r="T155" s="194" t="s">
        <v>36</v>
      </c>
      <c r="U155" s="196"/>
      <c r="V155" s="196"/>
      <c r="W155" s="196"/>
      <c r="X155" s="196"/>
      <c r="Y155" s="196"/>
      <c r="Z155" s="196"/>
      <c r="AA155" s="196" t="s">
        <v>36</v>
      </c>
      <c r="AB155" s="194" t="s">
        <v>36</v>
      </c>
      <c r="AC155" s="196"/>
      <c r="AD155" s="198">
        <f t="shared" si="3"/>
        <v>12</v>
      </c>
      <c r="AE155" s="157"/>
    </row>
    <row r="156" spans="1:31">
      <c r="A156" s="71">
        <v>154</v>
      </c>
      <c r="B156" s="38" t="s">
        <v>544</v>
      </c>
      <c r="C156" s="157" t="s">
        <v>381</v>
      </c>
      <c r="D156" s="197" t="s">
        <v>40</v>
      </c>
      <c r="E156" s="196"/>
      <c r="F156" s="163" t="s">
        <v>362</v>
      </c>
      <c r="G156" s="196" t="s">
        <v>36</v>
      </c>
      <c r="H156" s="196" t="s">
        <v>36</v>
      </c>
      <c r="I156" s="196" t="s">
        <v>36</v>
      </c>
      <c r="J156" s="196" t="s">
        <v>36</v>
      </c>
      <c r="K156" s="196" t="s">
        <v>36</v>
      </c>
      <c r="L156" s="196" t="s">
        <v>36</v>
      </c>
      <c r="M156" s="196" t="s">
        <v>36</v>
      </c>
      <c r="N156" s="196" t="s">
        <v>36</v>
      </c>
      <c r="O156" s="196" t="s">
        <v>36</v>
      </c>
      <c r="P156" s="196"/>
      <c r="Q156" s="196" t="s">
        <v>36</v>
      </c>
      <c r="R156" s="196" t="s">
        <v>36</v>
      </c>
      <c r="S156" s="196" t="s">
        <v>36</v>
      </c>
      <c r="T156" s="194" t="s">
        <v>36</v>
      </c>
      <c r="U156" s="196"/>
      <c r="V156" s="196"/>
      <c r="W156" s="196"/>
      <c r="X156" s="196" t="s">
        <v>36</v>
      </c>
      <c r="Y156" s="196" t="s">
        <v>36</v>
      </c>
      <c r="Z156" s="196" t="s">
        <v>36</v>
      </c>
      <c r="AA156" s="196" t="s">
        <v>36</v>
      </c>
      <c r="AB156" s="194" t="s">
        <v>36</v>
      </c>
      <c r="AC156" s="196"/>
      <c r="AD156" s="198">
        <f t="shared" si="3"/>
        <v>18</v>
      </c>
      <c r="AE156" s="74" t="s">
        <v>554</v>
      </c>
    </row>
    <row r="157" spans="1:31">
      <c r="A157" s="71">
        <v>155</v>
      </c>
      <c r="B157" s="38"/>
      <c r="C157" s="157" t="s">
        <v>369</v>
      </c>
      <c r="D157" s="157" t="s">
        <v>51</v>
      </c>
      <c r="E157" s="195"/>
      <c r="F157" s="163" t="s">
        <v>362</v>
      </c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4" t="s">
        <v>36</v>
      </c>
      <c r="U157" s="196"/>
      <c r="V157" s="196"/>
      <c r="W157" s="196"/>
      <c r="X157" s="196"/>
      <c r="Y157" s="196"/>
      <c r="Z157" s="196"/>
      <c r="AA157" s="196"/>
      <c r="AB157" s="194"/>
      <c r="AC157" s="196"/>
      <c r="AD157" s="198">
        <f t="shared" si="3"/>
        <v>1</v>
      </c>
      <c r="AE157" s="157"/>
    </row>
    <row r="158" spans="1:31">
      <c r="A158" s="70">
        <v>156</v>
      </c>
      <c r="B158" s="40" t="s">
        <v>544</v>
      </c>
      <c r="C158" s="202" t="s">
        <v>594</v>
      </c>
      <c r="D158" s="202"/>
      <c r="E158" s="203"/>
      <c r="F158" s="193" t="s">
        <v>362</v>
      </c>
      <c r="G158" s="192"/>
      <c r="H158" s="192" t="s">
        <v>36</v>
      </c>
      <c r="I158" s="192" t="s">
        <v>36</v>
      </c>
      <c r="J158" s="192" t="s">
        <v>36</v>
      </c>
      <c r="K158" s="192"/>
      <c r="L158" s="192"/>
      <c r="M158" s="192" t="s">
        <v>36</v>
      </c>
      <c r="N158" s="192"/>
      <c r="O158" s="192"/>
      <c r="P158" s="192"/>
      <c r="Q158" s="192"/>
      <c r="R158" s="192"/>
      <c r="S158" s="192"/>
      <c r="T158" s="194"/>
      <c r="U158" s="192"/>
      <c r="V158" s="192"/>
      <c r="W158" s="192"/>
      <c r="X158" s="192"/>
      <c r="Y158" s="192"/>
      <c r="Z158" s="192"/>
      <c r="AA158" s="192"/>
      <c r="AB158" s="194"/>
      <c r="AC158" s="192"/>
      <c r="AD158" s="198">
        <f t="shared" si="3"/>
        <v>4</v>
      </c>
      <c r="AE158" s="157"/>
    </row>
    <row r="159" spans="1:31">
      <c r="A159" s="71">
        <v>157</v>
      </c>
      <c r="B159" s="38" t="s">
        <v>544</v>
      </c>
      <c r="C159" s="157" t="s">
        <v>384</v>
      </c>
      <c r="D159" s="197" t="s">
        <v>40</v>
      </c>
      <c r="E159" s="196"/>
      <c r="F159" s="163" t="s">
        <v>362</v>
      </c>
      <c r="G159" s="196"/>
      <c r="H159" s="196"/>
      <c r="I159" s="196"/>
      <c r="J159" s="196"/>
      <c r="K159" s="196"/>
      <c r="L159" s="196"/>
      <c r="M159" s="196" t="s">
        <v>36</v>
      </c>
      <c r="N159" s="196"/>
      <c r="O159" s="196"/>
      <c r="P159" s="196"/>
      <c r="Q159" s="196"/>
      <c r="R159" s="196"/>
      <c r="S159" s="196" t="s">
        <v>36</v>
      </c>
      <c r="T159" s="194"/>
      <c r="U159" s="196"/>
      <c r="V159" s="196"/>
      <c r="W159" s="196"/>
      <c r="X159" s="196"/>
      <c r="Y159" s="196"/>
      <c r="Z159" s="196"/>
      <c r="AA159" s="196"/>
      <c r="AB159" s="194"/>
      <c r="AC159" s="196"/>
      <c r="AD159" s="198">
        <f t="shared" si="3"/>
        <v>2</v>
      </c>
      <c r="AE159" s="157"/>
    </row>
    <row r="160" spans="1:31">
      <c r="A160" s="70">
        <v>158</v>
      </c>
      <c r="B160" s="40" t="s">
        <v>544</v>
      </c>
      <c r="C160" s="202" t="s">
        <v>595</v>
      </c>
      <c r="D160" s="202"/>
      <c r="E160" s="203"/>
      <c r="F160" s="193" t="s">
        <v>388</v>
      </c>
      <c r="G160" s="192"/>
      <c r="H160" s="192"/>
      <c r="I160" s="192"/>
      <c r="J160" s="192"/>
      <c r="K160" s="192"/>
      <c r="L160" s="192"/>
      <c r="M160" s="192" t="s">
        <v>36</v>
      </c>
      <c r="N160" s="192"/>
      <c r="O160" s="192"/>
      <c r="P160" s="192"/>
      <c r="Q160" s="192"/>
      <c r="R160" s="192"/>
      <c r="S160" s="192"/>
      <c r="T160" s="194" t="s">
        <v>36</v>
      </c>
      <c r="U160" s="192"/>
      <c r="V160" s="192"/>
      <c r="W160" s="192"/>
      <c r="X160" s="192"/>
      <c r="Y160" s="192"/>
      <c r="Z160" s="192"/>
      <c r="AA160" s="192"/>
      <c r="AB160" s="194" t="s">
        <v>36</v>
      </c>
      <c r="AC160" s="192"/>
      <c r="AD160" s="195">
        <f t="shared" si="3"/>
        <v>3</v>
      </c>
      <c r="AE160" s="157"/>
    </row>
    <row r="161" spans="1:31">
      <c r="A161" s="71">
        <v>159</v>
      </c>
      <c r="B161" s="38" t="s">
        <v>544</v>
      </c>
      <c r="C161" s="157" t="s">
        <v>386</v>
      </c>
      <c r="D161" s="197" t="s">
        <v>40</v>
      </c>
      <c r="E161" s="196"/>
      <c r="F161" s="163" t="s">
        <v>388</v>
      </c>
      <c r="G161" s="196"/>
      <c r="H161" s="196"/>
      <c r="I161" s="196"/>
      <c r="J161" s="196" t="s">
        <v>36</v>
      </c>
      <c r="K161" s="196"/>
      <c r="L161" s="196"/>
      <c r="M161" s="196" t="s">
        <v>36</v>
      </c>
      <c r="N161" s="196" t="s">
        <v>36</v>
      </c>
      <c r="O161" s="196"/>
      <c r="P161" s="196"/>
      <c r="Q161" s="196" t="s">
        <v>36</v>
      </c>
      <c r="R161" s="196" t="s">
        <v>36</v>
      </c>
      <c r="S161" s="196" t="s">
        <v>36</v>
      </c>
      <c r="T161" s="194"/>
      <c r="U161" s="196"/>
      <c r="V161" s="196"/>
      <c r="W161" s="196"/>
      <c r="X161" s="196"/>
      <c r="Y161" s="196" t="s">
        <v>36</v>
      </c>
      <c r="Z161" s="196"/>
      <c r="AA161" s="196"/>
      <c r="AB161" s="194"/>
      <c r="AC161" s="196"/>
      <c r="AD161" s="195">
        <f t="shared" si="3"/>
        <v>7</v>
      </c>
      <c r="AE161" s="157"/>
    </row>
    <row r="162" spans="1:31">
      <c r="A162" s="78">
        <v>160</v>
      </c>
      <c r="B162" s="79" t="s">
        <v>544</v>
      </c>
      <c r="C162" s="206" t="s">
        <v>389</v>
      </c>
      <c r="D162" s="206"/>
      <c r="E162" s="207"/>
      <c r="F162" s="208" t="s">
        <v>388</v>
      </c>
      <c r="G162" s="209" t="s">
        <v>36</v>
      </c>
      <c r="H162" s="209" t="s">
        <v>36</v>
      </c>
      <c r="I162" s="209" t="s">
        <v>36</v>
      </c>
      <c r="J162" s="209" t="s">
        <v>36</v>
      </c>
      <c r="K162" s="209" t="s">
        <v>36</v>
      </c>
      <c r="L162" s="209" t="s">
        <v>36</v>
      </c>
      <c r="M162" s="209" t="s">
        <v>36</v>
      </c>
      <c r="N162" s="209" t="s">
        <v>36</v>
      </c>
      <c r="O162" s="209" t="s">
        <v>36</v>
      </c>
      <c r="P162" s="209"/>
      <c r="Q162" s="209" t="s">
        <v>36</v>
      </c>
      <c r="R162" s="209" t="s">
        <v>36</v>
      </c>
      <c r="S162" s="209" t="s">
        <v>36</v>
      </c>
      <c r="T162" s="194" t="s">
        <v>36</v>
      </c>
      <c r="U162" s="209"/>
      <c r="V162" s="209"/>
      <c r="W162" s="209" t="s">
        <v>36</v>
      </c>
      <c r="X162" s="209"/>
      <c r="Y162" s="209" t="s">
        <v>36</v>
      </c>
      <c r="Z162" s="209"/>
      <c r="AA162" s="209" t="s">
        <v>36</v>
      </c>
      <c r="AB162" s="194" t="s">
        <v>36</v>
      </c>
      <c r="AC162" s="209"/>
      <c r="AD162" s="195">
        <f t="shared" si="3"/>
        <v>17</v>
      </c>
      <c r="AE162" s="80" t="s">
        <v>575</v>
      </c>
    </row>
    <row r="163" spans="1:31">
      <c r="A163" s="71">
        <v>161</v>
      </c>
      <c r="B163" s="38" t="s">
        <v>544</v>
      </c>
      <c r="C163" s="157" t="s">
        <v>403</v>
      </c>
      <c r="D163" s="157" t="s">
        <v>43</v>
      </c>
      <c r="E163" s="195"/>
      <c r="F163" s="163" t="s">
        <v>388</v>
      </c>
      <c r="G163" s="196" t="s">
        <v>36</v>
      </c>
      <c r="H163" s="196" t="s">
        <v>36</v>
      </c>
      <c r="I163" s="196"/>
      <c r="J163" s="196"/>
      <c r="K163" s="196" t="s">
        <v>36</v>
      </c>
      <c r="L163" s="196" t="s">
        <v>36</v>
      </c>
      <c r="M163" s="196" t="s">
        <v>36</v>
      </c>
      <c r="N163" s="196" t="s">
        <v>36</v>
      </c>
      <c r="O163" s="196" t="s">
        <v>36</v>
      </c>
      <c r="P163" s="196"/>
      <c r="Q163" s="196"/>
      <c r="R163" s="196"/>
      <c r="S163" s="196"/>
      <c r="T163" s="194" t="s">
        <v>36</v>
      </c>
      <c r="U163" s="196"/>
      <c r="V163" s="196"/>
      <c r="W163" s="196"/>
      <c r="X163" s="196"/>
      <c r="Y163" s="196" t="s">
        <v>36</v>
      </c>
      <c r="Z163" s="196"/>
      <c r="AA163" s="196" t="s">
        <v>36</v>
      </c>
      <c r="AB163" s="194" t="s">
        <v>36</v>
      </c>
      <c r="AC163" s="196"/>
      <c r="AD163" s="195">
        <f t="shared" si="3"/>
        <v>11</v>
      </c>
      <c r="AE163" s="157"/>
    </row>
    <row r="164" spans="1:31" ht="15" customHeight="1">
      <c r="A164" s="71">
        <v>162</v>
      </c>
      <c r="B164" s="38" t="s">
        <v>544</v>
      </c>
      <c r="C164" s="157" t="s">
        <v>405</v>
      </c>
      <c r="D164" s="157" t="s">
        <v>51</v>
      </c>
      <c r="E164" s="195"/>
      <c r="F164" s="184" t="s">
        <v>407</v>
      </c>
      <c r="G164" s="196" t="s">
        <v>36</v>
      </c>
      <c r="H164" s="196"/>
      <c r="I164" s="196"/>
      <c r="J164" s="196"/>
      <c r="K164" s="196"/>
      <c r="L164" s="196"/>
      <c r="M164" s="196" t="s">
        <v>36</v>
      </c>
      <c r="N164" s="196" t="s">
        <v>36</v>
      </c>
      <c r="O164" s="196"/>
      <c r="P164" s="196"/>
      <c r="Q164" s="196"/>
      <c r="R164" s="196"/>
      <c r="S164" s="196"/>
      <c r="T164" s="194" t="s">
        <v>36</v>
      </c>
      <c r="U164" s="196"/>
      <c r="V164" s="196"/>
      <c r="W164" s="196"/>
      <c r="X164" s="196"/>
      <c r="Y164" s="196"/>
      <c r="Z164" s="196"/>
      <c r="AA164" s="196"/>
      <c r="AB164" s="194" t="s">
        <v>36</v>
      </c>
      <c r="AC164" s="196"/>
      <c r="AD164" s="198">
        <f t="shared" si="3"/>
        <v>5</v>
      </c>
      <c r="AE164" s="157"/>
    </row>
    <row r="165" spans="1:31">
      <c r="A165" s="71">
        <v>163</v>
      </c>
      <c r="B165" s="38" t="s">
        <v>544</v>
      </c>
      <c r="C165" s="157" t="s">
        <v>408</v>
      </c>
      <c r="D165" s="157" t="s">
        <v>34</v>
      </c>
      <c r="E165" s="195"/>
      <c r="F165" s="184" t="s">
        <v>407</v>
      </c>
      <c r="G165" s="196" t="s">
        <v>36</v>
      </c>
      <c r="H165" s="196"/>
      <c r="I165" s="196"/>
      <c r="J165" s="196"/>
      <c r="K165" s="196"/>
      <c r="L165" s="196"/>
      <c r="M165" s="196" t="s">
        <v>36</v>
      </c>
      <c r="N165" s="196" t="s">
        <v>36</v>
      </c>
      <c r="O165" s="196"/>
      <c r="P165" s="196"/>
      <c r="Q165" s="196"/>
      <c r="R165" s="196"/>
      <c r="S165" s="196"/>
      <c r="T165" s="194" t="s">
        <v>36</v>
      </c>
      <c r="U165" s="196"/>
      <c r="V165" s="196"/>
      <c r="W165" s="196"/>
      <c r="X165" s="196"/>
      <c r="Y165" s="196"/>
      <c r="Z165" s="196"/>
      <c r="AA165" s="196"/>
      <c r="AB165" s="194" t="s">
        <v>36</v>
      </c>
      <c r="AC165" s="196"/>
      <c r="AD165" s="198">
        <f t="shared" si="3"/>
        <v>5</v>
      </c>
      <c r="AE165" s="157"/>
    </row>
    <row r="166" spans="1:31">
      <c r="A166" s="71">
        <v>164</v>
      </c>
      <c r="B166" s="38" t="s">
        <v>544</v>
      </c>
      <c r="C166" s="157" t="s">
        <v>412</v>
      </c>
      <c r="D166" s="157" t="s">
        <v>34</v>
      </c>
      <c r="E166" s="195"/>
      <c r="F166" s="184" t="s">
        <v>407</v>
      </c>
      <c r="G166" s="196" t="s">
        <v>36</v>
      </c>
      <c r="H166" s="196"/>
      <c r="I166" s="196"/>
      <c r="J166" s="196"/>
      <c r="K166" s="196"/>
      <c r="L166" s="196"/>
      <c r="M166" s="196" t="s">
        <v>36</v>
      </c>
      <c r="N166" s="196" t="s">
        <v>36</v>
      </c>
      <c r="O166" s="196"/>
      <c r="P166" s="196"/>
      <c r="Q166" s="196"/>
      <c r="R166" s="196"/>
      <c r="S166" s="196"/>
      <c r="T166" s="194" t="s">
        <v>36</v>
      </c>
      <c r="U166" s="196"/>
      <c r="V166" s="196"/>
      <c r="W166" s="196"/>
      <c r="X166" s="196"/>
      <c r="Y166" s="196"/>
      <c r="Z166" s="196"/>
      <c r="AA166" s="196"/>
      <c r="AB166" s="194" t="s">
        <v>36</v>
      </c>
      <c r="AC166" s="196"/>
      <c r="AD166" s="198">
        <f t="shared" si="3"/>
        <v>5</v>
      </c>
      <c r="AE166" s="157"/>
    </row>
    <row r="167" spans="1:31">
      <c r="A167" s="71">
        <v>165</v>
      </c>
      <c r="B167" s="38" t="s">
        <v>544</v>
      </c>
      <c r="C167" s="88" t="s">
        <v>416</v>
      </c>
      <c r="D167" s="88" t="s">
        <v>40</v>
      </c>
      <c r="E167" s="195"/>
      <c r="F167" s="184" t="s">
        <v>418</v>
      </c>
      <c r="G167" s="196"/>
      <c r="H167" s="196"/>
      <c r="I167" s="196"/>
      <c r="J167" s="196"/>
      <c r="K167" s="196"/>
      <c r="L167" s="196"/>
      <c r="M167" s="196" t="s">
        <v>36</v>
      </c>
      <c r="N167" s="196"/>
      <c r="O167" s="196"/>
      <c r="P167" s="196"/>
      <c r="Q167" s="196"/>
      <c r="R167" s="196"/>
      <c r="S167" s="196"/>
      <c r="T167" s="194"/>
      <c r="U167" s="196"/>
      <c r="V167" s="196"/>
      <c r="W167" s="196"/>
      <c r="X167" s="196"/>
      <c r="Y167" s="196"/>
      <c r="Z167" s="196"/>
      <c r="AA167" s="196"/>
      <c r="AB167" s="194"/>
      <c r="AC167" s="196"/>
      <c r="AD167" s="195">
        <f t="shared" si="3"/>
        <v>1</v>
      </c>
      <c r="AE167" s="88" t="s">
        <v>37</v>
      </c>
    </row>
    <row r="168" spans="1:31">
      <c r="A168" s="71">
        <v>166</v>
      </c>
      <c r="B168" s="38" t="s">
        <v>544</v>
      </c>
      <c r="C168" s="88" t="s">
        <v>419</v>
      </c>
      <c r="D168" s="88" t="s">
        <v>40</v>
      </c>
      <c r="E168" s="195"/>
      <c r="F168" s="184" t="s">
        <v>418</v>
      </c>
      <c r="G168" s="196"/>
      <c r="H168" s="196"/>
      <c r="I168" s="196"/>
      <c r="J168" s="196"/>
      <c r="K168" s="196"/>
      <c r="L168" s="196"/>
      <c r="M168" s="196" t="s">
        <v>36</v>
      </c>
      <c r="N168" s="196"/>
      <c r="O168" s="196"/>
      <c r="P168" s="196"/>
      <c r="Q168" s="196"/>
      <c r="R168" s="196"/>
      <c r="S168" s="196"/>
      <c r="T168" s="194"/>
      <c r="U168" s="196"/>
      <c r="V168" s="196"/>
      <c r="W168" s="196"/>
      <c r="X168" s="196"/>
      <c r="Y168" s="196"/>
      <c r="Z168" s="196"/>
      <c r="AA168" s="196"/>
      <c r="AB168" s="194"/>
      <c r="AC168" s="196"/>
      <c r="AD168" s="195">
        <f t="shared" si="3"/>
        <v>1</v>
      </c>
      <c r="AE168" s="88" t="s">
        <v>37</v>
      </c>
    </row>
    <row r="169" spans="1:31">
      <c r="A169" s="70">
        <v>167</v>
      </c>
      <c r="B169" s="40"/>
      <c r="C169" s="202" t="s">
        <v>596</v>
      </c>
      <c r="D169" s="202"/>
      <c r="E169" s="203"/>
      <c r="F169" s="204" t="s">
        <v>418</v>
      </c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4"/>
      <c r="U169" s="192"/>
      <c r="V169" s="192"/>
      <c r="W169" s="192"/>
      <c r="X169" s="192"/>
      <c r="Y169" s="192"/>
      <c r="Z169" s="192"/>
      <c r="AA169" s="192"/>
      <c r="AB169" s="194"/>
      <c r="AC169" s="192"/>
      <c r="AD169" s="195">
        <f t="shared" si="3"/>
        <v>0</v>
      </c>
      <c r="AE169" s="157"/>
    </row>
    <row r="170" spans="1:31">
      <c r="A170" s="70">
        <v>168</v>
      </c>
      <c r="B170" s="40" t="s">
        <v>544</v>
      </c>
      <c r="C170" s="202" t="s">
        <v>597</v>
      </c>
      <c r="D170" s="202"/>
      <c r="E170" s="203"/>
      <c r="F170" s="204" t="s">
        <v>418</v>
      </c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4"/>
      <c r="U170" s="192"/>
      <c r="V170" s="192"/>
      <c r="W170" s="192"/>
      <c r="X170" s="192"/>
      <c r="Y170" s="192"/>
      <c r="Z170" s="192"/>
      <c r="AA170" s="192"/>
      <c r="AB170" s="194"/>
      <c r="AC170" s="192"/>
      <c r="AD170" s="195">
        <f t="shared" si="3"/>
        <v>0</v>
      </c>
      <c r="AE170" s="157"/>
    </row>
    <row r="171" spans="1:31">
      <c r="A171" s="71">
        <v>169</v>
      </c>
      <c r="B171" s="38"/>
      <c r="C171" s="157" t="s">
        <v>423</v>
      </c>
      <c r="D171" s="157"/>
      <c r="E171" s="195"/>
      <c r="F171" s="184" t="s">
        <v>418</v>
      </c>
      <c r="G171" s="196"/>
      <c r="H171" s="196"/>
      <c r="I171" s="196"/>
      <c r="J171" s="196"/>
      <c r="K171" s="196"/>
      <c r="L171" s="196"/>
      <c r="M171" s="196" t="s">
        <v>36</v>
      </c>
      <c r="N171" s="196" t="s">
        <v>36</v>
      </c>
      <c r="O171" s="196"/>
      <c r="P171" s="196"/>
      <c r="Q171" s="196"/>
      <c r="R171" s="196"/>
      <c r="S171" s="196"/>
      <c r="T171" s="194"/>
      <c r="U171" s="196"/>
      <c r="V171" s="196"/>
      <c r="W171" s="196"/>
      <c r="X171" s="196"/>
      <c r="Y171" s="196"/>
      <c r="Z171" s="196"/>
      <c r="AA171" s="196"/>
      <c r="AB171" s="194"/>
      <c r="AC171" s="196"/>
      <c r="AD171" s="195">
        <f t="shared" si="3"/>
        <v>2</v>
      </c>
      <c r="AE171" s="157"/>
    </row>
    <row r="172" spans="1:31">
      <c r="A172" s="70">
        <v>170</v>
      </c>
      <c r="B172" s="40" t="s">
        <v>544</v>
      </c>
      <c r="C172" s="202" t="s">
        <v>598</v>
      </c>
      <c r="D172" s="202"/>
      <c r="E172" s="203"/>
      <c r="F172" s="204" t="s">
        <v>418</v>
      </c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4"/>
      <c r="U172" s="192"/>
      <c r="V172" s="192"/>
      <c r="W172" s="192"/>
      <c r="X172" s="192"/>
      <c r="Y172" s="192"/>
      <c r="Z172" s="192"/>
      <c r="AA172" s="192"/>
      <c r="AB172" s="194"/>
      <c r="AC172" s="192"/>
      <c r="AD172" s="195">
        <f t="shared" si="3"/>
        <v>0</v>
      </c>
      <c r="AE172" s="157"/>
    </row>
    <row r="173" spans="1:31">
      <c r="A173" s="70">
        <v>171</v>
      </c>
      <c r="B173" s="40"/>
      <c r="C173" s="202" t="s">
        <v>599</v>
      </c>
      <c r="D173" s="202"/>
      <c r="E173" s="203"/>
      <c r="F173" s="204" t="s">
        <v>418</v>
      </c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4"/>
      <c r="U173" s="192"/>
      <c r="V173" s="192"/>
      <c r="W173" s="192"/>
      <c r="X173" s="192"/>
      <c r="Y173" s="192"/>
      <c r="Z173" s="192"/>
      <c r="AA173" s="192"/>
      <c r="AB173" s="194"/>
      <c r="AC173" s="192"/>
      <c r="AD173" s="195">
        <f t="shared" si="3"/>
        <v>0</v>
      </c>
      <c r="AE173" s="157"/>
    </row>
    <row r="174" spans="1:31">
      <c r="A174" s="71">
        <v>172</v>
      </c>
      <c r="B174" s="38"/>
      <c r="C174" s="88" t="s">
        <v>425</v>
      </c>
      <c r="D174" s="88" t="s">
        <v>43</v>
      </c>
      <c r="E174" s="195"/>
      <c r="F174" s="184" t="s">
        <v>418</v>
      </c>
      <c r="G174" s="196"/>
      <c r="H174" s="196"/>
      <c r="I174" s="196"/>
      <c r="J174" s="196"/>
      <c r="K174" s="196"/>
      <c r="L174" s="196"/>
      <c r="M174" s="196" t="s">
        <v>36</v>
      </c>
      <c r="N174" s="196" t="s">
        <v>36</v>
      </c>
      <c r="O174" s="196"/>
      <c r="P174" s="196"/>
      <c r="Q174" s="196"/>
      <c r="R174" s="196"/>
      <c r="S174" s="196"/>
      <c r="T174" s="194"/>
      <c r="U174" s="196"/>
      <c r="V174" s="196"/>
      <c r="W174" s="196"/>
      <c r="X174" s="196"/>
      <c r="Y174" s="196"/>
      <c r="Z174" s="196"/>
      <c r="AA174" s="196"/>
      <c r="AB174" s="194"/>
      <c r="AC174" s="196"/>
      <c r="AD174" s="195">
        <f t="shared" si="3"/>
        <v>2</v>
      </c>
      <c r="AE174" s="88" t="s">
        <v>37</v>
      </c>
    </row>
    <row r="175" spans="1:31">
      <c r="A175" s="71">
        <v>173</v>
      </c>
      <c r="B175" s="38" t="s">
        <v>544</v>
      </c>
      <c r="C175" s="157" t="s">
        <v>427</v>
      </c>
      <c r="D175" s="157" t="s">
        <v>34</v>
      </c>
      <c r="E175" s="195"/>
      <c r="F175" s="184" t="s">
        <v>418</v>
      </c>
      <c r="G175" s="196"/>
      <c r="H175" s="196"/>
      <c r="I175" s="196" t="s">
        <v>36</v>
      </c>
      <c r="J175" s="196" t="s">
        <v>36</v>
      </c>
      <c r="K175" s="196" t="s">
        <v>36</v>
      </c>
      <c r="L175" s="196" t="s">
        <v>36</v>
      </c>
      <c r="M175" s="196" t="s">
        <v>36</v>
      </c>
      <c r="N175" s="196"/>
      <c r="O175" s="196"/>
      <c r="P175" s="196" t="s">
        <v>36</v>
      </c>
      <c r="Q175" s="196" t="s">
        <v>36</v>
      </c>
      <c r="R175" s="196" t="s">
        <v>36</v>
      </c>
      <c r="S175" s="196" t="s">
        <v>36</v>
      </c>
      <c r="T175" s="194" t="s">
        <v>36</v>
      </c>
      <c r="U175" s="196"/>
      <c r="V175" s="196"/>
      <c r="W175" s="196"/>
      <c r="X175" s="196"/>
      <c r="Y175" s="196"/>
      <c r="Z175" s="196"/>
      <c r="AA175" s="196" t="s">
        <v>36</v>
      </c>
      <c r="AB175" s="194" t="s">
        <v>36</v>
      </c>
      <c r="AC175" s="196"/>
      <c r="AD175" s="195">
        <f t="shared" si="3"/>
        <v>12</v>
      </c>
      <c r="AE175" s="157"/>
    </row>
    <row r="176" spans="1:31">
      <c r="A176" s="71">
        <v>174</v>
      </c>
      <c r="B176" s="38" t="s">
        <v>544</v>
      </c>
      <c r="C176" s="88" t="s">
        <v>429</v>
      </c>
      <c r="D176" s="88" t="s">
        <v>51</v>
      </c>
      <c r="E176" s="195"/>
      <c r="F176" s="163" t="s">
        <v>431</v>
      </c>
      <c r="G176" s="196"/>
      <c r="H176" s="196"/>
      <c r="I176" s="196"/>
      <c r="J176" s="196"/>
      <c r="K176" s="196"/>
      <c r="L176" s="196"/>
      <c r="M176" s="196" t="s">
        <v>36</v>
      </c>
      <c r="N176" s="196" t="s">
        <v>36</v>
      </c>
      <c r="O176" s="196"/>
      <c r="P176" s="196"/>
      <c r="Q176" s="196"/>
      <c r="R176" s="196"/>
      <c r="S176" s="196"/>
      <c r="T176" s="194"/>
      <c r="U176" s="196"/>
      <c r="V176" s="196"/>
      <c r="W176" s="196"/>
      <c r="X176" s="196"/>
      <c r="Y176" s="196"/>
      <c r="Z176" s="196"/>
      <c r="AA176" s="196"/>
      <c r="AB176" s="194"/>
      <c r="AC176" s="196"/>
      <c r="AD176" s="198">
        <f t="shared" si="3"/>
        <v>2</v>
      </c>
      <c r="AE176" s="88" t="s">
        <v>37</v>
      </c>
    </row>
    <row r="177" spans="1:31">
      <c r="A177" s="70">
        <v>175</v>
      </c>
      <c r="B177" s="40" t="s">
        <v>544</v>
      </c>
      <c r="C177" s="202" t="s">
        <v>600</v>
      </c>
      <c r="D177" s="202"/>
      <c r="E177" s="203"/>
      <c r="F177" s="193" t="s">
        <v>431</v>
      </c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4"/>
      <c r="U177" s="192"/>
      <c r="V177" s="192"/>
      <c r="W177" s="192"/>
      <c r="X177" s="192"/>
      <c r="Y177" s="192"/>
      <c r="Z177" s="192"/>
      <c r="AA177" s="192"/>
      <c r="AB177" s="194"/>
      <c r="AC177" s="192"/>
      <c r="AD177" s="198">
        <f t="shared" si="3"/>
        <v>0</v>
      </c>
      <c r="AE177" s="157"/>
    </row>
    <row r="178" spans="1:31">
      <c r="A178" s="71">
        <v>176</v>
      </c>
      <c r="B178" s="38" t="s">
        <v>544</v>
      </c>
      <c r="C178" s="157" t="s">
        <v>432</v>
      </c>
      <c r="D178" s="157" t="s">
        <v>34</v>
      </c>
      <c r="E178" s="195"/>
      <c r="F178" s="163" t="s">
        <v>431</v>
      </c>
      <c r="G178" s="196"/>
      <c r="H178" s="196"/>
      <c r="I178" s="196"/>
      <c r="J178" s="196"/>
      <c r="K178" s="196"/>
      <c r="L178" s="196"/>
      <c r="M178" s="196" t="s">
        <v>36</v>
      </c>
      <c r="N178" s="196" t="s">
        <v>36</v>
      </c>
      <c r="O178" s="196"/>
      <c r="P178" s="196"/>
      <c r="Q178" s="196"/>
      <c r="R178" s="196"/>
      <c r="S178" s="196"/>
      <c r="T178" s="194"/>
      <c r="U178" s="196"/>
      <c r="V178" s="196"/>
      <c r="W178" s="196"/>
      <c r="X178" s="196"/>
      <c r="Y178" s="196"/>
      <c r="Z178" s="196"/>
      <c r="AA178" s="196"/>
      <c r="AB178" s="194"/>
      <c r="AC178" s="196"/>
      <c r="AD178" s="198">
        <f t="shared" si="3"/>
        <v>2</v>
      </c>
      <c r="AE178" s="157"/>
    </row>
    <row r="179" spans="1:31">
      <c r="A179" s="71">
        <v>177</v>
      </c>
      <c r="B179" s="38" t="s">
        <v>544</v>
      </c>
      <c r="C179" s="157" t="s">
        <v>601</v>
      </c>
      <c r="D179" s="157" t="s">
        <v>43</v>
      </c>
      <c r="E179" s="195"/>
      <c r="F179" s="163" t="s">
        <v>431</v>
      </c>
      <c r="G179" s="196" t="s">
        <v>36</v>
      </c>
      <c r="H179" s="196"/>
      <c r="I179" s="196"/>
      <c r="J179" s="196"/>
      <c r="K179" s="196"/>
      <c r="L179" s="196"/>
      <c r="M179" s="196" t="s">
        <v>36</v>
      </c>
      <c r="N179" s="196" t="s">
        <v>36</v>
      </c>
      <c r="O179" s="196"/>
      <c r="P179" s="196"/>
      <c r="Q179" s="196"/>
      <c r="R179" s="196"/>
      <c r="S179" s="196" t="s">
        <v>36</v>
      </c>
      <c r="T179" s="194" t="s">
        <v>36</v>
      </c>
      <c r="U179" s="196"/>
      <c r="V179" s="196"/>
      <c r="W179" s="196"/>
      <c r="X179" s="196"/>
      <c r="Y179" s="196"/>
      <c r="Z179" s="196"/>
      <c r="AA179" s="196"/>
      <c r="AB179" s="194" t="s">
        <v>36</v>
      </c>
      <c r="AC179" s="196"/>
      <c r="AD179" s="198">
        <f t="shared" si="3"/>
        <v>6</v>
      </c>
      <c r="AE179" s="157"/>
    </row>
    <row r="180" spans="1:31">
      <c r="A180" s="71">
        <v>178</v>
      </c>
      <c r="B180" s="38" t="s">
        <v>544</v>
      </c>
      <c r="C180" s="157" t="s">
        <v>602</v>
      </c>
      <c r="D180" s="157" t="s">
        <v>43</v>
      </c>
      <c r="E180" s="195"/>
      <c r="F180" s="163" t="s">
        <v>431</v>
      </c>
      <c r="G180" s="196" t="s">
        <v>36</v>
      </c>
      <c r="H180" s="196" t="s">
        <v>36</v>
      </c>
      <c r="I180" s="196" t="s">
        <v>36</v>
      </c>
      <c r="J180" s="196" t="s">
        <v>36</v>
      </c>
      <c r="K180" s="196" t="s">
        <v>36</v>
      </c>
      <c r="L180" s="196" t="s">
        <v>36</v>
      </c>
      <c r="M180" s="196" t="s">
        <v>36</v>
      </c>
      <c r="N180" s="196" t="s">
        <v>36</v>
      </c>
      <c r="O180" s="196" t="s">
        <v>36</v>
      </c>
      <c r="P180" s="196"/>
      <c r="Q180" s="196" t="s">
        <v>36</v>
      </c>
      <c r="R180" s="196" t="s">
        <v>36</v>
      </c>
      <c r="S180" s="196" t="s">
        <v>36</v>
      </c>
      <c r="T180" s="194" t="s">
        <v>36</v>
      </c>
      <c r="U180" s="196"/>
      <c r="V180" s="196"/>
      <c r="W180" s="196"/>
      <c r="X180" s="196"/>
      <c r="Y180" s="196" t="s">
        <v>36</v>
      </c>
      <c r="Z180" s="196"/>
      <c r="AA180" s="196" t="s">
        <v>36</v>
      </c>
      <c r="AB180" s="194" t="s">
        <v>36</v>
      </c>
      <c r="AC180" s="196"/>
      <c r="AD180" s="198">
        <f t="shared" si="3"/>
        <v>16</v>
      </c>
      <c r="AE180" s="157"/>
    </row>
    <row r="181" spans="1:31">
      <c r="A181" s="71">
        <v>179</v>
      </c>
      <c r="B181" s="38" t="s">
        <v>544</v>
      </c>
      <c r="C181" s="157" t="s">
        <v>438</v>
      </c>
      <c r="D181" s="157" t="s">
        <v>43</v>
      </c>
      <c r="E181" s="195"/>
      <c r="F181" s="163" t="s">
        <v>431</v>
      </c>
      <c r="G181" s="196"/>
      <c r="H181" s="196"/>
      <c r="I181" s="196"/>
      <c r="J181" s="196"/>
      <c r="K181" s="196" t="s">
        <v>36</v>
      </c>
      <c r="L181" s="196" t="s">
        <v>36</v>
      </c>
      <c r="M181" s="196" t="s">
        <v>36</v>
      </c>
      <c r="N181" s="196" t="s">
        <v>36</v>
      </c>
      <c r="O181" s="196"/>
      <c r="P181" s="196"/>
      <c r="Q181" s="196"/>
      <c r="R181" s="196"/>
      <c r="S181" s="196"/>
      <c r="T181" s="194" t="s">
        <v>36</v>
      </c>
      <c r="U181" s="196"/>
      <c r="V181" s="196"/>
      <c r="W181" s="196"/>
      <c r="X181" s="196"/>
      <c r="Y181" s="196"/>
      <c r="Z181" s="196"/>
      <c r="AA181" s="196"/>
      <c r="AB181" s="194" t="s">
        <v>36</v>
      </c>
      <c r="AC181" s="196"/>
      <c r="AD181" s="198">
        <f t="shared" si="3"/>
        <v>6</v>
      </c>
      <c r="AE181" s="157"/>
    </row>
    <row r="182" spans="1:31">
      <c r="A182" s="71">
        <v>180</v>
      </c>
      <c r="B182" s="38" t="s">
        <v>544</v>
      </c>
      <c r="C182" s="88" t="s">
        <v>440</v>
      </c>
      <c r="D182" s="88" t="s">
        <v>34</v>
      </c>
      <c r="E182" s="195"/>
      <c r="F182" s="163" t="s">
        <v>431</v>
      </c>
      <c r="G182" s="196"/>
      <c r="H182" s="196"/>
      <c r="I182" s="196"/>
      <c r="J182" s="196"/>
      <c r="K182" s="196"/>
      <c r="L182" s="196"/>
      <c r="M182" s="196" t="s">
        <v>36</v>
      </c>
      <c r="N182" s="196"/>
      <c r="O182" s="196"/>
      <c r="P182" s="196"/>
      <c r="Q182" s="196"/>
      <c r="R182" s="196"/>
      <c r="S182" s="196"/>
      <c r="T182" s="194"/>
      <c r="U182" s="196"/>
      <c r="V182" s="196"/>
      <c r="W182" s="196"/>
      <c r="X182" s="196"/>
      <c r="Y182" s="196"/>
      <c r="Z182" s="196"/>
      <c r="AA182" s="196"/>
      <c r="AB182" s="194"/>
      <c r="AC182" s="196"/>
      <c r="AD182" s="198">
        <f t="shared" si="3"/>
        <v>1</v>
      </c>
      <c r="AE182" s="88" t="s">
        <v>37</v>
      </c>
    </row>
    <row r="183" spans="1:31">
      <c r="A183" s="71">
        <v>181</v>
      </c>
      <c r="B183" s="38" t="s">
        <v>544</v>
      </c>
      <c r="C183" s="88" t="s">
        <v>442</v>
      </c>
      <c r="D183" s="88" t="s">
        <v>34</v>
      </c>
      <c r="E183" s="195">
        <v>3</v>
      </c>
      <c r="F183" s="163" t="s">
        <v>431</v>
      </c>
      <c r="G183" s="196"/>
      <c r="H183" s="196"/>
      <c r="I183" s="196"/>
      <c r="J183" s="196"/>
      <c r="K183" s="196"/>
      <c r="L183" s="196"/>
      <c r="M183" s="196" t="s">
        <v>36</v>
      </c>
      <c r="N183" s="196" t="s">
        <v>36</v>
      </c>
      <c r="O183" s="196"/>
      <c r="P183" s="196"/>
      <c r="Q183" s="196"/>
      <c r="R183" s="196"/>
      <c r="S183" s="196"/>
      <c r="T183" s="194" t="s">
        <v>36</v>
      </c>
      <c r="U183" s="196"/>
      <c r="V183" s="196"/>
      <c r="W183" s="196"/>
      <c r="X183" s="196"/>
      <c r="Y183" s="196"/>
      <c r="Z183" s="196"/>
      <c r="AA183" s="196"/>
      <c r="AB183" s="194"/>
      <c r="AC183" s="196"/>
      <c r="AD183" s="198">
        <f t="shared" si="3"/>
        <v>3</v>
      </c>
      <c r="AE183" s="88" t="s">
        <v>37</v>
      </c>
    </row>
    <row r="184" spans="1:31">
      <c r="A184" s="71">
        <v>182</v>
      </c>
      <c r="B184" s="38" t="s">
        <v>544</v>
      </c>
      <c r="C184" s="88" t="s">
        <v>444</v>
      </c>
      <c r="D184" s="88" t="s">
        <v>51</v>
      </c>
      <c r="E184" s="195"/>
      <c r="F184" s="163" t="s">
        <v>431</v>
      </c>
      <c r="G184" s="196"/>
      <c r="H184" s="196"/>
      <c r="I184" s="196"/>
      <c r="J184" s="196"/>
      <c r="K184" s="196"/>
      <c r="L184" s="196"/>
      <c r="M184" s="196" t="s">
        <v>36</v>
      </c>
      <c r="N184" s="196"/>
      <c r="O184" s="196"/>
      <c r="P184" s="196"/>
      <c r="Q184" s="196"/>
      <c r="R184" s="196"/>
      <c r="S184" s="196"/>
      <c r="T184" s="194"/>
      <c r="U184" s="196"/>
      <c r="V184" s="196"/>
      <c r="W184" s="196"/>
      <c r="X184" s="196"/>
      <c r="Y184" s="196"/>
      <c r="Z184" s="196"/>
      <c r="AA184" s="196"/>
      <c r="AB184" s="194"/>
      <c r="AC184" s="196"/>
      <c r="AD184" s="198">
        <f t="shared" si="3"/>
        <v>1</v>
      </c>
      <c r="AE184" s="88" t="s">
        <v>37</v>
      </c>
    </row>
    <row r="185" spans="1:31">
      <c r="A185" s="71">
        <v>183</v>
      </c>
      <c r="B185" s="38" t="s">
        <v>544</v>
      </c>
      <c r="C185" s="88" t="s">
        <v>446</v>
      </c>
      <c r="D185" s="88" t="s">
        <v>34</v>
      </c>
      <c r="E185" s="195">
        <v>6</v>
      </c>
      <c r="F185" s="163" t="s">
        <v>431</v>
      </c>
      <c r="G185" s="196"/>
      <c r="H185" s="196"/>
      <c r="I185" s="196"/>
      <c r="J185" s="196"/>
      <c r="K185" s="196"/>
      <c r="L185" s="196"/>
      <c r="M185" s="196" t="s">
        <v>36</v>
      </c>
      <c r="N185" s="196" t="s">
        <v>36</v>
      </c>
      <c r="O185" s="196"/>
      <c r="P185" s="196"/>
      <c r="Q185" s="196"/>
      <c r="R185" s="196"/>
      <c r="S185" s="196"/>
      <c r="T185" s="194" t="s">
        <v>36</v>
      </c>
      <c r="U185" s="196"/>
      <c r="V185" s="196"/>
      <c r="W185" s="196"/>
      <c r="X185" s="196"/>
      <c r="Y185" s="196"/>
      <c r="Z185" s="196"/>
      <c r="AA185" s="196"/>
      <c r="AB185" s="194"/>
      <c r="AC185" s="196"/>
      <c r="AD185" s="198">
        <f t="shared" si="3"/>
        <v>3</v>
      </c>
      <c r="AE185" s="88" t="s">
        <v>37</v>
      </c>
    </row>
    <row r="186" spans="1:31">
      <c r="A186" s="71">
        <v>184</v>
      </c>
      <c r="B186" s="38" t="s">
        <v>544</v>
      </c>
      <c r="C186" s="157" t="s">
        <v>450</v>
      </c>
      <c r="D186" s="157" t="s">
        <v>34</v>
      </c>
      <c r="E186" s="195"/>
      <c r="F186" s="163" t="s">
        <v>431</v>
      </c>
      <c r="G186" s="196"/>
      <c r="H186" s="196"/>
      <c r="I186" s="196"/>
      <c r="J186" s="196"/>
      <c r="K186" s="196" t="s">
        <v>36</v>
      </c>
      <c r="L186" s="196" t="s">
        <v>36</v>
      </c>
      <c r="M186" s="196" t="s">
        <v>36</v>
      </c>
      <c r="N186" s="196" t="s">
        <v>36</v>
      </c>
      <c r="O186" s="196" t="s">
        <v>36</v>
      </c>
      <c r="P186" s="196"/>
      <c r="Q186" s="196"/>
      <c r="R186" s="196"/>
      <c r="S186" s="196"/>
      <c r="T186" s="194" t="s">
        <v>36</v>
      </c>
      <c r="U186" s="196"/>
      <c r="V186" s="196"/>
      <c r="W186" s="196"/>
      <c r="X186" s="196"/>
      <c r="Y186" s="196"/>
      <c r="Z186" s="196"/>
      <c r="AA186" s="196"/>
      <c r="AB186" s="194"/>
      <c r="AC186" s="196"/>
      <c r="AD186" s="198">
        <f t="shared" si="3"/>
        <v>6</v>
      </c>
      <c r="AE186" s="88" t="s">
        <v>37</v>
      </c>
    </row>
    <row r="187" spans="1:31">
      <c r="A187" s="70">
        <v>185</v>
      </c>
      <c r="B187" s="40" t="s">
        <v>544</v>
      </c>
      <c r="C187" s="202" t="s">
        <v>603</v>
      </c>
      <c r="D187" s="202"/>
      <c r="E187" s="203"/>
      <c r="F187" s="193" t="s">
        <v>431</v>
      </c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4"/>
      <c r="U187" s="192"/>
      <c r="V187" s="192"/>
      <c r="W187" s="192"/>
      <c r="X187" s="192"/>
      <c r="Y187" s="192"/>
      <c r="Z187" s="192"/>
      <c r="AA187" s="192"/>
      <c r="AB187" s="194"/>
      <c r="AC187" s="192"/>
      <c r="AD187" s="198">
        <f t="shared" si="3"/>
        <v>0</v>
      </c>
      <c r="AE187" s="157"/>
    </row>
    <row r="188" spans="1:31">
      <c r="A188" s="71">
        <v>186</v>
      </c>
      <c r="B188" s="38" t="s">
        <v>544</v>
      </c>
      <c r="C188" s="157" t="s">
        <v>452</v>
      </c>
      <c r="D188" s="157" t="s">
        <v>34</v>
      </c>
      <c r="E188" s="195"/>
      <c r="F188" s="163" t="s">
        <v>431</v>
      </c>
      <c r="G188" s="196"/>
      <c r="H188" s="196"/>
      <c r="I188" s="196"/>
      <c r="J188" s="196"/>
      <c r="K188" s="196"/>
      <c r="L188" s="196"/>
      <c r="M188" s="196" t="s">
        <v>36</v>
      </c>
      <c r="N188" s="196"/>
      <c r="O188" s="196"/>
      <c r="P188" s="196"/>
      <c r="Q188" s="196"/>
      <c r="R188" s="196"/>
      <c r="S188" s="196"/>
      <c r="T188" s="194" t="s">
        <v>36</v>
      </c>
      <c r="U188" s="196"/>
      <c r="V188" s="196"/>
      <c r="W188" s="196"/>
      <c r="X188" s="196"/>
      <c r="Y188" s="196"/>
      <c r="Z188" s="196"/>
      <c r="AA188" s="196"/>
      <c r="AB188" s="194"/>
      <c r="AC188" s="196"/>
      <c r="AD188" s="198">
        <f t="shared" si="3"/>
        <v>2</v>
      </c>
      <c r="AE188" s="157"/>
    </row>
    <row r="189" spans="1:31">
      <c r="A189" s="71">
        <v>187</v>
      </c>
      <c r="B189" s="38" t="s">
        <v>544</v>
      </c>
      <c r="C189" s="157" t="s">
        <v>454</v>
      </c>
      <c r="D189" s="157" t="s">
        <v>43</v>
      </c>
      <c r="E189" s="195"/>
      <c r="F189" s="163" t="s">
        <v>431</v>
      </c>
      <c r="G189" s="196"/>
      <c r="H189" s="196"/>
      <c r="I189" s="196"/>
      <c r="J189" s="196"/>
      <c r="K189" s="196"/>
      <c r="L189" s="196"/>
      <c r="M189" s="196" t="s">
        <v>36</v>
      </c>
      <c r="N189" s="196"/>
      <c r="O189" s="196"/>
      <c r="P189" s="196"/>
      <c r="Q189" s="196"/>
      <c r="R189" s="196"/>
      <c r="S189" s="196"/>
      <c r="T189" s="194"/>
      <c r="U189" s="196"/>
      <c r="V189" s="196"/>
      <c r="W189" s="196"/>
      <c r="X189" s="196"/>
      <c r="Y189" s="196"/>
      <c r="Z189" s="196"/>
      <c r="AA189" s="196"/>
      <c r="AB189" s="194"/>
      <c r="AC189" s="196"/>
      <c r="AD189" s="198">
        <f t="shared" si="3"/>
        <v>1</v>
      </c>
      <c r="AE189" s="157"/>
    </row>
    <row r="190" spans="1:31">
      <c r="A190" s="71">
        <v>188</v>
      </c>
      <c r="B190" s="38" t="s">
        <v>544</v>
      </c>
      <c r="C190" s="157" t="s">
        <v>458</v>
      </c>
      <c r="D190" s="157"/>
      <c r="E190" s="195"/>
      <c r="F190" s="163" t="s">
        <v>431</v>
      </c>
      <c r="G190" s="196"/>
      <c r="H190" s="196"/>
      <c r="I190" s="196"/>
      <c r="J190" s="196"/>
      <c r="K190" s="196"/>
      <c r="L190" s="196"/>
      <c r="M190" s="196" t="s">
        <v>36</v>
      </c>
      <c r="N190" s="196"/>
      <c r="O190" s="196"/>
      <c r="P190" s="196"/>
      <c r="Q190" s="196"/>
      <c r="R190" s="196"/>
      <c r="S190" s="196"/>
      <c r="T190" s="194" t="s">
        <v>36</v>
      </c>
      <c r="U190" s="196"/>
      <c r="V190" s="196"/>
      <c r="W190" s="196"/>
      <c r="X190" s="196"/>
      <c r="Y190" s="196"/>
      <c r="Z190" s="196"/>
      <c r="AA190" s="196"/>
      <c r="AB190" s="194"/>
      <c r="AC190" s="196"/>
      <c r="AD190" s="198">
        <f t="shared" si="3"/>
        <v>2</v>
      </c>
      <c r="AE190" s="157"/>
    </row>
    <row r="191" spans="1:31">
      <c r="A191" s="71">
        <v>189</v>
      </c>
      <c r="B191" s="38" t="s">
        <v>544</v>
      </c>
      <c r="C191" s="88" t="s">
        <v>460</v>
      </c>
      <c r="D191" s="88" t="s">
        <v>43</v>
      </c>
      <c r="E191" s="195"/>
      <c r="F191" s="163" t="s">
        <v>431</v>
      </c>
      <c r="G191" s="196" t="s">
        <v>36</v>
      </c>
      <c r="H191" s="196" t="s">
        <v>36</v>
      </c>
      <c r="I191" s="196" t="s">
        <v>36</v>
      </c>
      <c r="J191" s="196" t="s">
        <v>36</v>
      </c>
      <c r="K191" s="196" t="s">
        <v>36</v>
      </c>
      <c r="L191" s="196" t="s">
        <v>36</v>
      </c>
      <c r="M191" s="196" t="s">
        <v>36</v>
      </c>
      <c r="N191" s="196" t="s">
        <v>36</v>
      </c>
      <c r="O191" s="196" t="s">
        <v>36</v>
      </c>
      <c r="P191" s="196" t="s">
        <v>36</v>
      </c>
      <c r="Q191" s="196" t="s">
        <v>36</v>
      </c>
      <c r="R191" s="196" t="s">
        <v>36</v>
      </c>
      <c r="S191" s="196" t="s">
        <v>36</v>
      </c>
      <c r="T191" s="194" t="s">
        <v>36</v>
      </c>
      <c r="U191" s="196" t="s">
        <v>36</v>
      </c>
      <c r="V191" s="196" t="s">
        <v>36</v>
      </c>
      <c r="W191" s="196" t="s">
        <v>36</v>
      </c>
      <c r="X191" s="196" t="s">
        <v>36</v>
      </c>
      <c r="Y191" s="196" t="s">
        <v>36</v>
      </c>
      <c r="Z191" s="196" t="s">
        <v>36</v>
      </c>
      <c r="AA191" s="196" t="s">
        <v>36</v>
      </c>
      <c r="AB191" s="194" t="s">
        <v>36</v>
      </c>
      <c r="AC191" s="196" t="s">
        <v>36</v>
      </c>
      <c r="AD191" s="198">
        <f t="shared" si="3"/>
        <v>23</v>
      </c>
      <c r="AE191" s="88" t="s">
        <v>37</v>
      </c>
    </row>
    <row r="192" spans="1:31">
      <c r="A192" s="71">
        <v>190</v>
      </c>
      <c r="B192" s="38" t="s">
        <v>544</v>
      </c>
      <c r="C192" s="157" t="s">
        <v>464</v>
      </c>
      <c r="D192" s="157" t="s">
        <v>51</v>
      </c>
      <c r="E192" s="195"/>
      <c r="F192" s="163" t="s">
        <v>431</v>
      </c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4"/>
      <c r="U192" s="196"/>
      <c r="V192" s="196"/>
      <c r="W192" s="196"/>
      <c r="X192" s="196"/>
      <c r="Y192" s="196"/>
      <c r="Z192" s="196"/>
      <c r="AA192" s="196"/>
      <c r="AB192" s="194"/>
      <c r="AC192" s="196"/>
      <c r="AD192" s="198">
        <f t="shared" si="3"/>
        <v>0</v>
      </c>
      <c r="AE192" s="157"/>
    </row>
    <row r="193" spans="1:31">
      <c r="A193" s="71">
        <v>191</v>
      </c>
      <c r="B193" s="38" t="s">
        <v>544</v>
      </c>
      <c r="C193" s="88" t="s">
        <v>466</v>
      </c>
      <c r="D193" s="88" t="s">
        <v>51</v>
      </c>
      <c r="E193" s="195">
        <v>1</v>
      </c>
      <c r="F193" s="163" t="s">
        <v>431</v>
      </c>
      <c r="G193" s="196"/>
      <c r="H193" s="196"/>
      <c r="I193" s="196"/>
      <c r="J193" s="196"/>
      <c r="K193" s="196"/>
      <c r="L193" s="196"/>
      <c r="M193" s="196" t="s">
        <v>36</v>
      </c>
      <c r="N193" s="196" t="s">
        <v>36</v>
      </c>
      <c r="O193" s="196"/>
      <c r="P193" s="196"/>
      <c r="Q193" s="196"/>
      <c r="R193" s="196"/>
      <c r="S193" s="196"/>
      <c r="T193" s="194"/>
      <c r="U193" s="196"/>
      <c r="V193" s="196"/>
      <c r="W193" s="196"/>
      <c r="X193" s="196"/>
      <c r="Y193" s="196" t="s">
        <v>36</v>
      </c>
      <c r="Z193" s="196"/>
      <c r="AA193" s="196"/>
      <c r="AB193" s="194"/>
      <c r="AC193" s="196"/>
      <c r="AD193" s="198">
        <f t="shared" si="3"/>
        <v>3</v>
      </c>
      <c r="AE193" s="88" t="s">
        <v>37</v>
      </c>
    </row>
    <row r="194" spans="1:31">
      <c r="A194" s="71">
        <v>192</v>
      </c>
      <c r="B194" s="38" t="s">
        <v>544</v>
      </c>
      <c r="C194" s="88" t="s">
        <v>468</v>
      </c>
      <c r="D194" s="88" t="s">
        <v>51</v>
      </c>
      <c r="E194" s="195">
        <v>4</v>
      </c>
      <c r="F194" s="163" t="s">
        <v>431</v>
      </c>
      <c r="G194" s="196"/>
      <c r="H194" s="196"/>
      <c r="I194" s="196"/>
      <c r="J194" s="196"/>
      <c r="K194" s="196"/>
      <c r="L194" s="196"/>
      <c r="M194" s="196" t="s">
        <v>36</v>
      </c>
      <c r="N194" s="196" t="s">
        <v>36</v>
      </c>
      <c r="O194" s="196"/>
      <c r="P194" s="196"/>
      <c r="Q194" s="196"/>
      <c r="R194" s="196"/>
      <c r="S194" s="196"/>
      <c r="T194" s="194" t="s">
        <v>36</v>
      </c>
      <c r="U194" s="196"/>
      <c r="V194" s="196"/>
      <c r="W194" s="196"/>
      <c r="X194" s="196"/>
      <c r="Y194" s="196"/>
      <c r="Z194" s="196"/>
      <c r="AA194" s="196"/>
      <c r="AB194" s="194"/>
      <c r="AC194" s="196"/>
      <c r="AD194" s="198">
        <f t="shared" si="3"/>
        <v>3</v>
      </c>
      <c r="AE194" s="88" t="s">
        <v>37</v>
      </c>
    </row>
    <row r="195" spans="1:31">
      <c r="A195" s="71">
        <v>193</v>
      </c>
      <c r="B195" s="38" t="s">
        <v>544</v>
      </c>
      <c r="C195" s="157" t="s">
        <v>470</v>
      </c>
      <c r="D195" s="157" t="s">
        <v>40</v>
      </c>
      <c r="E195" s="195"/>
      <c r="F195" s="163" t="s">
        <v>431</v>
      </c>
      <c r="G195" s="196"/>
      <c r="H195" s="196"/>
      <c r="I195" s="196"/>
      <c r="J195" s="196"/>
      <c r="K195" s="196"/>
      <c r="L195" s="196"/>
      <c r="M195" s="196" t="s">
        <v>36</v>
      </c>
      <c r="N195" s="196"/>
      <c r="O195" s="196"/>
      <c r="P195" s="196"/>
      <c r="Q195" s="196"/>
      <c r="R195" s="196" t="s">
        <v>36</v>
      </c>
      <c r="S195" s="196" t="s">
        <v>36</v>
      </c>
      <c r="T195" s="194"/>
      <c r="U195" s="196"/>
      <c r="V195" s="196"/>
      <c r="W195" s="196"/>
      <c r="X195" s="196"/>
      <c r="Y195" s="196"/>
      <c r="Z195" s="196"/>
      <c r="AA195" s="196"/>
      <c r="AB195" s="194"/>
      <c r="AC195" s="196"/>
      <c r="AD195" s="198">
        <f t="shared" ref="AD195:AD215" si="4">COUNTIF(G195:AC195,"X")</f>
        <v>3</v>
      </c>
      <c r="AE195" s="157"/>
    </row>
    <row r="196" spans="1:31">
      <c r="A196" s="71">
        <v>194</v>
      </c>
      <c r="B196" s="38" t="s">
        <v>544</v>
      </c>
      <c r="C196" s="88" t="s">
        <v>472</v>
      </c>
      <c r="D196" s="88" t="s">
        <v>34</v>
      </c>
      <c r="E196" s="195"/>
      <c r="F196" s="163" t="s">
        <v>431</v>
      </c>
      <c r="G196" s="196"/>
      <c r="H196" s="196"/>
      <c r="I196" s="196"/>
      <c r="J196" s="196" t="s">
        <v>36</v>
      </c>
      <c r="K196" s="196"/>
      <c r="L196" s="196"/>
      <c r="M196" s="196" t="s">
        <v>36</v>
      </c>
      <c r="N196" s="196" t="s">
        <v>36</v>
      </c>
      <c r="O196" s="196"/>
      <c r="P196" s="196"/>
      <c r="Q196" s="196"/>
      <c r="R196" s="196"/>
      <c r="S196" s="196"/>
      <c r="T196" s="194" t="s">
        <v>36</v>
      </c>
      <c r="U196" s="196"/>
      <c r="V196" s="196"/>
      <c r="W196" s="196"/>
      <c r="X196" s="196"/>
      <c r="Y196" s="196"/>
      <c r="Z196" s="196"/>
      <c r="AA196" s="196"/>
      <c r="AB196" s="194"/>
      <c r="AC196" s="196"/>
      <c r="AD196" s="198">
        <f t="shared" si="4"/>
        <v>4</v>
      </c>
      <c r="AE196" s="88" t="s">
        <v>37</v>
      </c>
    </row>
    <row r="197" spans="1:31">
      <c r="A197" s="71">
        <v>195</v>
      </c>
      <c r="B197" s="38" t="s">
        <v>544</v>
      </c>
      <c r="C197" s="88" t="s">
        <v>474</v>
      </c>
      <c r="D197" s="88" t="s">
        <v>51</v>
      </c>
      <c r="E197" s="195">
        <v>2</v>
      </c>
      <c r="F197" s="163" t="s">
        <v>431</v>
      </c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4"/>
      <c r="U197" s="196"/>
      <c r="V197" s="196"/>
      <c r="W197" s="196"/>
      <c r="X197" s="196"/>
      <c r="Y197" s="196"/>
      <c r="Z197" s="196"/>
      <c r="AA197" s="196"/>
      <c r="AB197" s="194"/>
      <c r="AC197" s="196"/>
      <c r="AD197" s="198">
        <f t="shared" si="4"/>
        <v>0</v>
      </c>
      <c r="AE197" s="88" t="s">
        <v>37</v>
      </c>
    </row>
    <row r="198" spans="1:31">
      <c r="A198" s="71">
        <v>196</v>
      </c>
      <c r="B198" s="38" t="s">
        <v>544</v>
      </c>
      <c r="C198" s="88" t="s">
        <v>478</v>
      </c>
      <c r="D198" s="88" t="s">
        <v>34</v>
      </c>
      <c r="E198" s="195"/>
      <c r="F198" s="163" t="s">
        <v>431</v>
      </c>
      <c r="G198" s="196"/>
      <c r="H198" s="196"/>
      <c r="I198" s="196"/>
      <c r="J198" s="196"/>
      <c r="K198" s="196"/>
      <c r="L198" s="196"/>
      <c r="M198" s="196" t="s">
        <v>36</v>
      </c>
      <c r="N198" s="196" t="s">
        <v>36</v>
      </c>
      <c r="O198" s="196"/>
      <c r="P198" s="196"/>
      <c r="Q198" s="196"/>
      <c r="R198" s="196"/>
      <c r="S198" s="196"/>
      <c r="T198" s="194"/>
      <c r="U198" s="196"/>
      <c r="V198" s="196"/>
      <c r="W198" s="196"/>
      <c r="X198" s="196"/>
      <c r="Y198" s="196"/>
      <c r="Z198" s="196"/>
      <c r="AA198" s="196"/>
      <c r="AB198" s="194"/>
      <c r="AC198" s="196"/>
      <c r="AD198" s="198">
        <f t="shared" si="4"/>
        <v>2</v>
      </c>
      <c r="AE198" s="88" t="s">
        <v>37</v>
      </c>
    </row>
    <row r="199" spans="1:31">
      <c r="A199" s="71">
        <v>197</v>
      </c>
      <c r="B199" s="38" t="s">
        <v>544</v>
      </c>
      <c r="C199" s="157" t="s">
        <v>480</v>
      </c>
      <c r="D199" s="157" t="s">
        <v>51</v>
      </c>
      <c r="E199" s="195"/>
      <c r="F199" s="163" t="s">
        <v>431</v>
      </c>
      <c r="G199" s="196"/>
      <c r="H199" s="196"/>
      <c r="I199" s="196"/>
      <c r="J199" s="196"/>
      <c r="K199" s="196"/>
      <c r="L199" s="196"/>
      <c r="M199" s="196" t="s">
        <v>36</v>
      </c>
      <c r="N199" s="196"/>
      <c r="O199" s="196"/>
      <c r="P199" s="196"/>
      <c r="Q199" s="196"/>
      <c r="R199" s="196" t="s">
        <v>36</v>
      </c>
      <c r="S199" s="196" t="s">
        <v>36</v>
      </c>
      <c r="T199" s="194"/>
      <c r="U199" s="196"/>
      <c r="V199" s="196"/>
      <c r="W199" s="196"/>
      <c r="X199" s="196"/>
      <c r="Y199" s="196"/>
      <c r="Z199" s="196"/>
      <c r="AA199" s="196"/>
      <c r="AB199" s="194"/>
      <c r="AC199" s="196"/>
      <c r="AD199" s="198">
        <f t="shared" si="4"/>
        <v>3</v>
      </c>
      <c r="AE199" s="157"/>
    </row>
    <row r="200" spans="1:31">
      <c r="A200" s="71">
        <v>198</v>
      </c>
      <c r="B200" s="38" t="s">
        <v>544</v>
      </c>
      <c r="C200" s="88" t="s">
        <v>482</v>
      </c>
      <c r="D200" s="88" t="s">
        <v>34</v>
      </c>
      <c r="E200" s="195">
        <v>5</v>
      </c>
      <c r="F200" s="163" t="s">
        <v>431</v>
      </c>
      <c r="G200" s="196"/>
      <c r="H200" s="196"/>
      <c r="I200" s="196"/>
      <c r="J200" s="196"/>
      <c r="K200" s="196"/>
      <c r="L200" s="196"/>
      <c r="M200" s="196" t="s">
        <v>36</v>
      </c>
      <c r="N200" s="196" t="s">
        <v>36</v>
      </c>
      <c r="O200" s="196"/>
      <c r="P200" s="196"/>
      <c r="Q200" s="196"/>
      <c r="R200" s="196"/>
      <c r="S200" s="196"/>
      <c r="T200" s="194" t="s">
        <v>36</v>
      </c>
      <c r="U200" s="196"/>
      <c r="V200" s="196"/>
      <c r="W200" s="196"/>
      <c r="X200" s="196"/>
      <c r="Y200" s="196"/>
      <c r="Z200" s="196"/>
      <c r="AA200" s="196"/>
      <c r="AB200" s="194"/>
      <c r="AC200" s="196"/>
      <c r="AD200" s="198">
        <f t="shared" si="4"/>
        <v>3</v>
      </c>
      <c r="AE200" s="88" t="s">
        <v>37</v>
      </c>
    </row>
    <row r="201" spans="1:31">
      <c r="A201" s="70">
        <v>199</v>
      </c>
      <c r="B201" s="40" t="s">
        <v>544</v>
      </c>
      <c r="C201" s="202" t="s">
        <v>604</v>
      </c>
      <c r="D201" s="202"/>
      <c r="E201" s="203"/>
      <c r="F201" s="193" t="s">
        <v>431</v>
      </c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4"/>
      <c r="U201" s="192"/>
      <c r="V201" s="192"/>
      <c r="W201" s="192"/>
      <c r="X201" s="192"/>
      <c r="Y201" s="192"/>
      <c r="Z201" s="192"/>
      <c r="AA201" s="192"/>
      <c r="AB201" s="194"/>
      <c r="AC201" s="192"/>
      <c r="AD201" s="198">
        <f t="shared" si="4"/>
        <v>0</v>
      </c>
      <c r="AE201" s="157"/>
    </row>
    <row r="202" spans="1:31">
      <c r="A202" s="71">
        <v>200</v>
      </c>
      <c r="B202" s="38" t="s">
        <v>544</v>
      </c>
      <c r="C202" s="88" t="s">
        <v>484</v>
      </c>
      <c r="D202" s="88" t="s">
        <v>43</v>
      </c>
      <c r="E202" s="195"/>
      <c r="F202" s="163" t="s">
        <v>431</v>
      </c>
      <c r="G202" s="196"/>
      <c r="H202" s="196"/>
      <c r="I202" s="196"/>
      <c r="J202" s="196"/>
      <c r="K202" s="196"/>
      <c r="L202" s="196"/>
      <c r="M202" s="196" t="s">
        <v>36</v>
      </c>
      <c r="N202" s="196"/>
      <c r="O202" s="196"/>
      <c r="P202" s="196"/>
      <c r="Q202" s="196"/>
      <c r="R202" s="196"/>
      <c r="S202" s="196"/>
      <c r="T202" s="194" t="s">
        <v>36</v>
      </c>
      <c r="U202" s="196"/>
      <c r="V202" s="196"/>
      <c r="W202" s="196"/>
      <c r="X202" s="196"/>
      <c r="Y202" s="196"/>
      <c r="Z202" s="196"/>
      <c r="AA202" s="196"/>
      <c r="AB202" s="194"/>
      <c r="AC202" s="196"/>
      <c r="AD202" s="198">
        <f t="shared" si="4"/>
        <v>2</v>
      </c>
      <c r="AE202" s="88" t="s">
        <v>37</v>
      </c>
    </row>
    <row r="203" spans="1:31">
      <c r="A203" s="71">
        <v>201</v>
      </c>
      <c r="B203" s="38" t="s">
        <v>544</v>
      </c>
      <c r="C203" s="88" t="s">
        <v>486</v>
      </c>
      <c r="D203" s="88" t="s">
        <v>34</v>
      </c>
      <c r="E203" s="195">
        <v>7</v>
      </c>
      <c r="F203" s="163" t="s">
        <v>431</v>
      </c>
      <c r="G203" s="196"/>
      <c r="H203" s="196"/>
      <c r="I203" s="196"/>
      <c r="J203" s="196"/>
      <c r="K203" s="196"/>
      <c r="L203" s="196"/>
      <c r="M203" s="196" t="s">
        <v>36</v>
      </c>
      <c r="N203" s="196" t="s">
        <v>36</v>
      </c>
      <c r="O203" s="196"/>
      <c r="P203" s="196"/>
      <c r="Q203" s="196"/>
      <c r="R203" s="196"/>
      <c r="S203" s="196"/>
      <c r="T203" s="194" t="s">
        <v>36</v>
      </c>
      <c r="U203" s="196"/>
      <c r="V203" s="196"/>
      <c r="W203" s="196"/>
      <c r="X203" s="196"/>
      <c r="Y203" s="196"/>
      <c r="Z203" s="196"/>
      <c r="AA203" s="196"/>
      <c r="AB203" s="194"/>
      <c r="AC203" s="196"/>
      <c r="AD203" s="198">
        <f t="shared" si="4"/>
        <v>3</v>
      </c>
      <c r="AE203" s="88" t="s">
        <v>37</v>
      </c>
    </row>
    <row r="204" spans="1:31">
      <c r="A204" s="71">
        <v>202</v>
      </c>
      <c r="B204" s="38" t="s">
        <v>544</v>
      </c>
      <c r="C204" s="88" t="s">
        <v>488</v>
      </c>
      <c r="D204" s="88" t="s">
        <v>40</v>
      </c>
      <c r="E204" s="195"/>
      <c r="F204" s="163" t="s">
        <v>431</v>
      </c>
      <c r="G204" s="196"/>
      <c r="H204" s="196"/>
      <c r="I204" s="196"/>
      <c r="J204" s="196"/>
      <c r="K204" s="196"/>
      <c r="L204" s="196"/>
      <c r="M204" s="196" t="s">
        <v>36</v>
      </c>
      <c r="N204" s="196" t="s">
        <v>36</v>
      </c>
      <c r="O204" s="196"/>
      <c r="P204" s="196"/>
      <c r="Q204" s="196"/>
      <c r="R204" s="196"/>
      <c r="S204" s="196"/>
      <c r="T204" s="194" t="s">
        <v>36</v>
      </c>
      <c r="U204" s="196"/>
      <c r="V204" s="196"/>
      <c r="W204" s="196"/>
      <c r="X204" s="196"/>
      <c r="Y204" s="196"/>
      <c r="Z204" s="196"/>
      <c r="AA204" s="196"/>
      <c r="AB204" s="194"/>
      <c r="AC204" s="196"/>
      <c r="AD204" s="198">
        <f t="shared" si="4"/>
        <v>3</v>
      </c>
      <c r="AE204" s="88" t="s">
        <v>37</v>
      </c>
    </row>
    <row r="205" spans="1:31">
      <c r="A205" s="71">
        <v>203</v>
      </c>
      <c r="B205" s="38" t="s">
        <v>544</v>
      </c>
      <c r="C205" s="88" t="s">
        <v>490</v>
      </c>
      <c r="D205" s="88" t="s">
        <v>34</v>
      </c>
      <c r="E205" s="195">
        <v>12</v>
      </c>
      <c r="F205" s="163" t="s">
        <v>431</v>
      </c>
      <c r="G205" s="196" t="s">
        <v>36</v>
      </c>
      <c r="H205" s="196"/>
      <c r="I205" s="196"/>
      <c r="J205" s="196"/>
      <c r="K205" s="196"/>
      <c r="L205" s="196"/>
      <c r="M205" s="196" t="s">
        <v>36</v>
      </c>
      <c r="N205" s="196" t="s">
        <v>36</v>
      </c>
      <c r="O205" s="196"/>
      <c r="P205" s="196"/>
      <c r="Q205" s="196"/>
      <c r="R205" s="196"/>
      <c r="S205" s="196"/>
      <c r="T205" s="194" t="s">
        <v>36</v>
      </c>
      <c r="U205" s="196"/>
      <c r="V205" s="196"/>
      <c r="W205" s="196"/>
      <c r="X205" s="196"/>
      <c r="Y205" s="196"/>
      <c r="Z205" s="196"/>
      <c r="AA205" s="196"/>
      <c r="AB205" s="194" t="s">
        <v>36</v>
      </c>
      <c r="AC205" s="196"/>
      <c r="AD205" s="198">
        <f t="shared" si="4"/>
        <v>5</v>
      </c>
      <c r="AE205" s="88" t="s">
        <v>37</v>
      </c>
    </row>
    <row r="206" spans="1:31">
      <c r="A206" s="71">
        <v>204</v>
      </c>
      <c r="B206" s="38" t="s">
        <v>544</v>
      </c>
      <c r="C206" s="157" t="s">
        <v>492</v>
      </c>
      <c r="D206" s="157" t="s">
        <v>40</v>
      </c>
      <c r="E206" s="195">
        <v>8</v>
      </c>
      <c r="F206" s="163" t="s">
        <v>431</v>
      </c>
      <c r="G206" s="196" t="s">
        <v>36</v>
      </c>
      <c r="H206" s="196"/>
      <c r="I206" s="196"/>
      <c r="J206" s="196"/>
      <c r="K206" s="196"/>
      <c r="L206" s="196"/>
      <c r="M206" s="196" t="s">
        <v>36</v>
      </c>
      <c r="N206" s="196" t="s">
        <v>36</v>
      </c>
      <c r="O206" s="196"/>
      <c r="P206" s="196"/>
      <c r="Q206" s="196"/>
      <c r="R206" s="196"/>
      <c r="S206" s="196"/>
      <c r="T206" s="194" t="s">
        <v>36</v>
      </c>
      <c r="U206" s="196"/>
      <c r="V206" s="196"/>
      <c r="W206" s="196"/>
      <c r="X206" s="196"/>
      <c r="Y206" s="196"/>
      <c r="Z206" s="196"/>
      <c r="AA206" s="196"/>
      <c r="AB206" s="194" t="s">
        <v>36</v>
      </c>
      <c r="AC206" s="196"/>
      <c r="AD206" s="198">
        <f t="shared" si="4"/>
        <v>5</v>
      </c>
      <c r="AE206" s="157"/>
    </row>
    <row r="207" spans="1:31">
      <c r="A207" s="70">
        <v>205</v>
      </c>
      <c r="B207" s="40" t="s">
        <v>544</v>
      </c>
      <c r="C207" s="202" t="s">
        <v>605</v>
      </c>
      <c r="D207" s="202"/>
      <c r="E207" s="203"/>
      <c r="F207" s="193" t="s">
        <v>431</v>
      </c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4"/>
      <c r="U207" s="192"/>
      <c r="V207" s="192"/>
      <c r="W207" s="192"/>
      <c r="X207" s="192"/>
      <c r="Y207" s="192"/>
      <c r="Z207" s="192"/>
      <c r="AA207" s="192"/>
      <c r="AB207" s="194"/>
      <c r="AC207" s="192"/>
      <c r="AD207" s="198">
        <f t="shared" si="4"/>
        <v>0</v>
      </c>
      <c r="AE207" s="157"/>
    </row>
    <row r="208" spans="1:31">
      <c r="A208" s="70">
        <v>206</v>
      </c>
      <c r="B208" s="40" t="s">
        <v>544</v>
      </c>
      <c r="C208" s="202" t="s">
        <v>606</v>
      </c>
      <c r="D208" s="202"/>
      <c r="E208" s="203"/>
      <c r="F208" s="193" t="s">
        <v>431</v>
      </c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  <c r="AA208" s="192"/>
      <c r="AB208" s="192"/>
      <c r="AC208" s="192"/>
      <c r="AD208" s="198">
        <f t="shared" si="4"/>
        <v>0</v>
      </c>
      <c r="AE208" s="157"/>
    </row>
    <row r="209" spans="1:31">
      <c r="A209" s="71">
        <v>207</v>
      </c>
      <c r="B209" s="38" t="s">
        <v>544</v>
      </c>
      <c r="C209" s="157" t="s">
        <v>607</v>
      </c>
      <c r="D209" s="157"/>
      <c r="E209" s="195"/>
      <c r="F209" s="163" t="s">
        <v>431</v>
      </c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4"/>
      <c r="U209" s="196"/>
      <c r="V209" s="196"/>
      <c r="W209" s="196"/>
      <c r="X209" s="196"/>
      <c r="Y209" s="196"/>
      <c r="Z209" s="196"/>
      <c r="AA209" s="196"/>
      <c r="AB209" s="194"/>
      <c r="AC209" s="196"/>
      <c r="AD209" s="198">
        <f t="shared" si="4"/>
        <v>0</v>
      </c>
      <c r="AE209" s="157"/>
    </row>
    <row r="210" spans="1:31">
      <c r="A210" s="71">
        <v>208</v>
      </c>
      <c r="B210" s="38" t="s">
        <v>544</v>
      </c>
      <c r="C210" s="157" t="s">
        <v>494</v>
      </c>
      <c r="D210" s="157" t="s">
        <v>40</v>
      </c>
      <c r="E210" s="195"/>
      <c r="F210" s="163" t="s">
        <v>496</v>
      </c>
      <c r="G210" s="196" t="s">
        <v>36</v>
      </c>
      <c r="H210" s="196" t="s">
        <v>36</v>
      </c>
      <c r="I210" s="196"/>
      <c r="J210" s="196"/>
      <c r="K210" s="196" t="s">
        <v>36</v>
      </c>
      <c r="L210" s="196" t="s">
        <v>36</v>
      </c>
      <c r="M210" s="196" t="s">
        <v>36</v>
      </c>
      <c r="N210" s="196" t="s">
        <v>36</v>
      </c>
      <c r="O210" s="196" t="s">
        <v>36</v>
      </c>
      <c r="P210" s="196"/>
      <c r="Q210" s="196"/>
      <c r="R210" s="196"/>
      <c r="S210" s="196"/>
      <c r="T210" s="194" t="s">
        <v>36</v>
      </c>
      <c r="U210" s="196"/>
      <c r="V210" s="196"/>
      <c r="W210" s="196"/>
      <c r="X210" s="196"/>
      <c r="Y210" s="196" t="s">
        <v>36</v>
      </c>
      <c r="Z210" s="196"/>
      <c r="AA210" s="196" t="s">
        <v>36</v>
      </c>
      <c r="AB210" s="194" t="s">
        <v>36</v>
      </c>
      <c r="AC210" s="196"/>
      <c r="AD210" s="195">
        <f t="shared" si="4"/>
        <v>11</v>
      </c>
      <c r="AE210" s="157"/>
    </row>
    <row r="211" spans="1:31">
      <c r="A211" s="71">
        <v>209</v>
      </c>
      <c r="B211" s="38"/>
      <c r="C211" s="157" t="s">
        <v>608</v>
      </c>
      <c r="D211" s="157"/>
      <c r="E211" s="195"/>
      <c r="F211" s="163" t="s">
        <v>496</v>
      </c>
      <c r="G211" s="196" t="s">
        <v>36</v>
      </c>
      <c r="H211" s="196" t="s">
        <v>36</v>
      </c>
      <c r="I211" s="196"/>
      <c r="J211" s="196"/>
      <c r="K211" s="196" t="s">
        <v>36</v>
      </c>
      <c r="L211" s="196" t="s">
        <v>36</v>
      </c>
      <c r="M211" s="196" t="s">
        <v>36</v>
      </c>
      <c r="N211" s="196" t="s">
        <v>36</v>
      </c>
      <c r="O211" s="196" t="s">
        <v>36</v>
      </c>
      <c r="P211" s="196"/>
      <c r="Q211" s="196"/>
      <c r="R211" s="196"/>
      <c r="S211" s="196"/>
      <c r="T211" s="194" t="s">
        <v>36</v>
      </c>
      <c r="U211" s="196"/>
      <c r="V211" s="196"/>
      <c r="W211" s="196"/>
      <c r="X211" s="196"/>
      <c r="Y211" s="196"/>
      <c r="Z211" s="196"/>
      <c r="AA211" s="196" t="s">
        <v>36</v>
      </c>
      <c r="AB211" s="194" t="s">
        <v>36</v>
      </c>
      <c r="AC211" s="196"/>
      <c r="AD211" s="195">
        <f t="shared" si="4"/>
        <v>10</v>
      </c>
      <c r="AE211" s="157"/>
    </row>
    <row r="212" spans="1:31">
      <c r="A212" s="71">
        <v>210</v>
      </c>
      <c r="B212" s="38" t="s">
        <v>544</v>
      </c>
      <c r="C212" s="157" t="s">
        <v>499</v>
      </c>
      <c r="D212" s="157" t="s">
        <v>40</v>
      </c>
      <c r="E212" s="195"/>
      <c r="F212" s="163" t="s">
        <v>496</v>
      </c>
      <c r="G212" s="196" t="s">
        <v>36</v>
      </c>
      <c r="H212" s="196" t="s">
        <v>36</v>
      </c>
      <c r="I212" s="196"/>
      <c r="J212" s="196"/>
      <c r="K212" s="196" t="s">
        <v>36</v>
      </c>
      <c r="L212" s="196" t="s">
        <v>36</v>
      </c>
      <c r="M212" s="196" t="s">
        <v>36</v>
      </c>
      <c r="N212" s="196" t="s">
        <v>36</v>
      </c>
      <c r="O212" s="196" t="s">
        <v>36</v>
      </c>
      <c r="P212" s="196"/>
      <c r="Q212" s="196"/>
      <c r="R212" s="196"/>
      <c r="S212" s="196"/>
      <c r="T212" s="194" t="s">
        <v>36</v>
      </c>
      <c r="U212" s="196"/>
      <c r="V212" s="196"/>
      <c r="W212" s="196"/>
      <c r="X212" s="196"/>
      <c r="Y212" s="196"/>
      <c r="Z212" s="196"/>
      <c r="AA212" s="196" t="s">
        <v>36</v>
      </c>
      <c r="AB212" s="194" t="s">
        <v>36</v>
      </c>
      <c r="AC212" s="196"/>
      <c r="AD212" s="195">
        <f t="shared" si="4"/>
        <v>10</v>
      </c>
      <c r="AE212" s="157"/>
    </row>
    <row r="213" spans="1:31">
      <c r="A213" s="71">
        <v>211</v>
      </c>
      <c r="B213" s="38" t="s">
        <v>544</v>
      </c>
      <c r="C213" s="157" t="s">
        <v>501</v>
      </c>
      <c r="D213" s="157" t="s">
        <v>40</v>
      </c>
      <c r="E213" s="195"/>
      <c r="F213" s="163" t="s">
        <v>496</v>
      </c>
      <c r="G213" s="196"/>
      <c r="H213" s="196"/>
      <c r="I213" s="196"/>
      <c r="J213" s="196"/>
      <c r="K213" s="196"/>
      <c r="L213" s="196"/>
      <c r="M213" s="196" t="s">
        <v>36</v>
      </c>
      <c r="N213" s="196"/>
      <c r="O213" s="196"/>
      <c r="P213" s="196"/>
      <c r="Q213" s="196"/>
      <c r="R213" s="196"/>
      <c r="S213" s="196"/>
      <c r="T213" s="194"/>
      <c r="U213" s="196"/>
      <c r="V213" s="196"/>
      <c r="W213" s="196"/>
      <c r="X213" s="196"/>
      <c r="Y213" s="196"/>
      <c r="Z213" s="196"/>
      <c r="AA213" s="196"/>
      <c r="AB213" s="194"/>
      <c r="AC213" s="196"/>
      <c r="AD213" s="195">
        <f t="shared" si="4"/>
        <v>1</v>
      </c>
      <c r="AE213" s="157"/>
    </row>
    <row r="214" spans="1:31">
      <c r="A214" s="71">
        <v>212</v>
      </c>
      <c r="B214" s="38" t="s">
        <v>544</v>
      </c>
      <c r="C214" s="157" t="s">
        <v>503</v>
      </c>
      <c r="D214" s="157"/>
      <c r="E214" s="195"/>
      <c r="F214" s="163" t="s">
        <v>496</v>
      </c>
      <c r="G214" s="196" t="s">
        <v>36</v>
      </c>
      <c r="H214" s="196" t="s">
        <v>36</v>
      </c>
      <c r="I214" s="196"/>
      <c r="J214" s="196"/>
      <c r="K214" s="196" t="s">
        <v>36</v>
      </c>
      <c r="L214" s="196" t="s">
        <v>36</v>
      </c>
      <c r="M214" s="196" t="s">
        <v>36</v>
      </c>
      <c r="N214" s="196" t="s">
        <v>36</v>
      </c>
      <c r="O214" s="196" t="s">
        <v>36</v>
      </c>
      <c r="P214" s="196"/>
      <c r="Q214" s="196"/>
      <c r="R214" s="196"/>
      <c r="S214" s="196"/>
      <c r="T214" s="194" t="s">
        <v>36</v>
      </c>
      <c r="U214" s="196"/>
      <c r="V214" s="196"/>
      <c r="W214" s="196"/>
      <c r="X214" s="196"/>
      <c r="Y214" s="196"/>
      <c r="Z214" s="196"/>
      <c r="AA214" s="196" t="s">
        <v>36</v>
      </c>
      <c r="AB214" s="194" t="s">
        <v>36</v>
      </c>
      <c r="AC214" s="196"/>
      <c r="AD214" s="195">
        <f t="shared" si="4"/>
        <v>10</v>
      </c>
      <c r="AE214" s="157"/>
    </row>
    <row r="215" spans="1:31">
      <c r="A215" s="71">
        <v>213</v>
      </c>
      <c r="B215" s="38" t="s">
        <v>544</v>
      </c>
      <c r="C215" s="157" t="s">
        <v>505</v>
      </c>
      <c r="D215" s="157" t="s">
        <v>34</v>
      </c>
      <c r="E215" s="195"/>
      <c r="F215" s="163" t="s">
        <v>496</v>
      </c>
      <c r="G215" s="196"/>
      <c r="H215" s="196"/>
      <c r="I215" s="196"/>
      <c r="J215" s="196"/>
      <c r="K215" s="196"/>
      <c r="L215" s="196"/>
      <c r="M215" s="196" t="s">
        <v>36</v>
      </c>
      <c r="N215" s="196"/>
      <c r="O215" s="196"/>
      <c r="P215" s="196"/>
      <c r="Q215" s="196"/>
      <c r="R215" s="196"/>
      <c r="S215" s="196"/>
      <c r="T215" s="194"/>
      <c r="U215" s="196"/>
      <c r="V215" s="196"/>
      <c r="W215" s="196"/>
      <c r="X215" s="196"/>
      <c r="Y215" s="196"/>
      <c r="Z215" s="196"/>
      <c r="AA215" s="196"/>
      <c r="AB215" s="194"/>
      <c r="AC215" s="196"/>
      <c r="AD215" s="195">
        <f t="shared" si="4"/>
        <v>1</v>
      </c>
      <c r="AE215" s="157"/>
    </row>
    <row r="216" spans="1:31">
      <c r="C216" s="164"/>
      <c r="D216" s="164"/>
      <c r="E216" s="190"/>
      <c r="F216" s="188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211"/>
      <c r="U216" s="189"/>
      <c r="V216" s="189"/>
      <c r="W216" s="189"/>
      <c r="X216" s="189"/>
      <c r="Y216" s="189"/>
      <c r="Z216" s="189"/>
      <c r="AA216" s="189"/>
      <c r="AB216" s="211"/>
      <c r="AC216" s="189"/>
      <c r="AD216" s="189"/>
      <c r="AE216" s="164"/>
    </row>
    <row r="217" spans="1:31">
      <c r="C217"/>
      <c r="D217"/>
      <c r="E217" s="91"/>
      <c r="F217" s="188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211"/>
      <c r="U217" s="189"/>
      <c r="V217" s="189"/>
      <c r="W217" s="189"/>
      <c r="X217" s="189"/>
      <c r="Y217" s="189"/>
      <c r="Z217" s="189"/>
      <c r="AA217" s="189"/>
      <c r="AB217" s="211"/>
      <c r="AC217" s="189"/>
      <c r="AD217" s="190"/>
      <c r="AE217" s="164"/>
    </row>
  </sheetData>
  <autoFilter ref="A1:AE215" xr:uid="{5E9EA144-9211-4D12-8CB8-3CF9183E3513}">
    <sortState xmlns:xlrd2="http://schemas.microsoft.com/office/spreadsheetml/2017/richdata2" ref="A4:AE215">
      <sortCondition ref="A1:A215"/>
    </sortState>
  </autoFilter>
  <mergeCells count="5">
    <mergeCell ref="AE1:AE2"/>
    <mergeCell ref="A1:A2"/>
    <mergeCell ref="C1:C2"/>
    <mergeCell ref="D1:D2"/>
    <mergeCell ref="E1:E2"/>
  </mergeCells>
  <conditionalFormatting sqref="B3:B215">
    <cfRule type="containsText" dxfId="3" priority="1" operator="containsText" text="O">
      <formula>NOT(ISERROR(SEARCH("O",B3)))</formula>
    </cfRule>
  </conditionalFormatting>
  <conditionalFormatting sqref="C3:C216 C218:C1048576">
    <cfRule type="duplicateValues" dxfId="2" priority="2"/>
  </conditionalFormatting>
  <conditionalFormatting sqref="AD3:AD2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AF25-60B4-4F67-BF0B-54AF367AB06B}">
  <dimension ref="A1:Y211"/>
  <sheetViews>
    <sheetView workbookViewId="0">
      <selection activeCell="A210" sqref="A210"/>
    </sheetView>
  </sheetViews>
  <sheetFormatPr defaultColWidth="21.7109375" defaultRowHeight="15"/>
  <cols>
    <col min="1" max="1" width="33.42578125" bestFit="1" customWidth="1"/>
    <col min="2" max="24" width="2.140625" bestFit="1" customWidth="1"/>
    <col min="25" max="25" width="3" bestFit="1" customWidth="1"/>
  </cols>
  <sheetData>
    <row r="1" spans="1:25">
      <c r="A1" s="212" t="s">
        <v>460</v>
      </c>
      <c r="B1" s="213" t="s">
        <v>36</v>
      </c>
      <c r="C1" s="213" t="s">
        <v>36</v>
      </c>
      <c r="D1" s="213" t="s">
        <v>36</v>
      </c>
      <c r="E1" s="213" t="s">
        <v>36</v>
      </c>
      <c r="F1" s="213" t="s">
        <v>36</v>
      </c>
      <c r="G1" s="213" t="s">
        <v>36</v>
      </c>
      <c r="H1" s="213" t="s">
        <v>36</v>
      </c>
      <c r="I1" s="213" t="s">
        <v>36</v>
      </c>
      <c r="J1" s="213" t="s">
        <v>36</v>
      </c>
      <c r="K1" s="213" t="s">
        <v>36</v>
      </c>
      <c r="L1" s="213" t="s">
        <v>36</v>
      </c>
      <c r="M1" s="213" t="s">
        <v>36</v>
      </c>
      <c r="N1" s="213" t="s">
        <v>36</v>
      </c>
      <c r="O1" s="213" t="s">
        <v>36</v>
      </c>
      <c r="P1" s="213" t="s">
        <v>36</v>
      </c>
      <c r="Q1" s="213" t="s">
        <v>36</v>
      </c>
      <c r="R1" s="213" t="s">
        <v>36</v>
      </c>
      <c r="S1" s="213" t="s">
        <v>36</v>
      </c>
      <c r="T1" s="213" t="s">
        <v>36</v>
      </c>
      <c r="U1" s="213" t="s">
        <v>36</v>
      </c>
      <c r="V1" s="213" t="s">
        <v>36</v>
      </c>
      <c r="W1" s="213" t="s">
        <v>36</v>
      </c>
      <c r="X1" s="213" t="s">
        <v>36</v>
      </c>
      <c r="Y1" s="212">
        <f t="shared" ref="Y1:Y64" si="0">COUNTIF(B1:X1,"X")</f>
        <v>23</v>
      </c>
    </row>
    <row r="2" spans="1:25">
      <c r="A2" s="197" t="s">
        <v>557</v>
      </c>
      <c r="B2" s="196" t="s">
        <v>36</v>
      </c>
      <c r="C2" s="196" t="s">
        <v>36</v>
      </c>
      <c r="D2" s="196" t="s">
        <v>36</v>
      </c>
      <c r="E2" s="196" t="s">
        <v>36</v>
      </c>
      <c r="F2" s="196" t="s">
        <v>36</v>
      </c>
      <c r="G2" s="196" t="s">
        <v>36</v>
      </c>
      <c r="H2" s="196" t="s">
        <v>36</v>
      </c>
      <c r="I2" s="196" t="s">
        <v>36</v>
      </c>
      <c r="J2" s="196" t="s">
        <v>36</v>
      </c>
      <c r="K2" s="196" t="s">
        <v>36</v>
      </c>
      <c r="L2" s="196" t="s">
        <v>36</v>
      </c>
      <c r="M2" s="196" t="s">
        <v>36</v>
      </c>
      <c r="N2" s="196" t="s">
        <v>36</v>
      </c>
      <c r="O2" s="196" t="s">
        <v>36</v>
      </c>
      <c r="P2" s="196" t="s">
        <v>36</v>
      </c>
      <c r="Q2" s="196" t="s">
        <v>36</v>
      </c>
      <c r="R2" s="196" t="s">
        <v>36</v>
      </c>
      <c r="S2" s="196" t="s">
        <v>36</v>
      </c>
      <c r="T2" s="196" t="s">
        <v>36</v>
      </c>
      <c r="U2" s="196" t="s">
        <v>36</v>
      </c>
      <c r="V2" s="196" t="s">
        <v>36</v>
      </c>
      <c r="W2" s="196" t="s">
        <v>36</v>
      </c>
      <c r="X2" s="196"/>
      <c r="Y2" s="157">
        <f t="shared" si="0"/>
        <v>22</v>
      </c>
    </row>
    <row r="3" spans="1:25">
      <c r="A3" s="212" t="s">
        <v>216</v>
      </c>
      <c r="B3" s="213" t="s">
        <v>36</v>
      </c>
      <c r="C3" s="213" t="s">
        <v>36</v>
      </c>
      <c r="D3" s="213" t="s">
        <v>36</v>
      </c>
      <c r="E3" s="213" t="s">
        <v>36</v>
      </c>
      <c r="F3" s="213" t="s">
        <v>36</v>
      </c>
      <c r="G3" s="213" t="s">
        <v>36</v>
      </c>
      <c r="H3" s="213" t="s">
        <v>36</v>
      </c>
      <c r="I3" s="213" t="s">
        <v>36</v>
      </c>
      <c r="J3" s="213" t="s">
        <v>36</v>
      </c>
      <c r="K3" s="213"/>
      <c r="L3" s="213" t="s">
        <v>36</v>
      </c>
      <c r="M3" s="213" t="s">
        <v>36</v>
      </c>
      <c r="N3" s="213" t="s">
        <v>36</v>
      </c>
      <c r="O3" s="213" t="s">
        <v>36</v>
      </c>
      <c r="P3" s="213" t="s">
        <v>36</v>
      </c>
      <c r="Q3" s="213" t="s">
        <v>36</v>
      </c>
      <c r="R3" s="213" t="s">
        <v>36</v>
      </c>
      <c r="S3" s="213" t="s">
        <v>36</v>
      </c>
      <c r="T3" s="213" t="s">
        <v>36</v>
      </c>
      <c r="U3" s="213" t="s">
        <v>36</v>
      </c>
      <c r="V3" s="213" t="s">
        <v>36</v>
      </c>
      <c r="W3" s="213" t="s">
        <v>36</v>
      </c>
      <c r="X3" s="213"/>
      <c r="Y3" s="212">
        <f t="shared" si="0"/>
        <v>21</v>
      </c>
    </row>
    <row r="4" spans="1:25">
      <c r="A4" s="214" t="s">
        <v>93</v>
      </c>
      <c r="B4" s="213" t="s">
        <v>36</v>
      </c>
      <c r="C4" s="213" t="s">
        <v>36</v>
      </c>
      <c r="D4" s="213" t="s">
        <v>36</v>
      </c>
      <c r="E4" s="213" t="s">
        <v>36</v>
      </c>
      <c r="F4" s="213" t="s">
        <v>36</v>
      </c>
      <c r="G4" s="213" t="s">
        <v>36</v>
      </c>
      <c r="H4" s="213" t="s">
        <v>36</v>
      </c>
      <c r="I4" s="213" t="s">
        <v>36</v>
      </c>
      <c r="J4" s="213" t="s">
        <v>36</v>
      </c>
      <c r="K4" s="213" t="s">
        <v>36</v>
      </c>
      <c r="L4" s="213" t="s">
        <v>36</v>
      </c>
      <c r="M4" s="213" t="s">
        <v>36</v>
      </c>
      <c r="N4" s="213" t="s">
        <v>36</v>
      </c>
      <c r="O4" s="213" t="s">
        <v>36</v>
      </c>
      <c r="P4" s="213" t="s">
        <v>36</v>
      </c>
      <c r="Q4" s="213"/>
      <c r="R4" s="213"/>
      <c r="S4" s="213" t="s">
        <v>36</v>
      </c>
      <c r="T4" s="213" t="s">
        <v>36</v>
      </c>
      <c r="U4" s="213" t="s">
        <v>36</v>
      </c>
      <c r="V4" s="213" t="s">
        <v>36</v>
      </c>
      <c r="W4" s="213" t="s">
        <v>36</v>
      </c>
      <c r="X4" s="213"/>
      <c r="Y4" s="212">
        <f t="shared" si="0"/>
        <v>20</v>
      </c>
    </row>
    <row r="5" spans="1:25">
      <c r="A5" s="212" t="s">
        <v>367</v>
      </c>
      <c r="B5" s="213" t="s">
        <v>36</v>
      </c>
      <c r="C5" s="213" t="s">
        <v>36</v>
      </c>
      <c r="D5" s="213" t="s">
        <v>36</v>
      </c>
      <c r="E5" s="213" t="s">
        <v>36</v>
      </c>
      <c r="F5" s="213" t="s">
        <v>36</v>
      </c>
      <c r="G5" s="213" t="s">
        <v>36</v>
      </c>
      <c r="H5" s="213" t="s">
        <v>36</v>
      </c>
      <c r="I5" s="213" t="s">
        <v>36</v>
      </c>
      <c r="J5" s="213" t="s">
        <v>36</v>
      </c>
      <c r="K5" s="213"/>
      <c r="L5" s="213" t="s">
        <v>36</v>
      </c>
      <c r="M5" s="213" t="s">
        <v>36</v>
      </c>
      <c r="N5" s="213" t="s">
        <v>36</v>
      </c>
      <c r="O5" s="213" t="s">
        <v>36</v>
      </c>
      <c r="P5" s="213" t="s">
        <v>36</v>
      </c>
      <c r="Q5" s="213"/>
      <c r="R5" s="213"/>
      <c r="S5" s="213"/>
      <c r="T5" s="213" t="s">
        <v>36</v>
      </c>
      <c r="U5" s="213" t="s">
        <v>36</v>
      </c>
      <c r="V5" s="213" t="s">
        <v>36</v>
      </c>
      <c r="W5" s="213" t="s">
        <v>36</v>
      </c>
      <c r="X5" s="213"/>
      <c r="Y5" s="212">
        <f t="shared" si="0"/>
        <v>18</v>
      </c>
    </row>
    <row r="6" spans="1:25">
      <c r="A6" s="212" t="s">
        <v>381</v>
      </c>
      <c r="B6" s="213" t="s">
        <v>36</v>
      </c>
      <c r="C6" s="213" t="s">
        <v>36</v>
      </c>
      <c r="D6" s="213" t="s">
        <v>36</v>
      </c>
      <c r="E6" s="213" t="s">
        <v>36</v>
      </c>
      <c r="F6" s="213" t="s">
        <v>36</v>
      </c>
      <c r="G6" s="213" t="s">
        <v>36</v>
      </c>
      <c r="H6" s="213" t="s">
        <v>36</v>
      </c>
      <c r="I6" s="213" t="s">
        <v>36</v>
      </c>
      <c r="J6" s="213" t="s">
        <v>36</v>
      </c>
      <c r="K6" s="213"/>
      <c r="L6" s="213" t="s">
        <v>36</v>
      </c>
      <c r="M6" s="213" t="s">
        <v>36</v>
      </c>
      <c r="N6" s="213" t="s">
        <v>36</v>
      </c>
      <c r="O6" s="213" t="s">
        <v>36</v>
      </c>
      <c r="P6" s="213"/>
      <c r="Q6" s="213"/>
      <c r="R6" s="213"/>
      <c r="S6" s="213" t="s">
        <v>36</v>
      </c>
      <c r="T6" s="213" t="s">
        <v>36</v>
      </c>
      <c r="U6" s="213" t="s">
        <v>36</v>
      </c>
      <c r="V6" s="213" t="s">
        <v>36</v>
      </c>
      <c r="W6" s="213" t="s">
        <v>36</v>
      </c>
      <c r="X6" s="213"/>
      <c r="Y6" s="212">
        <f t="shared" si="0"/>
        <v>18</v>
      </c>
    </row>
    <row r="7" spans="1:25">
      <c r="A7" s="214" t="s">
        <v>80</v>
      </c>
      <c r="B7" s="213" t="s">
        <v>36</v>
      </c>
      <c r="C7" s="213" t="s">
        <v>36</v>
      </c>
      <c r="D7" s="213" t="s">
        <v>36</v>
      </c>
      <c r="E7" s="213" t="s">
        <v>36</v>
      </c>
      <c r="F7" s="213" t="s">
        <v>36</v>
      </c>
      <c r="G7" s="213" t="s">
        <v>36</v>
      </c>
      <c r="H7" s="213" t="s">
        <v>36</v>
      </c>
      <c r="I7" s="213" t="s">
        <v>36</v>
      </c>
      <c r="J7" s="213" t="s">
        <v>36</v>
      </c>
      <c r="K7" s="213"/>
      <c r="L7" s="213" t="s">
        <v>36</v>
      </c>
      <c r="M7" s="213" t="s">
        <v>36</v>
      </c>
      <c r="N7" s="213" t="s">
        <v>36</v>
      </c>
      <c r="O7" s="213" t="s">
        <v>36</v>
      </c>
      <c r="P7" s="213"/>
      <c r="Q7" s="213"/>
      <c r="R7" s="213"/>
      <c r="S7" s="213" t="s">
        <v>36</v>
      </c>
      <c r="T7" s="213" t="s">
        <v>36</v>
      </c>
      <c r="U7" s="213"/>
      <c r="V7" s="213" t="s">
        <v>36</v>
      </c>
      <c r="W7" s="213" t="s">
        <v>36</v>
      </c>
      <c r="X7" s="213"/>
      <c r="Y7" s="212">
        <f t="shared" si="0"/>
        <v>17</v>
      </c>
    </row>
    <row r="8" spans="1:25">
      <c r="A8" s="157" t="s">
        <v>389</v>
      </c>
      <c r="B8" s="196" t="s">
        <v>36</v>
      </c>
      <c r="C8" s="196" t="s">
        <v>36</v>
      </c>
      <c r="D8" s="196" t="s">
        <v>36</v>
      </c>
      <c r="E8" s="196" t="s">
        <v>36</v>
      </c>
      <c r="F8" s="196" t="s">
        <v>36</v>
      </c>
      <c r="G8" s="196" t="s">
        <v>36</v>
      </c>
      <c r="H8" s="196" t="s">
        <v>36</v>
      </c>
      <c r="I8" s="196" t="s">
        <v>36</v>
      </c>
      <c r="J8" s="196" t="s">
        <v>36</v>
      </c>
      <c r="K8" s="196"/>
      <c r="L8" s="196" t="s">
        <v>36</v>
      </c>
      <c r="M8" s="196" t="s">
        <v>36</v>
      </c>
      <c r="N8" s="196" t="s">
        <v>36</v>
      </c>
      <c r="O8" s="196" t="s">
        <v>36</v>
      </c>
      <c r="P8" s="196"/>
      <c r="Q8" s="196"/>
      <c r="R8" s="196" t="s">
        <v>36</v>
      </c>
      <c r="S8" s="196"/>
      <c r="T8" s="196" t="s">
        <v>36</v>
      </c>
      <c r="U8" s="196"/>
      <c r="V8" s="196" t="s">
        <v>36</v>
      </c>
      <c r="W8" s="196" t="s">
        <v>36</v>
      </c>
      <c r="X8" s="196"/>
      <c r="Y8" s="157">
        <f t="shared" si="0"/>
        <v>17</v>
      </c>
    </row>
    <row r="9" spans="1:25">
      <c r="A9" s="157" t="s">
        <v>176</v>
      </c>
      <c r="B9" s="196" t="s">
        <v>36</v>
      </c>
      <c r="C9" s="196" t="s">
        <v>36</v>
      </c>
      <c r="D9" s="196" t="s">
        <v>36</v>
      </c>
      <c r="E9" s="196" t="s">
        <v>36</v>
      </c>
      <c r="F9" s="196" t="s">
        <v>36</v>
      </c>
      <c r="G9" s="196" t="s">
        <v>36</v>
      </c>
      <c r="H9" s="196" t="s">
        <v>36</v>
      </c>
      <c r="I9" s="196" t="s">
        <v>36</v>
      </c>
      <c r="J9" s="196" t="s">
        <v>36</v>
      </c>
      <c r="K9" s="196"/>
      <c r="L9" s="196" t="s">
        <v>36</v>
      </c>
      <c r="M9" s="196" t="s">
        <v>36</v>
      </c>
      <c r="N9" s="196" t="s">
        <v>36</v>
      </c>
      <c r="O9" s="196" t="s">
        <v>36</v>
      </c>
      <c r="P9" s="196"/>
      <c r="Q9" s="196"/>
      <c r="R9" s="196"/>
      <c r="S9" s="196"/>
      <c r="T9" s="196" t="s">
        <v>36</v>
      </c>
      <c r="U9" s="196"/>
      <c r="V9" s="196" t="s">
        <v>36</v>
      </c>
      <c r="W9" s="196" t="s">
        <v>36</v>
      </c>
      <c r="X9" s="196"/>
      <c r="Y9" s="157">
        <f t="shared" si="0"/>
        <v>16</v>
      </c>
    </row>
    <row r="10" spans="1:25">
      <c r="A10" s="212" t="s">
        <v>572</v>
      </c>
      <c r="B10" s="213" t="s">
        <v>36</v>
      </c>
      <c r="C10" s="213" t="s">
        <v>36</v>
      </c>
      <c r="D10" s="213" t="s">
        <v>36</v>
      </c>
      <c r="E10" s="213" t="s">
        <v>36</v>
      </c>
      <c r="F10" s="213" t="s">
        <v>36</v>
      </c>
      <c r="G10" s="213" t="s">
        <v>36</v>
      </c>
      <c r="H10" s="213" t="s">
        <v>36</v>
      </c>
      <c r="I10" s="213" t="s">
        <v>36</v>
      </c>
      <c r="J10" s="213" t="s">
        <v>36</v>
      </c>
      <c r="K10" s="213"/>
      <c r="L10" s="213" t="s">
        <v>36</v>
      </c>
      <c r="M10" s="213" t="s">
        <v>36</v>
      </c>
      <c r="N10" s="213" t="s">
        <v>36</v>
      </c>
      <c r="O10" s="213" t="s">
        <v>36</v>
      </c>
      <c r="P10" s="213"/>
      <c r="Q10" s="213"/>
      <c r="R10" s="213"/>
      <c r="S10" s="213"/>
      <c r="T10" s="213" t="s">
        <v>36</v>
      </c>
      <c r="U10" s="213"/>
      <c r="V10" s="213" t="s">
        <v>36</v>
      </c>
      <c r="W10" s="213" t="s">
        <v>36</v>
      </c>
      <c r="X10" s="213"/>
      <c r="Y10" s="212">
        <f t="shared" si="0"/>
        <v>16</v>
      </c>
    </row>
    <row r="11" spans="1:25">
      <c r="A11" s="212" t="s">
        <v>249</v>
      </c>
      <c r="B11" s="213" t="s">
        <v>36</v>
      </c>
      <c r="C11" s="213" t="s">
        <v>36</v>
      </c>
      <c r="D11" s="213" t="s">
        <v>36</v>
      </c>
      <c r="E11" s="213" t="s">
        <v>36</v>
      </c>
      <c r="F11" s="213" t="s">
        <v>36</v>
      </c>
      <c r="G11" s="213" t="s">
        <v>36</v>
      </c>
      <c r="H11" s="213" t="s">
        <v>36</v>
      </c>
      <c r="I11" s="213" t="s">
        <v>36</v>
      </c>
      <c r="J11" s="213" t="s">
        <v>36</v>
      </c>
      <c r="K11" s="213"/>
      <c r="L11" s="213" t="s">
        <v>36</v>
      </c>
      <c r="M11" s="213" t="s">
        <v>36</v>
      </c>
      <c r="N11" s="213" t="s">
        <v>36</v>
      </c>
      <c r="O11" s="213" t="s">
        <v>36</v>
      </c>
      <c r="P11" s="213"/>
      <c r="Q11" s="213"/>
      <c r="R11" s="213"/>
      <c r="S11" s="213"/>
      <c r="T11" s="213" t="s">
        <v>36</v>
      </c>
      <c r="U11" s="213"/>
      <c r="V11" s="213" t="s">
        <v>36</v>
      </c>
      <c r="W11" s="213" t="s">
        <v>36</v>
      </c>
      <c r="X11" s="213"/>
      <c r="Y11" s="212">
        <f t="shared" si="0"/>
        <v>16</v>
      </c>
    </row>
    <row r="12" spans="1:25">
      <c r="A12" s="157" t="s">
        <v>344</v>
      </c>
      <c r="B12" s="196" t="s">
        <v>36</v>
      </c>
      <c r="C12" s="196" t="s">
        <v>36</v>
      </c>
      <c r="D12" s="196" t="s">
        <v>36</v>
      </c>
      <c r="E12" s="196" t="s">
        <v>36</v>
      </c>
      <c r="F12" s="196" t="s">
        <v>36</v>
      </c>
      <c r="G12" s="196" t="s">
        <v>36</v>
      </c>
      <c r="H12" s="196" t="s">
        <v>36</v>
      </c>
      <c r="I12" s="196" t="s">
        <v>36</v>
      </c>
      <c r="J12" s="196" t="s">
        <v>36</v>
      </c>
      <c r="K12" s="196"/>
      <c r="L12" s="196" t="s">
        <v>36</v>
      </c>
      <c r="M12" s="196" t="s">
        <v>36</v>
      </c>
      <c r="N12" s="196" t="s">
        <v>36</v>
      </c>
      <c r="O12" s="196" t="s">
        <v>36</v>
      </c>
      <c r="P12" s="196"/>
      <c r="Q12" s="196"/>
      <c r="R12" s="196"/>
      <c r="S12" s="196"/>
      <c r="T12" s="196" t="s">
        <v>36</v>
      </c>
      <c r="U12" s="196"/>
      <c r="V12" s="196" t="s">
        <v>36</v>
      </c>
      <c r="W12" s="196" t="s">
        <v>36</v>
      </c>
      <c r="X12" s="196"/>
      <c r="Y12" s="157">
        <f t="shared" si="0"/>
        <v>16</v>
      </c>
    </row>
    <row r="13" spans="1:25">
      <c r="A13" s="212" t="s">
        <v>371</v>
      </c>
      <c r="B13" s="213" t="s">
        <v>36</v>
      </c>
      <c r="C13" s="213" t="s">
        <v>36</v>
      </c>
      <c r="D13" s="213"/>
      <c r="E13" s="213" t="s">
        <v>36</v>
      </c>
      <c r="F13" s="213" t="s">
        <v>36</v>
      </c>
      <c r="G13" s="213" t="s">
        <v>36</v>
      </c>
      <c r="H13" s="213" t="s">
        <v>36</v>
      </c>
      <c r="I13" s="213" t="s">
        <v>36</v>
      </c>
      <c r="J13" s="213" t="s">
        <v>36</v>
      </c>
      <c r="K13" s="213"/>
      <c r="L13" s="213" t="s">
        <v>36</v>
      </c>
      <c r="M13" s="213" t="s">
        <v>36</v>
      </c>
      <c r="N13" s="213" t="s">
        <v>36</v>
      </c>
      <c r="O13" s="213" t="s">
        <v>36</v>
      </c>
      <c r="P13" s="213"/>
      <c r="Q13" s="213"/>
      <c r="R13" s="213"/>
      <c r="S13" s="213"/>
      <c r="T13" s="213" t="s">
        <v>36</v>
      </c>
      <c r="U13" s="213" t="s">
        <v>36</v>
      </c>
      <c r="V13" s="213" t="s">
        <v>36</v>
      </c>
      <c r="W13" s="213" t="s">
        <v>36</v>
      </c>
      <c r="X13" s="213"/>
      <c r="Y13" s="212">
        <f t="shared" si="0"/>
        <v>16</v>
      </c>
    </row>
    <row r="14" spans="1:25">
      <c r="A14" s="212" t="s">
        <v>373</v>
      </c>
      <c r="B14" s="213" t="s">
        <v>36</v>
      </c>
      <c r="C14" s="213" t="s">
        <v>36</v>
      </c>
      <c r="D14" s="213"/>
      <c r="E14" s="213"/>
      <c r="F14" s="213" t="s">
        <v>36</v>
      </c>
      <c r="G14" s="213" t="s">
        <v>36</v>
      </c>
      <c r="H14" s="213" t="s">
        <v>36</v>
      </c>
      <c r="I14" s="213" t="s">
        <v>36</v>
      </c>
      <c r="J14" s="213" t="s">
        <v>36</v>
      </c>
      <c r="K14" s="213"/>
      <c r="L14" s="213" t="s">
        <v>36</v>
      </c>
      <c r="M14" s="213" t="s">
        <v>36</v>
      </c>
      <c r="N14" s="213" t="s">
        <v>36</v>
      </c>
      <c r="O14" s="213" t="s">
        <v>36</v>
      </c>
      <c r="P14" s="213" t="s">
        <v>36</v>
      </c>
      <c r="Q14" s="213"/>
      <c r="R14" s="213"/>
      <c r="S14" s="213"/>
      <c r="T14" s="213" t="s">
        <v>36</v>
      </c>
      <c r="U14" s="213" t="s">
        <v>36</v>
      </c>
      <c r="V14" s="213" t="s">
        <v>36</v>
      </c>
      <c r="W14" s="213" t="s">
        <v>36</v>
      </c>
      <c r="X14" s="213"/>
      <c r="Y14" s="212">
        <f t="shared" si="0"/>
        <v>16</v>
      </c>
    </row>
    <row r="15" spans="1:25">
      <c r="A15" s="212" t="s">
        <v>602</v>
      </c>
      <c r="B15" s="213" t="s">
        <v>36</v>
      </c>
      <c r="C15" s="213" t="s">
        <v>36</v>
      </c>
      <c r="D15" s="213" t="s">
        <v>36</v>
      </c>
      <c r="E15" s="213" t="s">
        <v>36</v>
      </c>
      <c r="F15" s="213" t="s">
        <v>36</v>
      </c>
      <c r="G15" s="213" t="s">
        <v>36</v>
      </c>
      <c r="H15" s="213" t="s">
        <v>36</v>
      </c>
      <c r="I15" s="213" t="s">
        <v>36</v>
      </c>
      <c r="J15" s="213" t="s">
        <v>36</v>
      </c>
      <c r="K15" s="213"/>
      <c r="L15" s="213" t="s">
        <v>36</v>
      </c>
      <c r="M15" s="213" t="s">
        <v>36</v>
      </c>
      <c r="N15" s="213" t="s">
        <v>36</v>
      </c>
      <c r="O15" s="213" t="s">
        <v>36</v>
      </c>
      <c r="P15" s="213"/>
      <c r="Q15" s="213"/>
      <c r="R15" s="213"/>
      <c r="S15" s="213"/>
      <c r="T15" s="213" t="s">
        <v>36</v>
      </c>
      <c r="U15" s="213"/>
      <c r="V15" s="213" t="s">
        <v>36</v>
      </c>
      <c r="W15" s="213" t="s">
        <v>36</v>
      </c>
      <c r="X15" s="213"/>
      <c r="Y15" s="212">
        <f t="shared" si="0"/>
        <v>16</v>
      </c>
    </row>
    <row r="16" spans="1:25">
      <c r="A16" s="197" t="s">
        <v>59</v>
      </c>
      <c r="B16" s="196" t="s">
        <v>36</v>
      </c>
      <c r="C16" s="196" t="s">
        <v>36</v>
      </c>
      <c r="D16" s="196" t="s">
        <v>36</v>
      </c>
      <c r="E16" s="196" t="s">
        <v>36</v>
      </c>
      <c r="F16" s="196" t="s">
        <v>36</v>
      </c>
      <c r="G16" s="196" t="s">
        <v>36</v>
      </c>
      <c r="H16" s="196" t="s">
        <v>36</v>
      </c>
      <c r="I16" s="196" t="s">
        <v>36</v>
      </c>
      <c r="J16" s="196" t="s">
        <v>36</v>
      </c>
      <c r="K16" s="196"/>
      <c r="L16" s="196"/>
      <c r="M16" s="196"/>
      <c r="N16" s="196"/>
      <c r="O16" s="196" t="s">
        <v>36</v>
      </c>
      <c r="P16" s="196" t="s">
        <v>36</v>
      </c>
      <c r="Q16" s="196"/>
      <c r="R16" s="196"/>
      <c r="S16" s="196"/>
      <c r="T16" s="196" t="s">
        <v>36</v>
      </c>
      <c r="U16" s="196" t="s">
        <v>36</v>
      </c>
      <c r="V16" s="196" t="s">
        <v>36</v>
      </c>
      <c r="W16" s="196" t="s">
        <v>36</v>
      </c>
      <c r="X16" s="196"/>
      <c r="Y16" s="157">
        <f t="shared" si="0"/>
        <v>15</v>
      </c>
    </row>
    <row r="17" spans="1:25">
      <c r="A17" s="212" t="s">
        <v>573</v>
      </c>
      <c r="B17" s="213" t="s">
        <v>36</v>
      </c>
      <c r="C17" s="213" t="s">
        <v>36</v>
      </c>
      <c r="D17" s="213" t="s">
        <v>36</v>
      </c>
      <c r="E17" s="213" t="s">
        <v>36</v>
      </c>
      <c r="F17" s="213" t="s">
        <v>36</v>
      </c>
      <c r="G17" s="213" t="s">
        <v>36</v>
      </c>
      <c r="H17" s="213" t="s">
        <v>36</v>
      </c>
      <c r="I17" s="213" t="s">
        <v>36</v>
      </c>
      <c r="J17" s="213" t="s">
        <v>36</v>
      </c>
      <c r="K17" s="213"/>
      <c r="L17" s="213" t="s">
        <v>36</v>
      </c>
      <c r="M17" s="213" t="s">
        <v>36</v>
      </c>
      <c r="N17" s="213" t="s">
        <v>36</v>
      </c>
      <c r="O17" s="213" t="s">
        <v>36</v>
      </c>
      <c r="P17" s="213"/>
      <c r="Q17" s="213"/>
      <c r="R17" s="213"/>
      <c r="S17" s="213"/>
      <c r="T17" s="213" t="s">
        <v>36</v>
      </c>
      <c r="U17" s="213"/>
      <c r="V17" s="213"/>
      <c r="W17" s="213" t="s">
        <v>36</v>
      </c>
      <c r="X17" s="213"/>
      <c r="Y17" s="212">
        <f t="shared" si="0"/>
        <v>15</v>
      </c>
    </row>
    <row r="18" spans="1:25">
      <c r="A18" s="212" t="s">
        <v>609</v>
      </c>
      <c r="B18" s="213" t="s">
        <v>36</v>
      </c>
      <c r="C18" s="213" t="s">
        <v>36</v>
      </c>
      <c r="D18" s="213" t="s">
        <v>36</v>
      </c>
      <c r="E18" s="213" t="s">
        <v>36</v>
      </c>
      <c r="F18" s="213" t="s">
        <v>36</v>
      </c>
      <c r="G18" s="213" t="s">
        <v>36</v>
      </c>
      <c r="H18" s="213" t="s">
        <v>36</v>
      </c>
      <c r="I18" s="213" t="s">
        <v>36</v>
      </c>
      <c r="J18" s="213" t="s">
        <v>36</v>
      </c>
      <c r="K18" s="213"/>
      <c r="L18" s="213" t="s">
        <v>36</v>
      </c>
      <c r="M18" s="213" t="s">
        <v>36</v>
      </c>
      <c r="N18" s="213" t="s">
        <v>36</v>
      </c>
      <c r="O18" s="213" t="s">
        <v>36</v>
      </c>
      <c r="P18" s="213"/>
      <c r="Q18" s="213"/>
      <c r="R18" s="213"/>
      <c r="S18" s="213"/>
      <c r="T18" s="213" t="s">
        <v>36</v>
      </c>
      <c r="U18" s="213"/>
      <c r="V18" s="213"/>
      <c r="W18" s="213" t="s">
        <v>36</v>
      </c>
      <c r="X18" s="213"/>
      <c r="Y18" s="212">
        <f t="shared" si="0"/>
        <v>15</v>
      </c>
    </row>
    <row r="19" spans="1:25">
      <c r="A19" s="214" t="s">
        <v>109</v>
      </c>
      <c r="B19" s="213" t="s">
        <v>36</v>
      </c>
      <c r="C19" s="213" t="s">
        <v>36</v>
      </c>
      <c r="D19" s="213" t="s">
        <v>36</v>
      </c>
      <c r="E19" s="213" t="s">
        <v>36</v>
      </c>
      <c r="F19" s="213"/>
      <c r="G19" s="213"/>
      <c r="H19" s="213" t="s">
        <v>36</v>
      </c>
      <c r="I19" s="213" t="s">
        <v>36</v>
      </c>
      <c r="J19" s="213" t="s">
        <v>36</v>
      </c>
      <c r="K19" s="213"/>
      <c r="L19" s="213" t="s">
        <v>36</v>
      </c>
      <c r="M19" s="213" t="s">
        <v>36</v>
      </c>
      <c r="N19" s="213" t="s">
        <v>36</v>
      </c>
      <c r="O19" s="213" t="s">
        <v>36</v>
      </c>
      <c r="P19" s="213"/>
      <c r="Q19" s="213"/>
      <c r="R19" s="213"/>
      <c r="S19" s="213"/>
      <c r="T19" s="213" t="s">
        <v>36</v>
      </c>
      <c r="U19" s="213"/>
      <c r="V19" s="213" t="s">
        <v>36</v>
      </c>
      <c r="W19" s="213" t="s">
        <v>36</v>
      </c>
      <c r="X19" s="213"/>
      <c r="Y19" s="212">
        <f t="shared" si="0"/>
        <v>14</v>
      </c>
    </row>
    <row r="20" spans="1:25">
      <c r="A20" s="214" t="s">
        <v>113</v>
      </c>
      <c r="B20" s="213" t="s">
        <v>36</v>
      </c>
      <c r="C20" s="213" t="s">
        <v>36</v>
      </c>
      <c r="D20" s="213" t="s">
        <v>36</v>
      </c>
      <c r="E20" s="213" t="s">
        <v>36</v>
      </c>
      <c r="F20" s="213" t="s">
        <v>36</v>
      </c>
      <c r="G20" s="213" t="s">
        <v>36</v>
      </c>
      <c r="H20" s="213" t="s">
        <v>36</v>
      </c>
      <c r="I20" s="213" t="s">
        <v>36</v>
      </c>
      <c r="J20" s="213" t="s">
        <v>36</v>
      </c>
      <c r="K20" s="213"/>
      <c r="L20" s="213"/>
      <c r="M20" s="213"/>
      <c r="N20" s="213"/>
      <c r="O20" s="213" t="s">
        <v>36</v>
      </c>
      <c r="P20" s="213"/>
      <c r="Q20" s="213"/>
      <c r="R20" s="213"/>
      <c r="S20" s="213" t="s">
        <v>36</v>
      </c>
      <c r="T20" s="213" t="s">
        <v>36</v>
      </c>
      <c r="U20" s="213"/>
      <c r="V20" s="213" t="s">
        <v>36</v>
      </c>
      <c r="W20" s="213" t="s">
        <v>36</v>
      </c>
      <c r="X20" s="213"/>
      <c r="Y20" s="212">
        <f t="shared" si="0"/>
        <v>14</v>
      </c>
    </row>
    <row r="21" spans="1:25">
      <c r="A21" s="157" t="s">
        <v>174</v>
      </c>
      <c r="B21" s="196" t="s">
        <v>36</v>
      </c>
      <c r="C21" s="196" t="s">
        <v>36</v>
      </c>
      <c r="D21" s="196" t="s">
        <v>36</v>
      </c>
      <c r="E21" s="196" t="s">
        <v>36</v>
      </c>
      <c r="F21" s="196"/>
      <c r="G21" s="196"/>
      <c r="H21" s="196" t="s">
        <v>36</v>
      </c>
      <c r="I21" s="196" t="s">
        <v>36</v>
      </c>
      <c r="J21" s="196" t="s">
        <v>36</v>
      </c>
      <c r="K21" s="196"/>
      <c r="L21" s="196" t="s">
        <v>36</v>
      </c>
      <c r="M21" s="196" t="s">
        <v>36</v>
      </c>
      <c r="N21" s="196" t="s">
        <v>36</v>
      </c>
      <c r="O21" s="196" t="s">
        <v>36</v>
      </c>
      <c r="P21" s="196"/>
      <c r="Q21" s="196"/>
      <c r="R21" s="196"/>
      <c r="S21" s="196"/>
      <c r="T21" s="196" t="s">
        <v>36</v>
      </c>
      <c r="U21" s="196"/>
      <c r="V21" s="196" t="s">
        <v>36</v>
      </c>
      <c r="W21" s="196" t="s">
        <v>36</v>
      </c>
      <c r="X21" s="196"/>
      <c r="Y21" s="157">
        <f t="shared" si="0"/>
        <v>14</v>
      </c>
    </row>
    <row r="22" spans="1:25">
      <c r="A22" s="157" t="s">
        <v>189</v>
      </c>
      <c r="B22" s="196" t="s">
        <v>36</v>
      </c>
      <c r="C22" s="196" t="s">
        <v>36</v>
      </c>
      <c r="D22" s="196" t="s">
        <v>36</v>
      </c>
      <c r="E22" s="196" t="s">
        <v>36</v>
      </c>
      <c r="F22" s="196"/>
      <c r="G22" s="196"/>
      <c r="H22" s="196" t="s">
        <v>36</v>
      </c>
      <c r="I22" s="196" t="s">
        <v>36</v>
      </c>
      <c r="J22" s="196" t="s">
        <v>36</v>
      </c>
      <c r="K22" s="196"/>
      <c r="L22" s="196" t="s">
        <v>36</v>
      </c>
      <c r="M22" s="196" t="s">
        <v>36</v>
      </c>
      <c r="N22" s="196" t="s">
        <v>36</v>
      </c>
      <c r="O22" s="196" t="s">
        <v>36</v>
      </c>
      <c r="P22" s="196"/>
      <c r="Q22" s="196"/>
      <c r="R22" s="196"/>
      <c r="S22" s="196"/>
      <c r="T22" s="196" t="s">
        <v>36</v>
      </c>
      <c r="U22" s="196"/>
      <c r="V22" s="196" t="s">
        <v>36</v>
      </c>
      <c r="W22" s="196" t="s">
        <v>36</v>
      </c>
      <c r="X22" s="196"/>
      <c r="Y22" s="157">
        <f t="shared" si="0"/>
        <v>14</v>
      </c>
    </row>
    <row r="23" spans="1:25">
      <c r="A23" s="212" t="s">
        <v>363</v>
      </c>
      <c r="B23" s="213" t="s">
        <v>36</v>
      </c>
      <c r="C23" s="213" t="s">
        <v>36</v>
      </c>
      <c r="D23" s="213"/>
      <c r="E23" s="213"/>
      <c r="F23" s="213" t="s">
        <v>36</v>
      </c>
      <c r="G23" s="213" t="s">
        <v>36</v>
      </c>
      <c r="H23" s="213" t="s">
        <v>36</v>
      </c>
      <c r="I23" s="213" t="s">
        <v>36</v>
      </c>
      <c r="J23" s="213" t="s">
        <v>36</v>
      </c>
      <c r="K23" s="213"/>
      <c r="L23" s="213" t="s">
        <v>36</v>
      </c>
      <c r="M23" s="213" t="s">
        <v>36</v>
      </c>
      <c r="N23" s="213" t="s">
        <v>36</v>
      </c>
      <c r="O23" s="213" t="s">
        <v>36</v>
      </c>
      <c r="P23" s="213"/>
      <c r="Q23" s="213"/>
      <c r="R23" s="213"/>
      <c r="S23" s="213"/>
      <c r="T23" s="213" t="s">
        <v>36</v>
      </c>
      <c r="U23" s="213"/>
      <c r="V23" s="213" t="s">
        <v>36</v>
      </c>
      <c r="W23" s="213" t="s">
        <v>36</v>
      </c>
      <c r="X23" s="213"/>
      <c r="Y23" s="212">
        <f t="shared" si="0"/>
        <v>14</v>
      </c>
    </row>
    <row r="24" spans="1:25">
      <c r="A24" s="197" t="s">
        <v>66</v>
      </c>
      <c r="B24" s="196" t="s">
        <v>36</v>
      </c>
      <c r="C24" s="196" t="s">
        <v>36</v>
      </c>
      <c r="D24" s="196" t="s">
        <v>36</v>
      </c>
      <c r="E24" s="196" t="s">
        <v>36</v>
      </c>
      <c r="F24" s="196" t="s">
        <v>36</v>
      </c>
      <c r="G24" s="196" t="s">
        <v>36</v>
      </c>
      <c r="H24" s="196" t="s">
        <v>36</v>
      </c>
      <c r="I24" s="196" t="s">
        <v>36</v>
      </c>
      <c r="J24" s="196" t="s">
        <v>36</v>
      </c>
      <c r="K24" s="196"/>
      <c r="L24" s="196"/>
      <c r="M24" s="196"/>
      <c r="N24" s="196"/>
      <c r="O24" s="196" t="s">
        <v>36</v>
      </c>
      <c r="P24" s="196"/>
      <c r="Q24" s="196"/>
      <c r="R24" s="196"/>
      <c r="S24" s="196"/>
      <c r="T24" s="196" t="s">
        <v>36</v>
      </c>
      <c r="U24" s="196"/>
      <c r="V24" s="196" t="s">
        <v>36</v>
      </c>
      <c r="W24" s="196" t="s">
        <v>36</v>
      </c>
      <c r="X24" s="196"/>
      <c r="Y24" s="157">
        <f t="shared" si="0"/>
        <v>13</v>
      </c>
    </row>
    <row r="25" spans="1:25">
      <c r="A25" s="197" t="s">
        <v>70</v>
      </c>
      <c r="B25" s="196" t="s">
        <v>36</v>
      </c>
      <c r="C25" s="196" t="s">
        <v>36</v>
      </c>
      <c r="D25" s="196" t="s">
        <v>36</v>
      </c>
      <c r="E25" s="196" t="s">
        <v>36</v>
      </c>
      <c r="F25" s="196" t="s">
        <v>36</v>
      </c>
      <c r="G25" s="196" t="s">
        <v>36</v>
      </c>
      <c r="H25" s="196" t="s">
        <v>36</v>
      </c>
      <c r="I25" s="196" t="s">
        <v>36</v>
      </c>
      <c r="J25" s="196" t="s">
        <v>36</v>
      </c>
      <c r="K25" s="196"/>
      <c r="L25" s="196"/>
      <c r="M25" s="196"/>
      <c r="N25" s="196"/>
      <c r="O25" s="196" t="s">
        <v>36</v>
      </c>
      <c r="P25" s="196"/>
      <c r="Q25" s="196"/>
      <c r="R25" s="196"/>
      <c r="S25" s="196"/>
      <c r="T25" s="196" t="s">
        <v>36</v>
      </c>
      <c r="U25" s="196"/>
      <c r="V25" s="196" t="s">
        <v>36</v>
      </c>
      <c r="W25" s="196" t="s">
        <v>36</v>
      </c>
      <c r="X25" s="196"/>
      <c r="Y25" s="157">
        <f t="shared" si="0"/>
        <v>13</v>
      </c>
    </row>
    <row r="26" spans="1:25">
      <c r="A26" s="197" t="s">
        <v>74</v>
      </c>
      <c r="B26" s="196" t="s">
        <v>36</v>
      </c>
      <c r="C26" s="196" t="s">
        <v>36</v>
      </c>
      <c r="D26" s="196"/>
      <c r="E26" s="196"/>
      <c r="F26" s="196" t="s">
        <v>36</v>
      </c>
      <c r="G26" s="196" t="s">
        <v>36</v>
      </c>
      <c r="H26" s="196" t="s">
        <v>36</v>
      </c>
      <c r="I26" s="196" t="s">
        <v>36</v>
      </c>
      <c r="J26" s="196" t="s">
        <v>36</v>
      </c>
      <c r="K26" s="196"/>
      <c r="L26" s="196"/>
      <c r="M26" s="196"/>
      <c r="N26" s="196"/>
      <c r="O26" s="196" t="s">
        <v>36</v>
      </c>
      <c r="P26" s="196" t="s">
        <v>36</v>
      </c>
      <c r="Q26" s="196"/>
      <c r="R26" s="196"/>
      <c r="S26" s="196"/>
      <c r="T26" s="196" t="s">
        <v>36</v>
      </c>
      <c r="U26" s="196" t="s">
        <v>36</v>
      </c>
      <c r="V26" s="196" t="s">
        <v>36</v>
      </c>
      <c r="W26" s="196" t="s">
        <v>36</v>
      </c>
      <c r="X26" s="196"/>
      <c r="Y26" s="157">
        <f t="shared" si="0"/>
        <v>13</v>
      </c>
    </row>
    <row r="27" spans="1:25">
      <c r="A27" s="157" t="s">
        <v>161</v>
      </c>
      <c r="B27" s="196" t="s">
        <v>36</v>
      </c>
      <c r="C27" s="196" t="s">
        <v>36</v>
      </c>
      <c r="D27" s="196" t="s">
        <v>36</v>
      </c>
      <c r="E27" s="196" t="s">
        <v>36</v>
      </c>
      <c r="F27" s="196"/>
      <c r="G27" s="196"/>
      <c r="H27" s="196" t="s">
        <v>36</v>
      </c>
      <c r="I27" s="196" t="s">
        <v>36</v>
      </c>
      <c r="J27" s="196" t="s">
        <v>36</v>
      </c>
      <c r="K27" s="196"/>
      <c r="L27" s="196" t="s">
        <v>36</v>
      </c>
      <c r="M27" s="196" t="s">
        <v>36</v>
      </c>
      <c r="N27" s="196" t="s">
        <v>36</v>
      </c>
      <c r="O27" s="196" t="s">
        <v>36</v>
      </c>
      <c r="P27" s="196"/>
      <c r="Q27" s="196"/>
      <c r="R27" s="196"/>
      <c r="S27" s="196"/>
      <c r="T27" s="196"/>
      <c r="U27" s="196"/>
      <c r="V27" s="196" t="s">
        <v>36</v>
      </c>
      <c r="W27" s="196" t="s">
        <v>36</v>
      </c>
      <c r="X27" s="196"/>
      <c r="Y27" s="157">
        <f t="shared" si="0"/>
        <v>13</v>
      </c>
    </row>
    <row r="28" spans="1:25">
      <c r="A28" s="157" t="s">
        <v>166</v>
      </c>
      <c r="B28" s="196" t="s">
        <v>36</v>
      </c>
      <c r="C28" s="196" t="s">
        <v>36</v>
      </c>
      <c r="D28" s="196" t="s">
        <v>36</v>
      </c>
      <c r="E28" s="196" t="s">
        <v>36</v>
      </c>
      <c r="F28" s="196"/>
      <c r="G28" s="196"/>
      <c r="H28" s="196" t="s">
        <v>36</v>
      </c>
      <c r="I28" s="196" t="s">
        <v>36</v>
      </c>
      <c r="J28" s="196" t="s">
        <v>36</v>
      </c>
      <c r="K28" s="196"/>
      <c r="L28" s="196" t="s">
        <v>36</v>
      </c>
      <c r="M28" s="196" t="s">
        <v>36</v>
      </c>
      <c r="N28" s="196" t="s">
        <v>36</v>
      </c>
      <c r="O28" s="196" t="s">
        <v>36</v>
      </c>
      <c r="P28" s="196"/>
      <c r="Q28" s="196"/>
      <c r="R28" s="196"/>
      <c r="S28" s="196"/>
      <c r="T28" s="196"/>
      <c r="U28" s="196"/>
      <c r="V28" s="196" t="s">
        <v>36</v>
      </c>
      <c r="W28" s="196" t="s">
        <v>36</v>
      </c>
      <c r="X28" s="196"/>
      <c r="Y28" s="157">
        <f t="shared" si="0"/>
        <v>13</v>
      </c>
    </row>
    <row r="29" spans="1:25">
      <c r="A29" s="157" t="s">
        <v>185</v>
      </c>
      <c r="B29" s="196" t="s">
        <v>36</v>
      </c>
      <c r="C29" s="196" t="s">
        <v>36</v>
      </c>
      <c r="D29" s="196" t="s">
        <v>36</v>
      </c>
      <c r="E29" s="196" t="s">
        <v>36</v>
      </c>
      <c r="F29" s="196"/>
      <c r="G29" s="196"/>
      <c r="H29" s="196" t="s">
        <v>36</v>
      </c>
      <c r="I29" s="196" t="s">
        <v>36</v>
      </c>
      <c r="J29" s="196" t="s">
        <v>36</v>
      </c>
      <c r="K29" s="196"/>
      <c r="L29" s="196" t="s">
        <v>36</v>
      </c>
      <c r="M29" s="196" t="s">
        <v>36</v>
      </c>
      <c r="N29" s="196" t="s">
        <v>36</v>
      </c>
      <c r="O29" s="196" t="s">
        <v>36</v>
      </c>
      <c r="P29" s="196"/>
      <c r="Q29" s="196"/>
      <c r="R29" s="196"/>
      <c r="S29" s="196"/>
      <c r="T29" s="196"/>
      <c r="U29" s="196"/>
      <c r="V29" s="196" t="s">
        <v>36</v>
      </c>
      <c r="W29" s="196" t="s">
        <v>36</v>
      </c>
      <c r="X29" s="196"/>
      <c r="Y29" s="157">
        <f t="shared" si="0"/>
        <v>13</v>
      </c>
    </row>
    <row r="30" spans="1:25">
      <c r="A30" s="157" t="s">
        <v>187</v>
      </c>
      <c r="B30" s="196" t="s">
        <v>36</v>
      </c>
      <c r="C30" s="196" t="s">
        <v>36</v>
      </c>
      <c r="D30" s="196" t="s">
        <v>36</v>
      </c>
      <c r="E30" s="196" t="s">
        <v>36</v>
      </c>
      <c r="F30" s="196"/>
      <c r="G30" s="196"/>
      <c r="H30" s="196" t="s">
        <v>36</v>
      </c>
      <c r="I30" s="196" t="s">
        <v>36</v>
      </c>
      <c r="J30" s="196" t="s">
        <v>36</v>
      </c>
      <c r="K30" s="196"/>
      <c r="L30" s="196" t="s">
        <v>36</v>
      </c>
      <c r="M30" s="196" t="s">
        <v>36</v>
      </c>
      <c r="N30" s="196" t="s">
        <v>36</v>
      </c>
      <c r="O30" s="196" t="s">
        <v>36</v>
      </c>
      <c r="P30" s="196"/>
      <c r="Q30" s="196"/>
      <c r="R30" s="196"/>
      <c r="S30" s="196"/>
      <c r="T30" s="196"/>
      <c r="U30" s="196"/>
      <c r="V30" s="196" t="s">
        <v>36</v>
      </c>
      <c r="W30" s="196" t="s">
        <v>36</v>
      </c>
      <c r="X30" s="196"/>
      <c r="Y30" s="157">
        <f t="shared" si="0"/>
        <v>13</v>
      </c>
    </row>
    <row r="31" spans="1:25">
      <c r="A31" s="157" t="s">
        <v>329</v>
      </c>
      <c r="B31" s="196" t="s">
        <v>36</v>
      </c>
      <c r="C31" s="196" t="s">
        <v>36</v>
      </c>
      <c r="D31" s="196" t="s">
        <v>36</v>
      </c>
      <c r="E31" s="196" t="s">
        <v>36</v>
      </c>
      <c r="F31" s="196" t="s">
        <v>36</v>
      </c>
      <c r="G31" s="196" t="s">
        <v>36</v>
      </c>
      <c r="H31" s="196" t="s">
        <v>36</v>
      </c>
      <c r="I31" s="196" t="s">
        <v>36</v>
      </c>
      <c r="J31" s="196" t="s">
        <v>36</v>
      </c>
      <c r="K31" s="196"/>
      <c r="L31" s="196"/>
      <c r="M31" s="196"/>
      <c r="N31" s="196"/>
      <c r="O31" s="196" t="s">
        <v>36</v>
      </c>
      <c r="P31" s="196"/>
      <c r="Q31" s="196"/>
      <c r="R31" s="196"/>
      <c r="S31" s="196"/>
      <c r="T31" s="196" t="s">
        <v>36</v>
      </c>
      <c r="U31" s="196"/>
      <c r="V31" s="196" t="s">
        <v>36</v>
      </c>
      <c r="W31" s="196" t="s">
        <v>36</v>
      </c>
      <c r="X31" s="196"/>
      <c r="Y31" s="157">
        <f t="shared" si="0"/>
        <v>13</v>
      </c>
    </row>
    <row r="32" spans="1:25">
      <c r="A32" s="157" t="s">
        <v>338</v>
      </c>
      <c r="B32" s="196" t="s">
        <v>36</v>
      </c>
      <c r="C32" s="196" t="s">
        <v>36</v>
      </c>
      <c r="D32" s="196" t="s">
        <v>36</v>
      </c>
      <c r="E32" s="196" t="s">
        <v>36</v>
      </c>
      <c r="F32" s="196" t="s">
        <v>36</v>
      </c>
      <c r="G32" s="196" t="s">
        <v>36</v>
      </c>
      <c r="H32" s="196" t="s">
        <v>36</v>
      </c>
      <c r="I32" s="196" t="s">
        <v>36</v>
      </c>
      <c r="J32" s="196" t="s">
        <v>36</v>
      </c>
      <c r="K32" s="196"/>
      <c r="L32" s="196"/>
      <c r="M32" s="196"/>
      <c r="N32" s="196"/>
      <c r="O32" s="196" t="s">
        <v>36</v>
      </c>
      <c r="P32" s="196"/>
      <c r="Q32" s="196"/>
      <c r="R32" s="196"/>
      <c r="S32" s="196"/>
      <c r="T32" s="196" t="s">
        <v>36</v>
      </c>
      <c r="U32" s="196"/>
      <c r="V32" s="196" t="s">
        <v>36</v>
      </c>
      <c r="W32" s="196" t="s">
        <v>36</v>
      </c>
      <c r="X32" s="196"/>
      <c r="Y32" s="157">
        <f t="shared" si="0"/>
        <v>13</v>
      </c>
    </row>
    <row r="33" spans="1:25">
      <c r="A33" s="212" t="s">
        <v>375</v>
      </c>
      <c r="B33" s="213" t="s">
        <v>36</v>
      </c>
      <c r="C33" s="213" t="s">
        <v>36</v>
      </c>
      <c r="D33" s="213"/>
      <c r="E33" s="213"/>
      <c r="F33" s="213" t="s">
        <v>36</v>
      </c>
      <c r="G33" s="213" t="s">
        <v>36</v>
      </c>
      <c r="H33" s="213" t="s">
        <v>36</v>
      </c>
      <c r="I33" s="213" t="s">
        <v>36</v>
      </c>
      <c r="J33" s="213" t="s">
        <v>36</v>
      </c>
      <c r="K33" s="213"/>
      <c r="L33" s="213" t="s">
        <v>36</v>
      </c>
      <c r="M33" s="213" t="s">
        <v>36</v>
      </c>
      <c r="N33" s="213" t="s">
        <v>36</v>
      </c>
      <c r="O33" s="213" t="s">
        <v>36</v>
      </c>
      <c r="P33" s="213"/>
      <c r="Q33" s="213"/>
      <c r="R33" s="213"/>
      <c r="S33" s="213"/>
      <c r="T33" s="213"/>
      <c r="U33" s="213"/>
      <c r="V33" s="213" t="s">
        <v>36</v>
      </c>
      <c r="W33" s="213" t="s">
        <v>36</v>
      </c>
      <c r="X33" s="213"/>
      <c r="Y33" s="212">
        <f t="shared" si="0"/>
        <v>13</v>
      </c>
    </row>
    <row r="34" spans="1:25">
      <c r="A34" s="197" t="s">
        <v>54</v>
      </c>
      <c r="B34" s="196" t="s">
        <v>36</v>
      </c>
      <c r="C34" s="196" t="s">
        <v>36</v>
      </c>
      <c r="D34" s="196" t="s">
        <v>36</v>
      </c>
      <c r="E34" s="196" t="s">
        <v>36</v>
      </c>
      <c r="F34" s="196" t="s">
        <v>36</v>
      </c>
      <c r="G34" s="196" t="s">
        <v>36</v>
      </c>
      <c r="H34" s="196" t="s">
        <v>36</v>
      </c>
      <c r="I34" s="196" t="s">
        <v>36</v>
      </c>
      <c r="J34" s="196" t="s">
        <v>36</v>
      </c>
      <c r="K34" s="196"/>
      <c r="L34" s="196"/>
      <c r="M34" s="196"/>
      <c r="N34" s="196"/>
      <c r="O34" s="196" t="s">
        <v>36</v>
      </c>
      <c r="P34" s="196"/>
      <c r="Q34" s="196"/>
      <c r="R34" s="196"/>
      <c r="S34" s="196"/>
      <c r="T34" s="196" t="s">
        <v>36</v>
      </c>
      <c r="U34" s="196"/>
      <c r="V34" s="196"/>
      <c r="W34" s="196" t="s">
        <v>36</v>
      </c>
      <c r="X34" s="196"/>
      <c r="Y34" s="157">
        <f t="shared" si="0"/>
        <v>12</v>
      </c>
    </row>
    <row r="35" spans="1:25">
      <c r="A35" s="212" t="s">
        <v>377</v>
      </c>
      <c r="B35" s="213" t="s">
        <v>36</v>
      </c>
      <c r="C35" s="213"/>
      <c r="D35" s="213" t="s">
        <v>36</v>
      </c>
      <c r="E35" s="213" t="s">
        <v>36</v>
      </c>
      <c r="F35" s="213" t="s">
        <v>36</v>
      </c>
      <c r="G35" s="213" t="s">
        <v>36</v>
      </c>
      <c r="H35" s="213" t="s">
        <v>36</v>
      </c>
      <c r="I35" s="213"/>
      <c r="J35" s="213" t="s">
        <v>36</v>
      </c>
      <c r="K35" s="213"/>
      <c r="L35" s="213"/>
      <c r="M35" s="213" t="s">
        <v>36</v>
      </c>
      <c r="N35" s="213" t="s">
        <v>36</v>
      </c>
      <c r="O35" s="213" t="s">
        <v>36</v>
      </c>
      <c r="P35" s="213"/>
      <c r="Q35" s="213"/>
      <c r="R35" s="213"/>
      <c r="S35" s="213"/>
      <c r="T35" s="213"/>
      <c r="U35" s="213"/>
      <c r="V35" s="213" t="s">
        <v>36</v>
      </c>
      <c r="W35" s="213" t="s">
        <v>36</v>
      </c>
      <c r="X35" s="213"/>
      <c r="Y35" s="212">
        <f t="shared" si="0"/>
        <v>12</v>
      </c>
    </row>
    <row r="36" spans="1:25">
      <c r="A36" s="157" t="s">
        <v>427</v>
      </c>
      <c r="B36" s="196"/>
      <c r="C36" s="196"/>
      <c r="D36" s="196" t="s">
        <v>36</v>
      </c>
      <c r="E36" s="196" t="s">
        <v>36</v>
      </c>
      <c r="F36" s="196" t="s">
        <v>36</v>
      </c>
      <c r="G36" s="196" t="s">
        <v>36</v>
      </c>
      <c r="H36" s="196" t="s">
        <v>36</v>
      </c>
      <c r="I36" s="196"/>
      <c r="J36" s="196"/>
      <c r="K36" s="196" t="s">
        <v>36</v>
      </c>
      <c r="L36" s="196" t="s">
        <v>36</v>
      </c>
      <c r="M36" s="196" t="s">
        <v>36</v>
      </c>
      <c r="N36" s="196" t="s">
        <v>36</v>
      </c>
      <c r="O36" s="196" t="s">
        <v>36</v>
      </c>
      <c r="P36" s="196"/>
      <c r="Q36" s="196"/>
      <c r="R36" s="196"/>
      <c r="S36" s="196"/>
      <c r="T36" s="196"/>
      <c r="U36" s="196"/>
      <c r="V36" s="196" t="s">
        <v>36</v>
      </c>
      <c r="W36" s="196" t="s">
        <v>36</v>
      </c>
      <c r="X36" s="196"/>
      <c r="Y36" s="157">
        <f t="shared" si="0"/>
        <v>12</v>
      </c>
    </row>
    <row r="37" spans="1:25">
      <c r="A37" s="197" t="s">
        <v>72</v>
      </c>
      <c r="B37" s="196" t="s">
        <v>36</v>
      </c>
      <c r="C37" s="196" t="s">
        <v>36</v>
      </c>
      <c r="D37" s="196"/>
      <c r="E37" s="196"/>
      <c r="F37" s="196" t="s">
        <v>36</v>
      </c>
      <c r="G37" s="196" t="s">
        <v>36</v>
      </c>
      <c r="H37" s="196" t="s">
        <v>36</v>
      </c>
      <c r="I37" s="196" t="s">
        <v>36</v>
      </c>
      <c r="J37" s="196" t="s">
        <v>36</v>
      </c>
      <c r="K37" s="196"/>
      <c r="L37" s="196"/>
      <c r="M37" s="196"/>
      <c r="N37" s="196"/>
      <c r="O37" s="196" t="s">
        <v>36</v>
      </c>
      <c r="P37" s="196"/>
      <c r="Q37" s="196"/>
      <c r="R37" s="196"/>
      <c r="S37" s="196"/>
      <c r="T37" s="196" t="s">
        <v>36</v>
      </c>
      <c r="U37" s="196"/>
      <c r="V37" s="196" t="s">
        <v>36</v>
      </c>
      <c r="W37" s="196" t="s">
        <v>36</v>
      </c>
      <c r="X37" s="196"/>
      <c r="Y37" s="157">
        <f t="shared" si="0"/>
        <v>11</v>
      </c>
    </row>
    <row r="38" spans="1:25">
      <c r="A38" s="212" t="s">
        <v>222</v>
      </c>
      <c r="B38" s="213" t="s">
        <v>36</v>
      </c>
      <c r="C38" s="213" t="s">
        <v>36</v>
      </c>
      <c r="D38" s="213" t="s">
        <v>36</v>
      </c>
      <c r="E38" s="213" t="s">
        <v>36</v>
      </c>
      <c r="F38" s="213" t="s">
        <v>36</v>
      </c>
      <c r="G38" s="213" t="s">
        <v>36</v>
      </c>
      <c r="H38" s="213" t="s">
        <v>36</v>
      </c>
      <c r="I38" s="213" t="s">
        <v>36</v>
      </c>
      <c r="J38" s="213"/>
      <c r="K38" s="213"/>
      <c r="L38" s="213"/>
      <c r="M38" s="213"/>
      <c r="N38" s="213"/>
      <c r="O38" s="213" t="s">
        <v>36</v>
      </c>
      <c r="P38" s="213"/>
      <c r="Q38" s="213"/>
      <c r="R38" s="213"/>
      <c r="S38" s="213"/>
      <c r="T38" s="213" t="s">
        <v>36</v>
      </c>
      <c r="U38" s="213"/>
      <c r="V38" s="213"/>
      <c r="W38" s="213" t="s">
        <v>36</v>
      </c>
      <c r="X38" s="213"/>
      <c r="Y38" s="212">
        <f t="shared" si="0"/>
        <v>11</v>
      </c>
    </row>
    <row r="39" spans="1:25">
      <c r="A39" s="157" t="s">
        <v>403</v>
      </c>
      <c r="B39" s="196" t="s">
        <v>36</v>
      </c>
      <c r="C39" s="196" t="s">
        <v>36</v>
      </c>
      <c r="D39" s="196"/>
      <c r="E39" s="196"/>
      <c r="F39" s="196" t="s">
        <v>36</v>
      </c>
      <c r="G39" s="196" t="s">
        <v>36</v>
      </c>
      <c r="H39" s="196" t="s">
        <v>36</v>
      </c>
      <c r="I39" s="196" t="s">
        <v>36</v>
      </c>
      <c r="J39" s="196" t="s">
        <v>36</v>
      </c>
      <c r="K39" s="196"/>
      <c r="L39" s="196"/>
      <c r="M39" s="196"/>
      <c r="N39" s="196"/>
      <c r="O39" s="196" t="s">
        <v>36</v>
      </c>
      <c r="P39" s="196"/>
      <c r="Q39" s="196"/>
      <c r="R39" s="196"/>
      <c r="S39" s="196"/>
      <c r="T39" s="196" t="s">
        <v>36</v>
      </c>
      <c r="U39" s="196"/>
      <c r="V39" s="196" t="s">
        <v>36</v>
      </c>
      <c r="W39" s="196" t="s">
        <v>36</v>
      </c>
      <c r="X39" s="196"/>
      <c r="Y39" s="157">
        <f t="shared" si="0"/>
        <v>11</v>
      </c>
    </row>
    <row r="40" spans="1:25">
      <c r="A40" s="157" t="s">
        <v>494</v>
      </c>
      <c r="B40" s="196" t="s">
        <v>36</v>
      </c>
      <c r="C40" s="196" t="s">
        <v>36</v>
      </c>
      <c r="D40" s="196"/>
      <c r="E40" s="196"/>
      <c r="F40" s="196" t="s">
        <v>36</v>
      </c>
      <c r="G40" s="196" t="s">
        <v>36</v>
      </c>
      <c r="H40" s="196" t="s">
        <v>36</v>
      </c>
      <c r="I40" s="196" t="s">
        <v>36</v>
      </c>
      <c r="J40" s="196" t="s">
        <v>36</v>
      </c>
      <c r="K40" s="196"/>
      <c r="L40" s="196"/>
      <c r="M40" s="196"/>
      <c r="N40" s="196"/>
      <c r="O40" s="196" t="s">
        <v>36</v>
      </c>
      <c r="P40" s="196"/>
      <c r="Q40" s="196"/>
      <c r="R40" s="196"/>
      <c r="S40" s="196"/>
      <c r="T40" s="196" t="s">
        <v>36</v>
      </c>
      <c r="U40" s="196"/>
      <c r="V40" s="196" t="s">
        <v>36</v>
      </c>
      <c r="W40" s="196" t="s">
        <v>36</v>
      </c>
      <c r="X40" s="196"/>
      <c r="Y40" s="157">
        <f t="shared" si="0"/>
        <v>11</v>
      </c>
    </row>
    <row r="41" spans="1:25">
      <c r="A41" s="157" t="s">
        <v>191</v>
      </c>
      <c r="B41" s="196" t="s">
        <v>36</v>
      </c>
      <c r="C41" s="196" t="s">
        <v>36</v>
      </c>
      <c r="D41" s="196" t="s">
        <v>36</v>
      </c>
      <c r="E41" s="196" t="s">
        <v>36</v>
      </c>
      <c r="F41" s="196"/>
      <c r="G41" s="196"/>
      <c r="H41" s="196" t="s">
        <v>36</v>
      </c>
      <c r="I41" s="196" t="s">
        <v>36</v>
      </c>
      <c r="J41" s="196" t="s">
        <v>36</v>
      </c>
      <c r="K41" s="196"/>
      <c r="L41" s="196"/>
      <c r="M41" s="196"/>
      <c r="N41" s="196"/>
      <c r="O41" s="196" t="s">
        <v>36</v>
      </c>
      <c r="P41" s="196"/>
      <c r="Q41" s="196"/>
      <c r="R41" s="196"/>
      <c r="S41" s="196"/>
      <c r="T41" s="196"/>
      <c r="U41" s="196"/>
      <c r="V41" s="196" t="s">
        <v>36</v>
      </c>
      <c r="W41" s="196" t="s">
        <v>36</v>
      </c>
      <c r="X41" s="196"/>
      <c r="Y41" s="157">
        <f t="shared" si="0"/>
        <v>10</v>
      </c>
    </row>
    <row r="42" spans="1:25">
      <c r="A42" s="212" t="s">
        <v>574</v>
      </c>
      <c r="B42" s="213" t="s">
        <v>36</v>
      </c>
      <c r="C42" s="213"/>
      <c r="D42" s="213"/>
      <c r="E42" s="213" t="s">
        <v>36</v>
      </c>
      <c r="F42" s="213"/>
      <c r="G42" s="213"/>
      <c r="H42" s="213" t="s">
        <v>36</v>
      </c>
      <c r="I42" s="213" t="s">
        <v>36</v>
      </c>
      <c r="J42" s="213"/>
      <c r="K42" s="213"/>
      <c r="L42" s="213" t="s">
        <v>36</v>
      </c>
      <c r="M42" s="213" t="s">
        <v>36</v>
      </c>
      <c r="N42" s="213" t="s">
        <v>36</v>
      </c>
      <c r="O42" s="213" t="s">
        <v>36</v>
      </c>
      <c r="P42" s="213"/>
      <c r="Q42" s="213"/>
      <c r="R42" s="213"/>
      <c r="S42" s="213"/>
      <c r="T42" s="213" t="s">
        <v>36</v>
      </c>
      <c r="U42" s="213"/>
      <c r="V42" s="213"/>
      <c r="W42" s="213" t="s">
        <v>36</v>
      </c>
      <c r="X42" s="213"/>
      <c r="Y42" s="212">
        <f t="shared" si="0"/>
        <v>10</v>
      </c>
    </row>
    <row r="43" spans="1:25">
      <c r="A43" s="212" t="s">
        <v>312</v>
      </c>
      <c r="B43" s="213" t="s">
        <v>36</v>
      </c>
      <c r="C43" s="213" t="s">
        <v>36</v>
      </c>
      <c r="D43" s="213"/>
      <c r="E43" s="213"/>
      <c r="F43" s="213"/>
      <c r="G43" s="213" t="s">
        <v>36</v>
      </c>
      <c r="H43" s="213" t="s">
        <v>36</v>
      </c>
      <c r="I43" s="213" t="s">
        <v>36</v>
      </c>
      <c r="J43" s="213" t="s">
        <v>36</v>
      </c>
      <c r="K43" s="213"/>
      <c r="L43" s="213"/>
      <c r="M43" s="213"/>
      <c r="N43" s="213"/>
      <c r="O43" s="213" t="s">
        <v>36</v>
      </c>
      <c r="P43" s="213"/>
      <c r="Q43" s="213"/>
      <c r="R43" s="213"/>
      <c r="S43" s="213"/>
      <c r="T43" s="213" t="s">
        <v>36</v>
      </c>
      <c r="U43" s="213"/>
      <c r="V43" s="213" t="s">
        <v>36</v>
      </c>
      <c r="W43" s="213" t="s">
        <v>36</v>
      </c>
      <c r="X43" s="213"/>
      <c r="Y43" s="212">
        <f t="shared" si="0"/>
        <v>10</v>
      </c>
    </row>
    <row r="44" spans="1:25">
      <c r="A44" s="157" t="s">
        <v>608</v>
      </c>
      <c r="B44" s="196" t="s">
        <v>36</v>
      </c>
      <c r="C44" s="196" t="s">
        <v>36</v>
      </c>
      <c r="D44" s="196"/>
      <c r="E44" s="196"/>
      <c r="F44" s="196" t="s">
        <v>36</v>
      </c>
      <c r="G44" s="196" t="s">
        <v>36</v>
      </c>
      <c r="H44" s="196" t="s">
        <v>36</v>
      </c>
      <c r="I44" s="196" t="s">
        <v>36</v>
      </c>
      <c r="J44" s="196" t="s">
        <v>36</v>
      </c>
      <c r="K44" s="196"/>
      <c r="L44" s="196"/>
      <c r="M44" s="196"/>
      <c r="N44" s="196"/>
      <c r="O44" s="196" t="s">
        <v>36</v>
      </c>
      <c r="P44" s="196"/>
      <c r="Q44" s="196"/>
      <c r="R44" s="196"/>
      <c r="S44" s="196"/>
      <c r="T44" s="196"/>
      <c r="U44" s="196"/>
      <c r="V44" s="196" t="s">
        <v>36</v>
      </c>
      <c r="W44" s="196" t="s">
        <v>36</v>
      </c>
      <c r="X44" s="196"/>
      <c r="Y44" s="157">
        <f t="shared" si="0"/>
        <v>10</v>
      </c>
    </row>
    <row r="45" spans="1:25">
      <c r="A45" s="157" t="s">
        <v>499</v>
      </c>
      <c r="B45" s="196" t="s">
        <v>36</v>
      </c>
      <c r="C45" s="196" t="s">
        <v>36</v>
      </c>
      <c r="D45" s="196"/>
      <c r="E45" s="196"/>
      <c r="F45" s="196" t="s">
        <v>36</v>
      </c>
      <c r="G45" s="196" t="s">
        <v>36</v>
      </c>
      <c r="H45" s="196" t="s">
        <v>36</v>
      </c>
      <c r="I45" s="196" t="s">
        <v>36</v>
      </c>
      <c r="J45" s="196" t="s">
        <v>36</v>
      </c>
      <c r="K45" s="196"/>
      <c r="L45" s="196"/>
      <c r="M45" s="196"/>
      <c r="N45" s="196"/>
      <c r="O45" s="196" t="s">
        <v>36</v>
      </c>
      <c r="P45" s="196"/>
      <c r="Q45" s="196"/>
      <c r="R45" s="196"/>
      <c r="S45" s="196"/>
      <c r="T45" s="196"/>
      <c r="U45" s="196"/>
      <c r="V45" s="196" t="s">
        <v>36</v>
      </c>
      <c r="W45" s="196" t="s">
        <v>36</v>
      </c>
      <c r="X45" s="196"/>
      <c r="Y45" s="157">
        <f t="shared" si="0"/>
        <v>10</v>
      </c>
    </row>
    <row r="46" spans="1:25">
      <c r="A46" s="157" t="s">
        <v>503</v>
      </c>
      <c r="B46" s="196" t="s">
        <v>36</v>
      </c>
      <c r="C46" s="196" t="s">
        <v>36</v>
      </c>
      <c r="D46" s="196"/>
      <c r="E46" s="196"/>
      <c r="F46" s="196" t="s">
        <v>36</v>
      </c>
      <c r="G46" s="196" t="s">
        <v>36</v>
      </c>
      <c r="H46" s="196" t="s">
        <v>36</v>
      </c>
      <c r="I46" s="196" t="s">
        <v>36</v>
      </c>
      <c r="J46" s="196" t="s">
        <v>36</v>
      </c>
      <c r="K46" s="196"/>
      <c r="L46" s="196"/>
      <c r="M46" s="196"/>
      <c r="N46" s="196"/>
      <c r="O46" s="196" t="s">
        <v>36</v>
      </c>
      <c r="P46" s="196"/>
      <c r="Q46" s="196"/>
      <c r="R46" s="196"/>
      <c r="S46" s="196"/>
      <c r="T46" s="196"/>
      <c r="U46" s="196"/>
      <c r="V46" s="196" t="s">
        <v>36</v>
      </c>
      <c r="W46" s="196" t="s">
        <v>36</v>
      </c>
      <c r="X46" s="196"/>
      <c r="Y46" s="157">
        <f t="shared" si="0"/>
        <v>10</v>
      </c>
    </row>
    <row r="47" spans="1:25">
      <c r="A47" s="197" t="s">
        <v>121</v>
      </c>
      <c r="B47" s="196" t="s">
        <v>36</v>
      </c>
      <c r="C47" s="196"/>
      <c r="D47" s="196" t="s">
        <v>36</v>
      </c>
      <c r="E47" s="196" t="s">
        <v>36</v>
      </c>
      <c r="F47" s="196"/>
      <c r="G47" s="196"/>
      <c r="H47" s="196" t="s">
        <v>36</v>
      </c>
      <c r="I47" s="196" t="s">
        <v>36</v>
      </c>
      <c r="J47" s="196"/>
      <c r="K47" s="196"/>
      <c r="L47" s="196"/>
      <c r="M47" s="196" t="s">
        <v>36</v>
      </c>
      <c r="N47" s="196" t="s">
        <v>36</v>
      </c>
      <c r="O47" s="196" t="s">
        <v>36</v>
      </c>
      <c r="P47" s="196"/>
      <c r="Q47" s="196"/>
      <c r="R47" s="196"/>
      <c r="S47" s="196"/>
      <c r="T47" s="196"/>
      <c r="U47" s="196"/>
      <c r="V47" s="196"/>
      <c r="W47" s="196" t="s">
        <v>36</v>
      </c>
      <c r="X47" s="196"/>
      <c r="Y47" s="157">
        <f t="shared" si="0"/>
        <v>9</v>
      </c>
    </row>
    <row r="48" spans="1:25">
      <c r="A48" s="212" t="s">
        <v>262</v>
      </c>
      <c r="B48" s="213" t="s">
        <v>36</v>
      </c>
      <c r="C48" s="213"/>
      <c r="D48" s="213"/>
      <c r="E48" s="213" t="s">
        <v>36</v>
      </c>
      <c r="F48" s="213"/>
      <c r="G48" s="213"/>
      <c r="H48" s="213" t="s">
        <v>36</v>
      </c>
      <c r="I48" s="213" t="s">
        <v>36</v>
      </c>
      <c r="J48" s="213"/>
      <c r="K48" s="213"/>
      <c r="L48" s="213" t="s">
        <v>36</v>
      </c>
      <c r="M48" s="213" t="s">
        <v>36</v>
      </c>
      <c r="N48" s="213" t="s">
        <v>36</v>
      </c>
      <c r="O48" s="213" t="s">
        <v>36</v>
      </c>
      <c r="P48" s="213"/>
      <c r="Q48" s="213"/>
      <c r="R48" s="213"/>
      <c r="S48" s="213"/>
      <c r="T48" s="213"/>
      <c r="U48" s="213"/>
      <c r="V48" s="213"/>
      <c r="W48" s="213" t="s">
        <v>36</v>
      </c>
      <c r="X48" s="213"/>
      <c r="Y48" s="212">
        <f t="shared" si="0"/>
        <v>9</v>
      </c>
    </row>
    <row r="49" spans="1:25">
      <c r="A49" s="212" t="s">
        <v>360</v>
      </c>
      <c r="B49" s="213" t="s">
        <v>36</v>
      </c>
      <c r="C49" s="213" t="s">
        <v>36</v>
      </c>
      <c r="D49" s="213"/>
      <c r="E49" s="213"/>
      <c r="F49" s="213"/>
      <c r="G49" s="213"/>
      <c r="H49" s="213" t="s">
        <v>36</v>
      </c>
      <c r="I49" s="213" t="s">
        <v>36</v>
      </c>
      <c r="J49" s="213" t="s">
        <v>36</v>
      </c>
      <c r="K49" s="213"/>
      <c r="L49" s="213"/>
      <c r="M49" s="213"/>
      <c r="N49" s="213" t="s">
        <v>36</v>
      </c>
      <c r="O49" s="213" t="s">
        <v>36</v>
      </c>
      <c r="P49" s="213"/>
      <c r="Q49" s="213"/>
      <c r="R49" s="213"/>
      <c r="S49" s="213"/>
      <c r="T49" s="213"/>
      <c r="U49" s="213"/>
      <c r="V49" s="213" t="s">
        <v>36</v>
      </c>
      <c r="W49" s="213" t="s">
        <v>36</v>
      </c>
      <c r="X49" s="213"/>
      <c r="Y49" s="212">
        <f t="shared" si="0"/>
        <v>9</v>
      </c>
    </row>
    <row r="50" spans="1:25">
      <c r="A50" s="212" t="s">
        <v>365</v>
      </c>
      <c r="B50" s="213" t="s">
        <v>36</v>
      </c>
      <c r="C50" s="213" t="s">
        <v>36</v>
      </c>
      <c r="D50" s="213"/>
      <c r="E50" s="213"/>
      <c r="F50" s="213"/>
      <c r="G50" s="213"/>
      <c r="H50" s="213" t="s">
        <v>36</v>
      </c>
      <c r="I50" s="213" t="s">
        <v>36</v>
      </c>
      <c r="J50" s="213" t="s">
        <v>36</v>
      </c>
      <c r="K50" s="213"/>
      <c r="L50" s="213"/>
      <c r="M50" s="213"/>
      <c r="N50" s="213" t="s">
        <v>36</v>
      </c>
      <c r="O50" s="213" t="s">
        <v>36</v>
      </c>
      <c r="P50" s="213"/>
      <c r="Q50" s="213"/>
      <c r="R50" s="213"/>
      <c r="S50" s="213"/>
      <c r="T50" s="213"/>
      <c r="U50" s="213"/>
      <c r="V50" s="213" t="s">
        <v>36</v>
      </c>
      <c r="W50" s="213" t="s">
        <v>36</v>
      </c>
      <c r="X50" s="213"/>
      <c r="Y50" s="212">
        <f t="shared" si="0"/>
        <v>9</v>
      </c>
    </row>
    <row r="51" spans="1:25">
      <c r="A51" s="214" t="s">
        <v>610</v>
      </c>
      <c r="B51" s="213" t="s">
        <v>36</v>
      </c>
      <c r="C51" s="213" t="s">
        <v>36</v>
      </c>
      <c r="D51" s="213"/>
      <c r="E51" s="213"/>
      <c r="F51" s="213"/>
      <c r="G51" s="213"/>
      <c r="H51" s="213" t="s">
        <v>36</v>
      </c>
      <c r="I51" s="213" t="s">
        <v>36</v>
      </c>
      <c r="J51" s="213" t="s">
        <v>36</v>
      </c>
      <c r="K51" s="213"/>
      <c r="L51" s="213"/>
      <c r="M51" s="213"/>
      <c r="N51" s="213"/>
      <c r="O51" s="213" t="s">
        <v>36</v>
      </c>
      <c r="P51" s="213"/>
      <c r="Q51" s="213"/>
      <c r="R51" s="213"/>
      <c r="S51" s="213"/>
      <c r="T51" s="213"/>
      <c r="U51" s="213"/>
      <c r="V51" s="213" t="s">
        <v>36</v>
      </c>
      <c r="W51" s="213" t="s">
        <v>36</v>
      </c>
      <c r="X51" s="213"/>
      <c r="Y51" s="212">
        <f t="shared" si="0"/>
        <v>8</v>
      </c>
    </row>
    <row r="52" spans="1:25">
      <c r="A52" s="214" t="s">
        <v>103</v>
      </c>
      <c r="B52" s="213" t="s">
        <v>36</v>
      </c>
      <c r="C52" s="213" t="s">
        <v>36</v>
      </c>
      <c r="D52" s="213"/>
      <c r="E52" s="213"/>
      <c r="F52" s="213"/>
      <c r="G52" s="213"/>
      <c r="H52" s="213" t="s">
        <v>36</v>
      </c>
      <c r="I52" s="213" t="s">
        <v>36</v>
      </c>
      <c r="J52" s="213" t="s">
        <v>36</v>
      </c>
      <c r="K52" s="213"/>
      <c r="L52" s="213"/>
      <c r="M52" s="213"/>
      <c r="N52" s="213"/>
      <c r="O52" s="213" t="s">
        <v>36</v>
      </c>
      <c r="P52" s="213"/>
      <c r="Q52" s="213"/>
      <c r="R52" s="213"/>
      <c r="S52" s="213"/>
      <c r="T52" s="213"/>
      <c r="U52" s="213"/>
      <c r="V52" s="213" t="s">
        <v>36</v>
      </c>
      <c r="W52" s="213" t="s">
        <v>36</v>
      </c>
      <c r="X52" s="213"/>
      <c r="Y52" s="212">
        <f t="shared" si="0"/>
        <v>8</v>
      </c>
    </row>
    <row r="53" spans="1:25">
      <c r="A53" s="212" t="s">
        <v>210</v>
      </c>
      <c r="B53" s="213"/>
      <c r="C53" s="213" t="s">
        <v>36</v>
      </c>
      <c r="D53" s="213"/>
      <c r="E53" s="213"/>
      <c r="F53" s="213" t="s">
        <v>36</v>
      </c>
      <c r="G53" s="213" t="s">
        <v>36</v>
      </c>
      <c r="H53" s="213" t="s">
        <v>36</v>
      </c>
      <c r="I53" s="213" t="s">
        <v>36</v>
      </c>
      <c r="J53" s="213" t="s">
        <v>36</v>
      </c>
      <c r="K53" s="213"/>
      <c r="L53" s="213"/>
      <c r="M53" s="213"/>
      <c r="N53" s="213"/>
      <c r="O53" s="213" t="s">
        <v>36</v>
      </c>
      <c r="P53" s="213"/>
      <c r="Q53" s="213"/>
      <c r="R53" s="213"/>
      <c r="S53" s="213"/>
      <c r="T53" s="213" t="s">
        <v>36</v>
      </c>
      <c r="U53" s="213"/>
      <c r="V53" s="213"/>
      <c r="W53" s="213"/>
      <c r="X53" s="213"/>
      <c r="Y53" s="212">
        <f t="shared" si="0"/>
        <v>8</v>
      </c>
    </row>
    <row r="54" spans="1:25">
      <c r="A54" s="157" t="s">
        <v>228</v>
      </c>
      <c r="B54" s="196"/>
      <c r="C54" s="196" t="s">
        <v>36</v>
      </c>
      <c r="D54" s="196"/>
      <c r="E54" s="196"/>
      <c r="F54" s="196" t="s">
        <v>36</v>
      </c>
      <c r="G54" s="196" t="s">
        <v>36</v>
      </c>
      <c r="H54" s="196" t="s">
        <v>36</v>
      </c>
      <c r="I54" s="196"/>
      <c r="J54" s="196"/>
      <c r="K54" s="196"/>
      <c r="L54" s="196"/>
      <c r="M54" s="196"/>
      <c r="N54" s="196"/>
      <c r="O54" s="196" t="s">
        <v>36</v>
      </c>
      <c r="P54" s="196"/>
      <c r="Q54" s="196"/>
      <c r="R54" s="196"/>
      <c r="S54" s="196"/>
      <c r="T54" s="196" t="s">
        <v>36</v>
      </c>
      <c r="U54" s="196"/>
      <c r="V54" s="196" t="s">
        <v>36</v>
      </c>
      <c r="W54" s="196" t="s">
        <v>36</v>
      </c>
      <c r="X54" s="196"/>
      <c r="Y54" s="157">
        <f t="shared" si="0"/>
        <v>8</v>
      </c>
    </row>
    <row r="55" spans="1:25">
      <c r="A55" s="212" t="s">
        <v>316</v>
      </c>
      <c r="B55" s="213"/>
      <c r="C55" s="213" t="s">
        <v>36</v>
      </c>
      <c r="D55" s="213"/>
      <c r="E55" s="213"/>
      <c r="F55" s="213" t="s">
        <v>36</v>
      </c>
      <c r="G55" s="213" t="s">
        <v>36</v>
      </c>
      <c r="H55" s="213" t="s">
        <v>36</v>
      </c>
      <c r="I55" s="213"/>
      <c r="J55" s="213" t="s">
        <v>36</v>
      </c>
      <c r="K55" s="213"/>
      <c r="L55" s="213"/>
      <c r="M55" s="213"/>
      <c r="N55" s="213"/>
      <c r="O55" s="213" t="s">
        <v>36</v>
      </c>
      <c r="P55" s="213"/>
      <c r="Q55" s="213"/>
      <c r="R55" s="213"/>
      <c r="S55" s="213"/>
      <c r="T55" s="213"/>
      <c r="U55" s="213"/>
      <c r="V55" s="213" t="s">
        <v>36</v>
      </c>
      <c r="W55" s="213" t="s">
        <v>36</v>
      </c>
      <c r="X55" s="213"/>
      <c r="Y55" s="212">
        <f t="shared" si="0"/>
        <v>8</v>
      </c>
    </row>
    <row r="56" spans="1:25">
      <c r="A56" s="157" t="s">
        <v>237</v>
      </c>
      <c r="B56" s="196"/>
      <c r="C56" s="196"/>
      <c r="D56" s="196"/>
      <c r="E56" s="196"/>
      <c r="F56" s="196"/>
      <c r="G56" s="196" t="s">
        <v>36</v>
      </c>
      <c r="H56" s="196" t="s">
        <v>36</v>
      </c>
      <c r="I56" s="196"/>
      <c r="J56" s="196" t="s">
        <v>36</v>
      </c>
      <c r="K56" s="196"/>
      <c r="L56" s="196"/>
      <c r="M56" s="196"/>
      <c r="N56" s="196"/>
      <c r="O56" s="196" t="s">
        <v>36</v>
      </c>
      <c r="P56" s="196"/>
      <c r="Q56" s="196"/>
      <c r="R56" s="196"/>
      <c r="S56" s="196"/>
      <c r="T56" s="196" t="s">
        <v>36</v>
      </c>
      <c r="U56" s="196"/>
      <c r="V56" s="196" t="s">
        <v>36</v>
      </c>
      <c r="W56" s="196" t="s">
        <v>36</v>
      </c>
      <c r="X56" s="196"/>
      <c r="Y56" s="157">
        <f t="shared" si="0"/>
        <v>7</v>
      </c>
    </row>
    <row r="57" spans="1:25">
      <c r="A57" s="212" t="s">
        <v>304</v>
      </c>
      <c r="B57" s="213"/>
      <c r="C57" s="213"/>
      <c r="D57" s="213"/>
      <c r="E57" s="213" t="s">
        <v>36</v>
      </c>
      <c r="F57" s="213"/>
      <c r="G57" s="213" t="s">
        <v>36</v>
      </c>
      <c r="H57" s="213" t="s">
        <v>36</v>
      </c>
      <c r="I57" s="213"/>
      <c r="J57" s="213" t="s">
        <v>36</v>
      </c>
      <c r="K57" s="213"/>
      <c r="L57" s="213"/>
      <c r="M57" s="213"/>
      <c r="N57" s="213"/>
      <c r="O57" s="213" t="s">
        <v>36</v>
      </c>
      <c r="P57" s="213"/>
      <c r="Q57" s="213"/>
      <c r="R57" s="213"/>
      <c r="S57" s="213"/>
      <c r="T57" s="213"/>
      <c r="U57" s="213"/>
      <c r="V57" s="213" t="s">
        <v>36</v>
      </c>
      <c r="W57" s="213" t="s">
        <v>36</v>
      </c>
      <c r="X57" s="213"/>
      <c r="Y57" s="212">
        <f t="shared" si="0"/>
        <v>7</v>
      </c>
    </row>
    <row r="58" spans="1:25">
      <c r="A58" s="157" t="s">
        <v>325</v>
      </c>
      <c r="B58" s="196"/>
      <c r="C58" s="196"/>
      <c r="D58" s="196"/>
      <c r="E58" s="196"/>
      <c r="F58" s="196"/>
      <c r="G58" s="196"/>
      <c r="H58" s="196" t="s">
        <v>36</v>
      </c>
      <c r="I58" s="196"/>
      <c r="J58" s="196" t="s">
        <v>36</v>
      </c>
      <c r="K58" s="196"/>
      <c r="L58" s="196"/>
      <c r="M58" s="196"/>
      <c r="N58" s="196"/>
      <c r="O58" s="196" t="s">
        <v>36</v>
      </c>
      <c r="P58" s="196"/>
      <c r="Q58" s="196"/>
      <c r="R58" s="196"/>
      <c r="S58" s="196" t="s">
        <v>36</v>
      </c>
      <c r="T58" s="196" t="s">
        <v>36</v>
      </c>
      <c r="U58" s="196"/>
      <c r="V58" s="196" t="s">
        <v>36</v>
      </c>
      <c r="W58" s="196" t="s">
        <v>36</v>
      </c>
      <c r="X58" s="196"/>
      <c r="Y58" s="157">
        <f t="shared" si="0"/>
        <v>7</v>
      </c>
    </row>
    <row r="59" spans="1:25">
      <c r="A59" s="157" t="s">
        <v>386</v>
      </c>
      <c r="B59" s="196"/>
      <c r="C59" s="196"/>
      <c r="D59" s="196"/>
      <c r="E59" s="196" t="s">
        <v>36</v>
      </c>
      <c r="F59" s="196"/>
      <c r="G59" s="196"/>
      <c r="H59" s="196" t="s">
        <v>36</v>
      </c>
      <c r="I59" s="196" t="s">
        <v>36</v>
      </c>
      <c r="J59" s="196"/>
      <c r="K59" s="196"/>
      <c r="L59" s="196" t="s">
        <v>36</v>
      </c>
      <c r="M59" s="196" t="s">
        <v>36</v>
      </c>
      <c r="N59" s="196" t="s">
        <v>36</v>
      </c>
      <c r="O59" s="196"/>
      <c r="P59" s="196"/>
      <c r="Q59" s="196"/>
      <c r="R59" s="196"/>
      <c r="S59" s="196"/>
      <c r="T59" s="196" t="s">
        <v>36</v>
      </c>
      <c r="U59" s="196"/>
      <c r="V59" s="196"/>
      <c r="W59" s="196"/>
      <c r="X59" s="196"/>
      <c r="Y59" s="157">
        <f t="shared" si="0"/>
        <v>7</v>
      </c>
    </row>
    <row r="60" spans="1:25">
      <c r="A60" s="214" t="s">
        <v>105</v>
      </c>
      <c r="B60" s="213" t="s">
        <v>36</v>
      </c>
      <c r="C60" s="213"/>
      <c r="D60" s="213"/>
      <c r="E60" s="213"/>
      <c r="F60" s="213"/>
      <c r="G60" s="213"/>
      <c r="H60" s="213" t="s">
        <v>36</v>
      </c>
      <c r="I60" s="213" t="s">
        <v>36</v>
      </c>
      <c r="J60" s="213"/>
      <c r="K60" s="213"/>
      <c r="L60" s="213"/>
      <c r="M60" s="213"/>
      <c r="N60" s="213"/>
      <c r="O60" s="213" t="s">
        <v>36</v>
      </c>
      <c r="P60" s="213"/>
      <c r="Q60" s="213"/>
      <c r="R60" s="213"/>
      <c r="S60" s="213"/>
      <c r="T60" s="213" t="s">
        <v>36</v>
      </c>
      <c r="U60" s="213"/>
      <c r="V60" s="213"/>
      <c r="W60" s="213" t="s">
        <v>36</v>
      </c>
      <c r="X60" s="213"/>
      <c r="Y60" s="212">
        <f t="shared" si="0"/>
        <v>6</v>
      </c>
    </row>
    <row r="61" spans="1:25">
      <c r="A61" s="212" t="s">
        <v>297</v>
      </c>
      <c r="B61" s="213"/>
      <c r="C61" s="213"/>
      <c r="D61" s="213"/>
      <c r="E61" s="213" t="s">
        <v>36</v>
      </c>
      <c r="F61" s="213"/>
      <c r="G61" s="213" t="s">
        <v>36</v>
      </c>
      <c r="H61" s="213" t="s">
        <v>36</v>
      </c>
      <c r="I61" s="213"/>
      <c r="J61" s="213"/>
      <c r="K61" s="213"/>
      <c r="L61" s="213"/>
      <c r="M61" s="213"/>
      <c r="N61" s="213" t="s">
        <v>36</v>
      </c>
      <c r="O61" s="213" t="s">
        <v>36</v>
      </c>
      <c r="P61" s="213"/>
      <c r="Q61" s="213"/>
      <c r="R61" s="213"/>
      <c r="S61" s="213"/>
      <c r="T61" s="213"/>
      <c r="U61" s="213"/>
      <c r="V61" s="213"/>
      <c r="W61" s="213" t="s">
        <v>36</v>
      </c>
      <c r="X61" s="213"/>
      <c r="Y61" s="212">
        <f t="shared" si="0"/>
        <v>6</v>
      </c>
    </row>
    <row r="62" spans="1:25">
      <c r="A62" s="212" t="s">
        <v>601</v>
      </c>
      <c r="B62" s="213" t="s">
        <v>36</v>
      </c>
      <c r="C62" s="213"/>
      <c r="D62" s="213"/>
      <c r="E62" s="213"/>
      <c r="F62" s="213"/>
      <c r="G62" s="213"/>
      <c r="H62" s="213" t="s">
        <v>36</v>
      </c>
      <c r="I62" s="213" t="s">
        <v>36</v>
      </c>
      <c r="J62" s="213"/>
      <c r="K62" s="213"/>
      <c r="L62" s="213"/>
      <c r="M62" s="213"/>
      <c r="N62" s="213" t="s">
        <v>36</v>
      </c>
      <c r="O62" s="213" t="s">
        <v>36</v>
      </c>
      <c r="P62" s="213"/>
      <c r="Q62" s="213"/>
      <c r="R62" s="213"/>
      <c r="S62" s="213"/>
      <c r="T62" s="213"/>
      <c r="U62" s="213"/>
      <c r="V62" s="213"/>
      <c r="W62" s="213" t="s">
        <v>36</v>
      </c>
      <c r="X62" s="213"/>
      <c r="Y62" s="212">
        <f t="shared" si="0"/>
        <v>6</v>
      </c>
    </row>
    <row r="63" spans="1:25">
      <c r="A63" s="212" t="s">
        <v>438</v>
      </c>
      <c r="B63" s="213"/>
      <c r="C63" s="213"/>
      <c r="D63" s="213"/>
      <c r="E63" s="213"/>
      <c r="F63" s="213" t="s">
        <v>36</v>
      </c>
      <c r="G63" s="213" t="s">
        <v>36</v>
      </c>
      <c r="H63" s="213" t="s">
        <v>36</v>
      </c>
      <c r="I63" s="213" t="s">
        <v>36</v>
      </c>
      <c r="J63" s="213"/>
      <c r="K63" s="213"/>
      <c r="L63" s="213"/>
      <c r="M63" s="213"/>
      <c r="N63" s="213"/>
      <c r="O63" s="213" t="s">
        <v>36</v>
      </c>
      <c r="P63" s="213"/>
      <c r="Q63" s="213"/>
      <c r="R63" s="213"/>
      <c r="S63" s="213"/>
      <c r="T63" s="213"/>
      <c r="U63" s="213"/>
      <c r="V63" s="213"/>
      <c r="W63" s="213" t="s">
        <v>36</v>
      </c>
      <c r="X63" s="213"/>
      <c r="Y63" s="212">
        <f t="shared" si="0"/>
        <v>6</v>
      </c>
    </row>
    <row r="64" spans="1:25">
      <c r="A64" s="212" t="s">
        <v>450</v>
      </c>
      <c r="B64" s="213"/>
      <c r="C64" s="213"/>
      <c r="D64" s="213"/>
      <c r="E64" s="213"/>
      <c r="F64" s="213" t="s">
        <v>36</v>
      </c>
      <c r="G64" s="213" t="s">
        <v>36</v>
      </c>
      <c r="H64" s="213" t="s">
        <v>36</v>
      </c>
      <c r="I64" s="213" t="s">
        <v>36</v>
      </c>
      <c r="J64" s="213" t="s">
        <v>36</v>
      </c>
      <c r="K64" s="213"/>
      <c r="L64" s="213"/>
      <c r="M64" s="213"/>
      <c r="N64" s="213"/>
      <c r="O64" s="213" t="s">
        <v>36</v>
      </c>
      <c r="P64" s="213"/>
      <c r="Q64" s="213"/>
      <c r="R64" s="213"/>
      <c r="S64" s="213"/>
      <c r="T64" s="213"/>
      <c r="U64" s="213"/>
      <c r="V64" s="213"/>
      <c r="W64" s="213"/>
      <c r="X64" s="213"/>
      <c r="Y64" s="212">
        <f t="shared" si="0"/>
        <v>6</v>
      </c>
    </row>
    <row r="65" spans="1:25">
      <c r="A65" s="197" t="s">
        <v>68</v>
      </c>
      <c r="B65" s="196"/>
      <c r="C65" s="196"/>
      <c r="D65" s="196"/>
      <c r="E65" s="196"/>
      <c r="F65" s="196" t="s">
        <v>36</v>
      </c>
      <c r="G65" s="196" t="s">
        <v>36</v>
      </c>
      <c r="H65" s="196" t="s">
        <v>36</v>
      </c>
      <c r="I65" s="196"/>
      <c r="J65" s="196"/>
      <c r="K65" s="196"/>
      <c r="L65" s="196"/>
      <c r="M65" s="196"/>
      <c r="N65" s="196"/>
      <c r="O65" s="196" t="s">
        <v>36</v>
      </c>
      <c r="P65" s="196"/>
      <c r="Q65" s="196"/>
      <c r="R65" s="196"/>
      <c r="S65" s="196"/>
      <c r="T65" s="196"/>
      <c r="U65" s="196"/>
      <c r="V65" s="196"/>
      <c r="W65" s="196" t="s">
        <v>36</v>
      </c>
      <c r="X65" s="196"/>
      <c r="Y65" s="157">
        <f t="shared" ref="Y65:Y128" si="1">COUNTIF(B65:X65,"X")</f>
        <v>5</v>
      </c>
    </row>
    <row r="66" spans="1:25">
      <c r="A66" s="197" t="s">
        <v>132</v>
      </c>
      <c r="B66" s="196"/>
      <c r="C66" s="196"/>
      <c r="D66" s="196" t="s">
        <v>36</v>
      </c>
      <c r="E66" s="196" t="s">
        <v>36</v>
      </c>
      <c r="F66" s="196"/>
      <c r="G66" s="196"/>
      <c r="H66" s="196" t="s">
        <v>36</v>
      </c>
      <c r="I66" s="196" t="s">
        <v>36</v>
      </c>
      <c r="J66" s="196"/>
      <c r="K66" s="196"/>
      <c r="L66" s="196"/>
      <c r="M66" s="196"/>
      <c r="N66" s="196" t="s">
        <v>36</v>
      </c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57">
        <f t="shared" si="1"/>
        <v>5</v>
      </c>
    </row>
    <row r="67" spans="1:25">
      <c r="A67" s="212" t="s">
        <v>244</v>
      </c>
      <c r="B67" s="213"/>
      <c r="C67" s="213"/>
      <c r="D67" s="213"/>
      <c r="E67" s="213"/>
      <c r="F67" s="213"/>
      <c r="G67" s="213"/>
      <c r="H67" s="213" t="s">
        <v>36</v>
      </c>
      <c r="I67" s="213" t="s">
        <v>36</v>
      </c>
      <c r="J67" s="213"/>
      <c r="K67" s="213"/>
      <c r="L67" s="213" t="s">
        <v>36</v>
      </c>
      <c r="M67" s="213" t="s">
        <v>36</v>
      </c>
      <c r="N67" s="213" t="s">
        <v>36</v>
      </c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2">
        <f t="shared" si="1"/>
        <v>5</v>
      </c>
    </row>
    <row r="68" spans="1:25">
      <c r="A68" s="212" t="s">
        <v>260</v>
      </c>
      <c r="B68" s="213"/>
      <c r="C68" s="213"/>
      <c r="D68" s="213"/>
      <c r="E68" s="213" t="s">
        <v>36</v>
      </c>
      <c r="F68" s="213"/>
      <c r="G68" s="213"/>
      <c r="H68" s="213" t="s">
        <v>36</v>
      </c>
      <c r="I68" s="213"/>
      <c r="J68" s="213"/>
      <c r="K68" s="213"/>
      <c r="L68" s="213" t="s">
        <v>36</v>
      </c>
      <c r="M68" s="213" t="s">
        <v>36</v>
      </c>
      <c r="N68" s="213" t="s">
        <v>36</v>
      </c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2">
        <f t="shared" si="1"/>
        <v>5</v>
      </c>
    </row>
    <row r="69" spans="1:25">
      <c r="A69" s="212" t="s">
        <v>405</v>
      </c>
      <c r="B69" s="213" t="s">
        <v>36</v>
      </c>
      <c r="C69" s="213"/>
      <c r="D69" s="213"/>
      <c r="E69" s="213"/>
      <c r="F69" s="213"/>
      <c r="G69" s="213"/>
      <c r="H69" s="213" t="s">
        <v>36</v>
      </c>
      <c r="I69" s="213" t="s">
        <v>36</v>
      </c>
      <c r="J69" s="213"/>
      <c r="K69" s="213"/>
      <c r="L69" s="213"/>
      <c r="M69" s="213"/>
      <c r="N69" s="213"/>
      <c r="O69" s="213" t="s">
        <v>36</v>
      </c>
      <c r="P69" s="213"/>
      <c r="Q69" s="213"/>
      <c r="R69" s="213"/>
      <c r="S69" s="213"/>
      <c r="T69" s="213"/>
      <c r="U69" s="213"/>
      <c r="V69" s="213"/>
      <c r="W69" s="213" t="s">
        <v>36</v>
      </c>
      <c r="X69" s="213"/>
      <c r="Y69" s="212">
        <f t="shared" si="1"/>
        <v>5</v>
      </c>
    </row>
    <row r="70" spans="1:25">
      <c r="A70" s="212" t="s">
        <v>408</v>
      </c>
      <c r="B70" s="213" t="s">
        <v>36</v>
      </c>
      <c r="C70" s="213"/>
      <c r="D70" s="213"/>
      <c r="E70" s="213"/>
      <c r="F70" s="213"/>
      <c r="G70" s="213"/>
      <c r="H70" s="213" t="s">
        <v>36</v>
      </c>
      <c r="I70" s="213" t="s">
        <v>36</v>
      </c>
      <c r="J70" s="213"/>
      <c r="K70" s="213"/>
      <c r="L70" s="213"/>
      <c r="M70" s="213"/>
      <c r="N70" s="213"/>
      <c r="O70" s="213" t="s">
        <v>36</v>
      </c>
      <c r="P70" s="213"/>
      <c r="Q70" s="213"/>
      <c r="R70" s="213"/>
      <c r="S70" s="213"/>
      <c r="T70" s="213"/>
      <c r="U70" s="213"/>
      <c r="V70" s="213"/>
      <c r="W70" s="213" t="s">
        <v>36</v>
      </c>
      <c r="X70" s="213"/>
      <c r="Y70" s="212">
        <f t="shared" si="1"/>
        <v>5</v>
      </c>
    </row>
    <row r="71" spans="1:25">
      <c r="A71" s="212" t="s">
        <v>412</v>
      </c>
      <c r="B71" s="213" t="s">
        <v>36</v>
      </c>
      <c r="C71" s="213"/>
      <c r="D71" s="213"/>
      <c r="E71" s="213"/>
      <c r="F71" s="213"/>
      <c r="G71" s="213"/>
      <c r="H71" s="213" t="s">
        <v>36</v>
      </c>
      <c r="I71" s="213" t="s">
        <v>36</v>
      </c>
      <c r="J71" s="213"/>
      <c r="K71" s="213"/>
      <c r="L71" s="213"/>
      <c r="M71" s="213"/>
      <c r="N71" s="213"/>
      <c r="O71" s="213" t="s">
        <v>36</v>
      </c>
      <c r="P71" s="213"/>
      <c r="Q71" s="213"/>
      <c r="R71" s="213"/>
      <c r="S71" s="213"/>
      <c r="T71" s="213"/>
      <c r="U71" s="213"/>
      <c r="V71" s="213"/>
      <c r="W71" s="213" t="s">
        <v>36</v>
      </c>
      <c r="X71" s="213"/>
      <c r="Y71" s="212">
        <f t="shared" si="1"/>
        <v>5</v>
      </c>
    </row>
    <row r="72" spans="1:25">
      <c r="A72" s="212" t="s">
        <v>490</v>
      </c>
      <c r="B72" s="213" t="s">
        <v>36</v>
      </c>
      <c r="C72" s="213"/>
      <c r="D72" s="213"/>
      <c r="E72" s="213"/>
      <c r="F72" s="213"/>
      <c r="G72" s="213"/>
      <c r="H72" s="213" t="s">
        <v>36</v>
      </c>
      <c r="I72" s="213" t="s">
        <v>36</v>
      </c>
      <c r="J72" s="213"/>
      <c r="K72" s="213"/>
      <c r="L72" s="213"/>
      <c r="M72" s="213"/>
      <c r="N72" s="213"/>
      <c r="O72" s="213" t="s">
        <v>36</v>
      </c>
      <c r="P72" s="213"/>
      <c r="Q72" s="213"/>
      <c r="R72" s="213"/>
      <c r="S72" s="213"/>
      <c r="T72" s="213"/>
      <c r="U72" s="213"/>
      <c r="V72" s="213"/>
      <c r="W72" s="213" t="s">
        <v>36</v>
      </c>
      <c r="X72" s="213"/>
      <c r="Y72" s="212">
        <f t="shared" si="1"/>
        <v>5</v>
      </c>
    </row>
    <row r="73" spans="1:25">
      <c r="A73" s="212" t="s">
        <v>492</v>
      </c>
      <c r="B73" s="213" t="s">
        <v>36</v>
      </c>
      <c r="C73" s="213"/>
      <c r="D73" s="213"/>
      <c r="E73" s="213"/>
      <c r="F73" s="213"/>
      <c r="G73" s="213"/>
      <c r="H73" s="213" t="s">
        <v>36</v>
      </c>
      <c r="I73" s="213" t="s">
        <v>36</v>
      </c>
      <c r="J73" s="213"/>
      <c r="K73" s="213"/>
      <c r="L73" s="213"/>
      <c r="M73" s="213"/>
      <c r="N73" s="213"/>
      <c r="O73" s="213" t="s">
        <v>36</v>
      </c>
      <c r="P73" s="213"/>
      <c r="Q73" s="213"/>
      <c r="R73" s="213"/>
      <c r="S73" s="213"/>
      <c r="T73" s="213"/>
      <c r="U73" s="213"/>
      <c r="V73" s="213"/>
      <c r="W73" s="213" t="s">
        <v>36</v>
      </c>
      <c r="X73" s="213"/>
      <c r="Y73" s="212">
        <f t="shared" si="1"/>
        <v>5</v>
      </c>
    </row>
    <row r="74" spans="1:25">
      <c r="A74" s="197" t="s">
        <v>130</v>
      </c>
      <c r="B74" s="196"/>
      <c r="C74" s="196"/>
      <c r="D74" s="196"/>
      <c r="E74" s="196" t="s">
        <v>36</v>
      </c>
      <c r="F74" s="196"/>
      <c r="G74" s="196"/>
      <c r="H74" s="196" t="s">
        <v>36</v>
      </c>
      <c r="I74" s="196" t="s">
        <v>36</v>
      </c>
      <c r="J74" s="196"/>
      <c r="K74" s="196"/>
      <c r="L74" s="196"/>
      <c r="M74" s="196"/>
      <c r="N74" s="196" t="s">
        <v>36</v>
      </c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57">
        <f t="shared" si="1"/>
        <v>4</v>
      </c>
    </row>
    <row r="75" spans="1:25">
      <c r="A75" s="157" t="s">
        <v>154</v>
      </c>
      <c r="B75" s="196"/>
      <c r="C75" s="196"/>
      <c r="D75" s="196"/>
      <c r="E75" s="196"/>
      <c r="F75" s="196"/>
      <c r="G75" s="196"/>
      <c r="H75" s="196" t="s">
        <v>36</v>
      </c>
      <c r="I75" s="196"/>
      <c r="J75" s="196"/>
      <c r="K75" s="196"/>
      <c r="L75" s="196" t="s">
        <v>36</v>
      </c>
      <c r="M75" s="196" t="s">
        <v>36</v>
      </c>
      <c r="N75" s="196" t="s">
        <v>36</v>
      </c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57">
        <f t="shared" si="1"/>
        <v>4</v>
      </c>
    </row>
    <row r="76" spans="1:25">
      <c r="A76" s="157" t="s">
        <v>611</v>
      </c>
      <c r="B76" s="196"/>
      <c r="C76" s="196"/>
      <c r="D76" s="196"/>
      <c r="E76" s="196"/>
      <c r="F76" s="196"/>
      <c r="G76" s="196"/>
      <c r="H76" s="196" t="s">
        <v>36</v>
      </c>
      <c r="I76" s="196"/>
      <c r="J76" s="196"/>
      <c r="K76" s="196"/>
      <c r="L76" s="196" t="s">
        <v>36</v>
      </c>
      <c r="M76" s="196" t="s">
        <v>36</v>
      </c>
      <c r="N76" s="196" t="s">
        <v>36</v>
      </c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57">
        <f t="shared" si="1"/>
        <v>4</v>
      </c>
    </row>
    <row r="77" spans="1:25">
      <c r="A77" s="157" t="s">
        <v>193</v>
      </c>
      <c r="B77" s="196"/>
      <c r="C77" s="196"/>
      <c r="D77" s="196"/>
      <c r="E77" s="196"/>
      <c r="F77" s="196"/>
      <c r="G77" s="196"/>
      <c r="H77" s="196" t="s">
        <v>36</v>
      </c>
      <c r="I77" s="196"/>
      <c r="J77" s="196"/>
      <c r="K77" s="196"/>
      <c r="L77" s="196"/>
      <c r="M77" s="196"/>
      <c r="N77" s="196"/>
      <c r="O77" s="196" t="s">
        <v>36</v>
      </c>
      <c r="P77" s="196"/>
      <c r="Q77" s="196"/>
      <c r="R77" s="196"/>
      <c r="S77" s="196"/>
      <c r="T77" s="196"/>
      <c r="U77" s="196"/>
      <c r="V77" s="196" t="s">
        <v>36</v>
      </c>
      <c r="W77" s="196" t="s">
        <v>36</v>
      </c>
      <c r="X77" s="196"/>
      <c r="Y77" s="157">
        <f t="shared" si="1"/>
        <v>4</v>
      </c>
    </row>
    <row r="78" spans="1:25">
      <c r="A78" s="212" t="s">
        <v>251</v>
      </c>
      <c r="B78" s="213"/>
      <c r="C78" s="213"/>
      <c r="D78" s="213"/>
      <c r="E78" s="213"/>
      <c r="F78" s="213"/>
      <c r="G78" s="213"/>
      <c r="H78" s="213" t="s">
        <v>36</v>
      </c>
      <c r="I78" s="213"/>
      <c r="J78" s="213"/>
      <c r="K78" s="213"/>
      <c r="L78" s="213" t="s">
        <v>36</v>
      </c>
      <c r="M78" s="213" t="s">
        <v>36</v>
      </c>
      <c r="N78" s="213" t="s">
        <v>36</v>
      </c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2">
        <f t="shared" si="1"/>
        <v>4</v>
      </c>
    </row>
    <row r="79" spans="1:25">
      <c r="A79" s="212" t="s">
        <v>257</v>
      </c>
      <c r="B79" s="213"/>
      <c r="C79" s="213"/>
      <c r="D79" s="213"/>
      <c r="E79" s="213"/>
      <c r="F79" s="213"/>
      <c r="G79" s="213"/>
      <c r="H79" s="213" t="s">
        <v>36</v>
      </c>
      <c r="I79" s="213"/>
      <c r="J79" s="213"/>
      <c r="K79" s="213"/>
      <c r="L79" s="213" t="s">
        <v>36</v>
      </c>
      <c r="M79" s="213" t="s">
        <v>36</v>
      </c>
      <c r="N79" s="213" t="s">
        <v>36</v>
      </c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2">
        <f t="shared" si="1"/>
        <v>4</v>
      </c>
    </row>
    <row r="80" spans="1:25">
      <c r="A80" s="212" t="s">
        <v>265</v>
      </c>
      <c r="B80" s="213"/>
      <c r="C80" s="213"/>
      <c r="D80" s="213"/>
      <c r="E80" s="213"/>
      <c r="F80" s="213"/>
      <c r="G80" s="213"/>
      <c r="H80" s="213" t="s">
        <v>36</v>
      </c>
      <c r="I80" s="213"/>
      <c r="J80" s="213"/>
      <c r="K80" s="213"/>
      <c r="L80" s="213" t="s">
        <v>36</v>
      </c>
      <c r="M80" s="213" t="s">
        <v>36</v>
      </c>
      <c r="N80" s="213" t="s">
        <v>36</v>
      </c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2">
        <f t="shared" si="1"/>
        <v>4</v>
      </c>
    </row>
    <row r="81" spans="1:25">
      <c r="A81" s="212" t="s">
        <v>267</v>
      </c>
      <c r="B81" s="213"/>
      <c r="C81" s="213"/>
      <c r="D81" s="213"/>
      <c r="E81" s="213"/>
      <c r="F81" s="213"/>
      <c r="G81" s="213"/>
      <c r="H81" s="213" t="s">
        <v>36</v>
      </c>
      <c r="I81" s="213"/>
      <c r="J81" s="213"/>
      <c r="K81" s="213"/>
      <c r="L81" s="213" t="s">
        <v>36</v>
      </c>
      <c r="M81" s="213" t="s">
        <v>36</v>
      </c>
      <c r="N81" s="213" t="s">
        <v>36</v>
      </c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2">
        <f t="shared" si="1"/>
        <v>4</v>
      </c>
    </row>
    <row r="82" spans="1:25">
      <c r="A82" s="212" t="s">
        <v>300</v>
      </c>
      <c r="B82" s="213"/>
      <c r="C82" s="213"/>
      <c r="D82" s="213"/>
      <c r="E82" s="213"/>
      <c r="F82" s="213"/>
      <c r="G82" s="213"/>
      <c r="H82" s="213" t="s">
        <v>36</v>
      </c>
      <c r="I82" s="213"/>
      <c r="J82" s="213"/>
      <c r="K82" s="213"/>
      <c r="L82" s="213" t="s">
        <v>36</v>
      </c>
      <c r="M82" s="213" t="s">
        <v>36</v>
      </c>
      <c r="N82" s="213" t="s">
        <v>36</v>
      </c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2">
        <f t="shared" si="1"/>
        <v>4</v>
      </c>
    </row>
    <row r="83" spans="1:25">
      <c r="A83" s="157" t="s">
        <v>318</v>
      </c>
      <c r="B83" s="196"/>
      <c r="C83" s="196"/>
      <c r="D83" s="196"/>
      <c r="E83" s="196"/>
      <c r="F83" s="196"/>
      <c r="G83" s="196"/>
      <c r="H83" s="196" t="s">
        <v>36</v>
      </c>
      <c r="I83" s="196"/>
      <c r="J83" s="196"/>
      <c r="K83" s="196"/>
      <c r="L83" s="196"/>
      <c r="M83" s="196"/>
      <c r="N83" s="196"/>
      <c r="O83" s="196" t="s">
        <v>36</v>
      </c>
      <c r="P83" s="196"/>
      <c r="Q83" s="196"/>
      <c r="R83" s="196"/>
      <c r="S83" s="196" t="s">
        <v>36</v>
      </c>
      <c r="T83" s="196" t="s">
        <v>36</v>
      </c>
      <c r="U83" s="196"/>
      <c r="V83" s="196"/>
      <c r="W83" s="196"/>
      <c r="X83" s="196"/>
      <c r="Y83" s="157">
        <f t="shared" si="1"/>
        <v>4</v>
      </c>
    </row>
    <row r="84" spans="1:25">
      <c r="A84" s="157" t="s">
        <v>321</v>
      </c>
      <c r="B84" s="196"/>
      <c r="C84" s="196"/>
      <c r="D84" s="196"/>
      <c r="E84" s="196"/>
      <c r="F84" s="196"/>
      <c r="G84" s="196"/>
      <c r="H84" s="196" t="s">
        <v>36</v>
      </c>
      <c r="I84" s="196"/>
      <c r="J84" s="196"/>
      <c r="K84" s="196"/>
      <c r="L84" s="196"/>
      <c r="M84" s="196"/>
      <c r="N84" s="196"/>
      <c r="O84" s="196" t="s">
        <v>36</v>
      </c>
      <c r="P84" s="196"/>
      <c r="Q84" s="196"/>
      <c r="R84" s="196"/>
      <c r="S84" s="196" t="s">
        <v>36</v>
      </c>
      <c r="T84" s="196" t="s">
        <v>36</v>
      </c>
      <c r="U84" s="196"/>
      <c r="V84" s="196"/>
      <c r="W84" s="196"/>
      <c r="X84" s="196"/>
      <c r="Y84" s="157">
        <f t="shared" si="1"/>
        <v>4</v>
      </c>
    </row>
    <row r="85" spans="1:25">
      <c r="A85" s="157" t="s">
        <v>332</v>
      </c>
      <c r="B85" s="196"/>
      <c r="C85" s="196"/>
      <c r="D85" s="196"/>
      <c r="E85" s="196"/>
      <c r="F85" s="196"/>
      <c r="G85" s="196"/>
      <c r="H85" s="196" t="s">
        <v>36</v>
      </c>
      <c r="I85" s="196"/>
      <c r="J85" s="196" t="s">
        <v>36</v>
      </c>
      <c r="K85" s="196"/>
      <c r="L85" s="196"/>
      <c r="M85" s="196"/>
      <c r="N85" s="196"/>
      <c r="O85" s="196" t="s">
        <v>36</v>
      </c>
      <c r="P85" s="196"/>
      <c r="Q85" s="196"/>
      <c r="R85" s="196"/>
      <c r="S85" s="196"/>
      <c r="T85" s="196"/>
      <c r="U85" s="196"/>
      <c r="V85" s="196" t="s">
        <v>36</v>
      </c>
      <c r="W85" s="196"/>
      <c r="X85" s="196"/>
      <c r="Y85" s="157">
        <f t="shared" si="1"/>
        <v>4</v>
      </c>
    </row>
    <row r="86" spans="1:25">
      <c r="A86" s="157" t="s">
        <v>342</v>
      </c>
      <c r="B86" s="196"/>
      <c r="C86" s="196"/>
      <c r="D86" s="196"/>
      <c r="E86" s="196" t="s">
        <v>36</v>
      </c>
      <c r="F86" s="196"/>
      <c r="G86" s="196" t="s">
        <v>36</v>
      </c>
      <c r="H86" s="196" t="s">
        <v>36</v>
      </c>
      <c r="I86" s="196"/>
      <c r="J86" s="196"/>
      <c r="K86" s="196"/>
      <c r="L86" s="196"/>
      <c r="M86" s="196"/>
      <c r="N86" s="196"/>
      <c r="O86" s="196" t="s">
        <v>36</v>
      </c>
      <c r="P86" s="196"/>
      <c r="Q86" s="196"/>
      <c r="R86" s="196"/>
      <c r="S86" s="196"/>
      <c r="T86" s="196"/>
      <c r="U86" s="196"/>
      <c r="V86" s="196"/>
      <c r="W86" s="196"/>
      <c r="X86" s="196"/>
      <c r="Y86" s="157">
        <f t="shared" si="1"/>
        <v>4</v>
      </c>
    </row>
    <row r="87" spans="1:25">
      <c r="A87" s="157" t="s">
        <v>353</v>
      </c>
      <c r="B87" s="196"/>
      <c r="C87" s="196"/>
      <c r="D87" s="196"/>
      <c r="E87" s="196"/>
      <c r="F87" s="196"/>
      <c r="G87" s="196" t="s">
        <v>36</v>
      </c>
      <c r="H87" s="196" t="s">
        <v>36</v>
      </c>
      <c r="I87" s="196"/>
      <c r="J87" s="196"/>
      <c r="K87" s="196"/>
      <c r="L87" s="196"/>
      <c r="M87" s="196"/>
      <c r="N87" s="196"/>
      <c r="O87" s="196" t="s">
        <v>36</v>
      </c>
      <c r="P87" s="196"/>
      <c r="Q87" s="196"/>
      <c r="R87" s="196"/>
      <c r="S87" s="196"/>
      <c r="T87" s="196"/>
      <c r="U87" s="196"/>
      <c r="V87" s="196"/>
      <c r="W87" s="196" t="s">
        <v>36</v>
      </c>
      <c r="X87" s="196"/>
      <c r="Y87" s="157">
        <f t="shared" si="1"/>
        <v>4</v>
      </c>
    </row>
    <row r="88" spans="1:25">
      <c r="A88" s="212" t="s">
        <v>612</v>
      </c>
      <c r="B88" s="213"/>
      <c r="C88" s="213" t="s">
        <v>36</v>
      </c>
      <c r="D88" s="213" t="s">
        <v>36</v>
      </c>
      <c r="E88" s="213" t="s">
        <v>36</v>
      </c>
      <c r="F88" s="213"/>
      <c r="G88" s="213"/>
      <c r="H88" s="213" t="s">
        <v>36</v>
      </c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2">
        <f t="shared" si="1"/>
        <v>4</v>
      </c>
    </row>
    <row r="89" spans="1:25">
      <c r="A89" s="212" t="s">
        <v>472</v>
      </c>
      <c r="B89" s="213"/>
      <c r="C89" s="213"/>
      <c r="D89" s="213"/>
      <c r="E89" s="213" t="s">
        <v>36</v>
      </c>
      <c r="F89" s="213"/>
      <c r="G89" s="213"/>
      <c r="H89" s="213" t="s">
        <v>36</v>
      </c>
      <c r="I89" s="213" t="s">
        <v>36</v>
      </c>
      <c r="J89" s="213"/>
      <c r="K89" s="213"/>
      <c r="L89" s="213"/>
      <c r="M89" s="213"/>
      <c r="N89" s="213"/>
      <c r="O89" s="213" t="s">
        <v>36</v>
      </c>
      <c r="P89" s="213"/>
      <c r="Q89" s="213"/>
      <c r="R89" s="213"/>
      <c r="S89" s="213"/>
      <c r="T89" s="213"/>
      <c r="U89" s="213"/>
      <c r="V89" s="213"/>
      <c r="W89" s="213"/>
      <c r="X89" s="213"/>
      <c r="Y89" s="212">
        <f t="shared" si="1"/>
        <v>4</v>
      </c>
    </row>
    <row r="90" spans="1:25">
      <c r="A90" s="214" t="s">
        <v>613</v>
      </c>
      <c r="B90" s="213"/>
      <c r="C90" s="213"/>
      <c r="D90" s="213"/>
      <c r="E90" s="213"/>
      <c r="F90" s="213"/>
      <c r="G90" s="213" t="s">
        <v>36</v>
      </c>
      <c r="H90" s="213" t="s">
        <v>36</v>
      </c>
      <c r="I90" s="213"/>
      <c r="J90" s="213"/>
      <c r="K90" s="213"/>
      <c r="L90" s="213"/>
      <c r="M90" s="213"/>
      <c r="N90" s="213"/>
      <c r="O90" s="213" t="s">
        <v>36</v>
      </c>
      <c r="P90" s="213"/>
      <c r="Q90" s="213"/>
      <c r="R90" s="213"/>
      <c r="S90" s="213"/>
      <c r="T90" s="213"/>
      <c r="U90" s="213"/>
      <c r="V90" s="213"/>
      <c r="W90" s="213"/>
      <c r="X90" s="213"/>
      <c r="Y90" s="212">
        <f t="shared" si="1"/>
        <v>3</v>
      </c>
    </row>
    <row r="91" spans="1:25">
      <c r="A91" s="214" t="s">
        <v>614</v>
      </c>
      <c r="B91" s="213"/>
      <c r="C91" s="213"/>
      <c r="D91" s="213"/>
      <c r="E91" s="213"/>
      <c r="F91" s="213"/>
      <c r="G91" s="213" t="s">
        <v>36</v>
      </c>
      <c r="H91" s="213" t="s">
        <v>36</v>
      </c>
      <c r="I91" s="213"/>
      <c r="J91" s="213"/>
      <c r="K91" s="213"/>
      <c r="L91" s="213"/>
      <c r="M91" s="213"/>
      <c r="N91" s="213"/>
      <c r="O91" s="213" t="s">
        <v>36</v>
      </c>
      <c r="P91" s="213"/>
      <c r="Q91" s="213"/>
      <c r="R91" s="213"/>
      <c r="S91" s="213"/>
      <c r="T91" s="213"/>
      <c r="U91" s="213"/>
      <c r="V91" s="213"/>
      <c r="W91" s="213"/>
      <c r="X91" s="213"/>
      <c r="Y91" s="212">
        <f t="shared" si="1"/>
        <v>3</v>
      </c>
    </row>
    <row r="92" spans="1:25">
      <c r="A92" s="197" t="s">
        <v>118</v>
      </c>
      <c r="B92" s="196"/>
      <c r="C92" s="196" t="s">
        <v>36</v>
      </c>
      <c r="D92" s="196"/>
      <c r="E92" s="196" t="s">
        <v>36</v>
      </c>
      <c r="F92" s="196"/>
      <c r="G92" s="196"/>
      <c r="H92" s="196" t="s">
        <v>36</v>
      </c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57">
        <f t="shared" si="1"/>
        <v>3</v>
      </c>
    </row>
    <row r="93" spans="1:25">
      <c r="A93" s="197" t="s">
        <v>123</v>
      </c>
      <c r="B93" s="196"/>
      <c r="C93" s="196"/>
      <c r="D93" s="196" t="s">
        <v>36</v>
      </c>
      <c r="E93" s="196" t="s">
        <v>36</v>
      </c>
      <c r="F93" s="196"/>
      <c r="G93" s="196"/>
      <c r="H93" s="196" t="s">
        <v>36</v>
      </c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57">
        <f t="shared" si="1"/>
        <v>3</v>
      </c>
    </row>
    <row r="94" spans="1:25">
      <c r="A94" s="197" t="s">
        <v>150</v>
      </c>
      <c r="B94" s="196"/>
      <c r="C94" s="196"/>
      <c r="D94" s="196" t="s">
        <v>36</v>
      </c>
      <c r="E94" s="196" t="s">
        <v>36</v>
      </c>
      <c r="F94" s="196"/>
      <c r="G94" s="196"/>
      <c r="H94" s="196" t="s">
        <v>36</v>
      </c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57">
        <f t="shared" si="1"/>
        <v>3</v>
      </c>
    </row>
    <row r="95" spans="1:25">
      <c r="A95" s="212" t="s">
        <v>270</v>
      </c>
      <c r="B95" s="213"/>
      <c r="C95" s="213"/>
      <c r="D95" s="213"/>
      <c r="E95" s="213"/>
      <c r="F95" s="213"/>
      <c r="G95" s="213"/>
      <c r="H95" s="213" t="s">
        <v>36</v>
      </c>
      <c r="I95" s="213"/>
      <c r="J95" s="213"/>
      <c r="K95" s="213"/>
      <c r="L95" s="213"/>
      <c r="M95" s="213" t="s">
        <v>36</v>
      </c>
      <c r="N95" s="213" t="s">
        <v>36</v>
      </c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2">
        <f t="shared" si="1"/>
        <v>3</v>
      </c>
    </row>
    <row r="96" spans="1:25">
      <c r="A96" s="157" t="s">
        <v>274</v>
      </c>
      <c r="B96" s="196"/>
      <c r="C96" s="196"/>
      <c r="D96" s="196"/>
      <c r="E96" s="196"/>
      <c r="F96" s="196"/>
      <c r="G96" s="196"/>
      <c r="H96" s="196" t="s">
        <v>36</v>
      </c>
      <c r="I96" s="196"/>
      <c r="J96" s="196"/>
      <c r="K96" s="196"/>
      <c r="L96" s="196"/>
      <c r="M96" s="196" t="s">
        <v>36</v>
      </c>
      <c r="N96" s="196" t="s">
        <v>36</v>
      </c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57">
        <f t="shared" si="1"/>
        <v>3</v>
      </c>
    </row>
    <row r="97" spans="1:25">
      <c r="A97" s="157" t="s">
        <v>281</v>
      </c>
      <c r="B97" s="196"/>
      <c r="C97" s="196"/>
      <c r="D97" s="196"/>
      <c r="E97" s="196"/>
      <c r="F97" s="196"/>
      <c r="G97" s="196"/>
      <c r="H97" s="196" t="s">
        <v>36</v>
      </c>
      <c r="I97" s="196"/>
      <c r="J97" s="196"/>
      <c r="K97" s="196"/>
      <c r="L97" s="196"/>
      <c r="M97" s="196" t="s">
        <v>36</v>
      </c>
      <c r="N97" s="196" t="s">
        <v>36</v>
      </c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57">
        <f t="shared" si="1"/>
        <v>3</v>
      </c>
    </row>
    <row r="98" spans="1:25">
      <c r="A98" s="157" t="s">
        <v>285</v>
      </c>
      <c r="B98" s="196"/>
      <c r="C98" s="196"/>
      <c r="D98" s="196"/>
      <c r="E98" s="196"/>
      <c r="F98" s="196"/>
      <c r="G98" s="196"/>
      <c r="H98" s="196" t="s">
        <v>36</v>
      </c>
      <c r="I98" s="196"/>
      <c r="J98" s="196"/>
      <c r="K98" s="196"/>
      <c r="L98" s="196"/>
      <c r="M98" s="196" t="s">
        <v>36</v>
      </c>
      <c r="N98" s="196" t="s">
        <v>36</v>
      </c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57">
        <f t="shared" si="1"/>
        <v>3</v>
      </c>
    </row>
    <row r="99" spans="1:25">
      <c r="A99" s="157" t="s">
        <v>287</v>
      </c>
      <c r="B99" s="196"/>
      <c r="C99" s="196"/>
      <c r="D99" s="196"/>
      <c r="E99" s="196"/>
      <c r="F99" s="196"/>
      <c r="G99" s="196"/>
      <c r="H99" s="196" t="s">
        <v>36</v>
      </c>
      <c r="I99" s="196"/>
      <c r="J99" s="196"/>
      <c r="K99" s="196"/>
      <c r="L99" s="196"/>
      <c r="M99" s="196" t="s">
        <v>36</v>
      </c>
      <c r="N99" s="196" t="s">
        <v>36</v>
      </c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57">
        <f t="shared" si="1"/>
        <v>3</v>
      </c>
    </row>
    <row r="100" spans="1:25">
      <c r="A100" s="157" t="s">
        <v>289</v>
      </c>
      <c r="B100" s="196"/>
      <c r="C100" s="196"/>
      <c r="D100" s="196"/>
      <c r="E100" s="196"/>
      <c r="F100" s="196"/>
      <c r="G100" s="196"/>
      <c r="H100" s="196" t="s">
        <v>36</v>
      </c>
      <c r="I100" s="196"/>
      <c r="J100" s="196"/>
      <c r="K100" s="196"/>
      <c r="L100" s="196"/>
      <c r="M100" s="196" t="s">
        <v>36</v>
      </c>
      <c r="N100" s="196" t="s">
        <v>36</v>
      </c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57">
        <f t="shared" si="1"/>
        <v>3</v>
      </c>
    </row>
    <row r="101" spans="1:25">
      <c r="A101" s="157" t="s">
        <v>291</v>
      </c>
      <c r="B101" s="196"/>
      <c r="C101" s="196"/>
      <c r="D101" s="196"/>
      <c r="E101" s="196"/>
      <c r="F101" s="196"/>
      <c r="G101" s="196"/>
      <c r="H101" s="196" t="s">
        <v>36</v>
      </c>
      <c r="I101" s="196"/>
      <c r="J101" s="196"/>
      <c r="K101" s="196"/>
      <c r="L101" s="196"/>
      <c r="M101" s="196" t="s">
        <v>36</v>
      </c>
      <c r="N101" s="196" t="s">
        <v>36</v>
      </c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57">
        <f t="shared" si="1"/>
        <v>3</v>
      </c>
    </row>
    <row r="102" spans="1:25">
      <c r="A102" s="157" t="s">
        <v>293</v>
      </c>
      <c r="B102" s="196"/>
      <c r="C102" s="196"/>
      <c r="D102" s="196"/>
      <c r="E102" s="196"/>
      <c r="F102" s="196"/>
      <c r="G102" s="196"/>
      <c r="H102" s="196" t="s">
        <v>36</v>
      </c>
      <c r="I102" s="196"/>
      <c r="J102" s="196"/>
      <c r="K102" s="196"/>
      <c r="L102" s="196"/>
      <c r="M102" s="196" t="s">
        <v>36</v>
      </c>
      <c r="N102" s="196" t="s">
        <v>36</v>
      </c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57">
        <f t="shared" si="1"/>
        <v>3</v>
      </c>
    </row>
    <row r="103" spans="1:25">
      <c r="A103" s="157" t="s">
        <v>295</v>
      </c>
      <c r="B103" s="196"/>
      <c r="C103" s="196"/>
      <c r="D103" s="196"/>
      <c r="E103" s="196"/>
      <c r="F103" s="196"/>
      <c r="G103" s="196"/>
      <c r="H103" s="196" t="s">
        <v>36</v>
      </c>
      <c r="I103" s="196"/>
      <c r="J103" s="196"/>
      <c r="K103" s="196"/>
      <c r="L103" s="196"/>
      <c r="M103" s="196" t="s">
        <v>36</v>
      </c>
      <c r="N103" s="196" t="s">
        <v>36</v>
      </c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57">
        <f t="shared" si="1"/>
        <v>3</v>
      </c>
    </row>
    <row r="104" spans="1:25">
      <c r="A104" s="157" t="s">
        <v>323</v>
      </c>
      <c r="B104" s="196"/>
      <c r="C104" s="196"/>
      <c r="D104" s="196"/>
      <c r="E104" s="196"/>
      <c r="F104" s="196"/>
      <c r="G104" s="196"/>
      <c r="H104" s="196" t="s">
        <v>36</v>
      </c>
      <c r="I104" s="196"/>
      <c r="J104" s="196"/>
      <c r="K104" s="196"/>
      <c r="L104" s="196"/>
      <c r="M104" s="196"/>
      <c r="N104" s="196"/>
      <c r="O104" s="196" t="s">
        <v>36</v>
      </c>
      <c r="P104" s="196"/>
      <c r="Q104" s="196"/>
      <c r="R104" s="196"/>
      <c r="S104" s="196"/>
      <c r="T104" s="196" t="s">
        <v>36</v>
      </c>
      <c r="U104" s="196"/>
      <c r="V104" s="196"/>
      <c r="W104" s="196"/>
      <c r="X104" s="196"/>
      <c r="Y104" s="157">
        <f t="shared" si="1"/>
        <v>3</v>
      </c>
    </row>
    <row r="105" spans="1:25">
      <c r="A105" s="157" t="s">
        <v>615</v>
      </c>
      <c r="B105" s="196"/>
      <c r="C105" s="196"/>
      <c r="D105" s="196"/>
      <c r="E105" s="196"/>
      <c r="F105" s="196"/>
      <c r="G105" s="196"/>
      <c r="H105" s="196" t="s">
        <v>36</v>
      </c>
      <c r="I105" s="196"/>
      <c r="J105" s="196"/>
      <c r="K105" s="196"/>
      <c r="L105" s="196"/>
      <c r="M105" s="196"/>
      <c r="N105" s="196"/>
      <c r="O105" s="196" t="s">
        <v>36</v>
      </c>
      <c r="P105" s="196"/>
      <c r="Q105" s="196"/>
      <c r="R105" s="196"/>
      <c r="S105" s="196"/>
      <c r="T105" s="196"/>
      <c r="U105" s="196"/>
      <c r="V105" s="196"/>
      <c r="W105" s="196" t="s">
        <v>36</v>
      </c>
      <c r="X105" s="196"/>
      <c r="Y105" s="157">
        <f t="shared" si="1"/>
        <v>3</v>
      </c>
    </row>
    <row r="106" spans="1:25">
      <c r="A106" s="212" t="s">
        <v>616</v>
      </c>
      <c r="B106" s="213"/>
      <c r="C106" s="213"/>
      <c r="D106" s="213"/>
      <c r="E106" s="213"/>
      <c r="F106" s="213"/>
      <c r="G106" s="213"/>
      <c r="H106" s="213" t="s">
        <v>36</v>
      </c>
      <c r="I106" s="213" t="s">
        <v>36</v>
      </c>
      <c r="J106" s="213"/>
      <c r="K106" s="213"/>
      <c r="L106" s="213"/>
      <c r="M106" s="213"/>
      <c r="N106" s="213"/>
      <c r="O106" s="213" t="s">
        <v>36</v>
      </c>
      <c r="P106" s="213"/>
      <c r="Q106" s="213"/>
      <c r="R106" s="213"/>
      <c r="S106" s="213"/>
      <c r="T106" s="213"/>
      <c r="U106" s="213"/>
      <c r="V106" s="213"/>
      <c r="W106" s="213"/>
      <c r="X106" s="213"/>
      <c r="Y106" s="212">
        <f t="shared" si="1"/>
        <v>3</v>
      </c>
    </row>
    <row r="107" spans="1:25">
      <c r="A107" s="212" t="s">
        <v>446</v>
      </c>
      <c r="B107" s="213"/>
      <c r="C107" s="213"/>
      <c r="D107" s="213"/>
      <c r="E107" s="213"/>
      <c r="F107" s="213"/>
      <c r="G107" s="213"/>
      <c r="H107" s="213" t="s">
        <v>36</v>
      </c>
      <c r="I107" s="213" t="s">
        <v>36</v>
      </c>
      <c r="J107" s="213"/>
      <c r="K107" s="213"/>
      <c r="L107" s="213"/>
      <c r="M107" s="213"/>
      <c r="N107" s="213"/>
      <c r="O107" s="213" t="s">
        <v>36</v>
      </c>
      <c r="P107" s="213"/>
      <c r="Q107" s="213"/>
      <c r="R107" s="213"/>
      <c r="S107" s="213"/>
      <c r="T107" s="213"/>
      <c r="U107" s="213"/>
      <c r="V107" s="213"/>
      <c r="W107" s="213"/>
      <c r="X107" s="213"/>
      <c r="Y107" s="212">
        <f t="shared" si="1"/>
        <v>3</v>
      </c>
    </row>
    <row r="108" spans="1:25">
      <c r="A108" s="212" t="s">
        <v>466</v>
      </c>
      <c r="B108" s="213"/>
      <c r="C108" s="213"/>
      <c r="D108" s="213"/>
      <c r="E108" s="213"/>
      <c r="F108" s="213"/>
      <c r="G108" s="213"/>
      <c r="H108" s="213" t="s">
        <v>36</v>
      </c>
      <c r="I108" s="213" t="s">
        <v>36</v>
      </c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 t="s">
        <v>36</v>
      </c>
      <c r="U108" s="213"/>
      <c r="V108" s="213"/>
      <c r="W108" s="213"/>
      <c r="X108" s="213"/>
      <c r="Y108" s="212">
        <f t="shared" si="1"/>
        <v>3</v>
      </c>
    </row>
    <row r="109" spans="1:25">
      <c r="A109" s="212" t="s">
        <v>468</v>
      </c>
      <c r="B109" s="213"/>
      <c r="C109" s="213"/>
      <c r="D109" s="213"/>
      <c r="E109" s="213"/>
      <c r="F109" s="213"/>
      <c r="G109" s="213"/>
      <c r="H109" s="213" t="s">
        <v>36</v>
      </c>
      <c r="I109" s="213" t="s">
        <v>36</v>
      </c>
      <c r="J109" s="213"/>
      <c r="K109" s="213"/>
      <c r="L109" s="213"/>
      <c r="M109" s="213"/>
      <c r="N109" s="213"/>
      <c r="O109" s="213" t="s">
        <v>36</v>
      </c>
      <c r="P109" s="213"/>
      <c r="Q109" s="213"/>
      <c r="R109" s="213"/>
      <c r="S109" s="213"/>
      <c r="T109" s="213"/>
      <c r="U109" s="213"/>
      <c r="V109" s="213"/>
      <c r="W109" s="213"/>
      <c r="X109" s="213"/>
      <c r="Y109" s="212">
        <f t="shared" si="1"/>
        <v>3</v>
      </c>
    </row>
    <row r="110" spans="1:25">
      <c r="A110" s="212" t="s">
        <v>470</v>
      </c>
      <c r="B110" s="213"/>
      <c r="C110" s="213"/>
      <c r="D110" s="213"/>
      <c r="E110" s="213"/>
      <c r="F110" s="213"/>
      <c r="G110" s="213"/>
      <c r="H110" s="213" t="s">
        <v>36</v>
      </c>
      <c r="I110" s="213"/>
      <c r="J110" s="213"/>
      <c r="K110" s="213"/>
      <c r="L110" s="213"/>
      <c r="M110" s="213" t="s">
        <v>36</v>
      </c>
      <c r="N110" s="213" t="s">
        <v>36</v>
      </c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2">
        <f t="shared" si="1"/>
        <v>3</v>
      </c>
    </row>
    <row r="111" spans="1:25">
      <c r="A111" s="212" t="s">
        <v>480</v>
      </c>
      <c r="B111" s="213"/>
      <c r="C111" s="213"/>
      <c r="D111" s="213"/>
      <c r="E111" s="213"/>
      <c r="F111" s="213"/>
      <c r="G111" s="213"/>
      <c r="H111" s="213" t="s">
        <v>36</v>
      </c>
      <c r="I111" s="213"/>
      <c r="J111" s="213"/>
      <c r="K111" s="213"/>
      <c r="L111" s="213"/>
      <c r="M111" s="213" t="s">
        <v>36</v>
      </c>
      <c r="N111" s="213" t="s">
        <v>36</v>
      </c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2">
        <f t="shared" si="1"/>
        <v>3</v>
      </c>
    </row>
    <row r="112" spans="1:25">
      <c r="A112" s="212" t="s">
        <v>482</v>
      </c>
      <c r="B112" s="213"/>
      <c r="C112" s="213"/>
      <c r="D112" s="213"/>
      <c r="E112" s="213"/>
      <c r="F112" s="213"/>
      <c r="G112" s="213"/>
      <c r="H112" s="213" t="s">
        <v>36</v>
      </c>
      <c r="I112" s="213" t="s">
        <v>36</v>
      </c>
      <c r="J112" s="213"/>
      <c r="K112" s="213"/>
      <c r="L112" s="213"/>
      <c r="M112" s="213"/>
      <c r="N112" s="213"/>
      <c r="O112" s="213" t="s">
        <v>36</v>
      </c>
      <c r="P112" s="213"/>
      <c r="Q112" s="213"/>
      <c r="R112" s="213"/>
      <c r="S112" s="213"/>
      <c r="T112" s="213"/>
      <c r="U112" s="213"/>
      <c r="V112" s="213"/>
      <c r="W112" s="213"/>
      <c r="X112" s="213"/>
      <c r="Y112" s="212">
        <f t="shared" si="1"/>
        <v>3</v>
      </c>
    </row>
    <row r="113" spans="1:25">
      <c r="A113" s="212" t="s">
        <v>486</v>
      </c>
      <c r="B113" s="213"/>
      <c r="C113" s="213"/>
      <c r="D113" s="213"/>
      <c r="E113" s="213"/>
      <c r="F113" s="213"/>
      <c r="G113" s="213"/>
      <c r="H113" s="213" t="s">
        <v>36</v>
      </c>
      <c r="I113" s="213" t="s">
        <v>36</v>
      </c>
      <c r="J113" s="213"/>
      <c r="K113" s="213"/>
      <c r="L113" s="213"/>
      <c r="M113" s="213"/>
      <c r="N113" s="213"/>
      <c r="O113" s="213" t="s">
        <v>36</v>
      </c>
      <c r="P113" s="213"/>
      <c r="Q113" s="213"/>
      <c r="R113" s="213"/>
      <c r="S113" s="213"/>
      <c r="T113" s="213"/>
      <c r="U113" s="213"/>
      <c r="V113" s="213"/>
      <c r="W113" s="213"/>
      <c r="X113" s="213"/>
      <c r="Y113" s="212">
        <f t="shared" si="1"/>
        <v>3</v>
      </c>
    </row>
    <row r="114" spans="1:25">
      <c r="A114" s="212" t="s">
        <v>488</v>
      </c>
      <c r="B114" s="213"/>
      <c r="C114" s="213"/>
      <c r="D114" s="213"/>
      <c r="E114" s="213"/>
      <c r="F114" s="213"/>
      <c r="G114" s="213"/>
      <c r="H114" s="213" t="s">
        <v>36</v>
      </c>
      <c r="I114" s="213" t="s">
        <v>36</v>
      </c>
      <c r="J114" s="213"/>
      <c r="K114" s="213"/>
      <c r="L114" s="213"/>
      <c r="M114" s="213"/>
      <c r="N114" s="213"/>
      <c r="O114" s="213" t="s">
        <v>36</v>
      </c>
      <c r="P114" s="213"/>
      <c r="Q114" s="213"/>
      <c r="R114" s="213"/>
      <c r="S114" s="213"/>
      <c r="T114" s="213"/>
      <c r="U114" s="213"/>
      <c r="V114" s="213"/>
      <c r="W114" s="213"/>
      <c r="X114" s="213"/>
      <c r="Y114" s="212">
        <f t="shared" si="1"/>
        <v>3</v>
      </c>
    </row>
    <row r="115" spans="1:25">
      <c r="A115" s="197" t="s">
        <v>125</v>
      </c>
      <c r="B115" s="196"/>
      <c r="C115" s="196"/>
      <c r="D115" s="196"/>
      <c r="E115" s="196" t="s">
        <v>36</v>
      </c>
      <c r="F115" s="196"/>
      <c r="G115" s="196"/>
      <c r="H115" s="196" t="s">
        <v>36</v>
      </c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57">
        <f t="shared" si="1"/>
        <v>2</v>
      </c>
    </row>
    <row r="116" spans="1:25">
      <c r="A116" s="197" t="s">
        <v>127</v>
      </c>
      <c r="B116" s="196"/>
      <c r="C116" s="196"/>
      <c r="D116" s="196"/>
      <c r="E116" s="196"/>
      <c r="F116" s="196"/>
      <c r="G116" s="196"/>
      <c r="H116" s="196"/>
      <c r="I116" s="196" t="s">
        <v>36</v>
      </c>
      <c r="J116" s="196"/>
      <c r="K116" s="196"/>
      <c r="L116" s="196"/>
      <c r="M116" s="196"/>
      <c r="N116" s="196" t="s">
        <v>36</v>
      </c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57">
        <f t="shared" si="1"/>
        <v>2</v>
      </c>
    </row>
    <row r="117" spans="1:25">
      <c r="A117" s="197" t="s">
        <v>134</v>
      </c>
      <c r="B117" s="196"/>
      <c r="C117" s="196"/>
      <c r="D117" s="196"/>
      <c r="E117" s="196" t="s">
        <v>36</v>
      </c>
      <c r="F117" s="196"/>
      <c r="G117" s="196"/>
      <c r="H117" s="196" t="s">
        <v>36</v>
      </c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57">
        <f t="shared" si="1"/>
        <v>2</v>
      </c>
    </row>
    <row r="118" spans="1:25">
      <c r="A118" s="197" t="s">
        <v>136</v>
      </c>
      <c r="B118" s="196"/>
      <c r="C118" s="196"/>
      <c r="D118" s="196"/>
      <c r="E118" s="196" t="s">
        <v>36</v>
      </c>
      <c r="F118" s="196"/>
      <c r="G118" s="196"/>
      <c r="H118" s="196" t="s">
        <v>36</v>
      </c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57">
        <f t="shared" si="1"/>
        <v>2</v>
      </c>
    </row>
    <row r="119" spans="1:25">
      <c r="A119" s="197" t="s">
        <v>142</v>
      </c>
      <c r="B119" s="196"/>
      <c r="C119" s="196"/>
      <c r="D119" s="196"/>
      <c r="E119" s="196" t="s">
        <v>36</v>
      </c>
      <c r="F119" s="196"/>
      <c r="G119" s="196"/>
      <c r="H119" s="196" t="s">
        <v>36</v>
      </c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57">
        <f t="shared" si="1"/>
        <v>2</v>
      </c>
    </row>
    <row r="120" spans="1:25">
      <c r="A120" s="197" t="s">
        <v>144</v>
      </c>
      <c r="B120" s="196"/>
      <c r="C120" s="196"/>
      <c r="D120" s="196"/>
      <c r="E120" s="196" t="s">
        <v>36</v>
      </c>
      <c r="F120" s="196"/>
      <c r="G120" s="196"/>
      <c r="H120" s="196" t="s">
        <v>36</v>
      </c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57">
        <f t="shared" si="1"/>
        <v>2</v>
      </c>
    </row>
    <row r="121" spans="1:25">
      <c r="A121" s="197" t="s">
        <v>152</v>
      </c>
      <c r="B121" s="196"/>
      <c r="C121" s="196"/>
      <c r="D121" s="196"/>
      <c r="E121" s="196" t="s">
        <v>36</v>
      </c>
      <c r="F121" s="196"/>
      <c r="G121" s="196"/>
      <c r="H121" s="196" t="s">
        <v>36</v>
      </c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57">
        <f t="shared" si="1"/>
        <v>2</v>
      </c>
    </row>
    <row r="122" spans="1:25">
      <c r="A122" s="212" t="s">
        <v>247</v>
      </c>
      <c r="B122" s="213"/>
      <c r="C122" s="213"/>
      <c r="D122" s="213"/>
      <c r="E122" s="213"/>
      <c r="F122" s="213"/>
      <c r="G122" s="213"/>
      <c r="H122" s="213" t="s">
        <v>36</v>
      </c>
      <c r="I122" s="213"/>
      <c r="J122" s="213"/>
      <c r="K122" s="213"/>
      <c r="L122" s="213"/>
      <c r="M122" s="213"/>
      <c r="N122" s="213" t="s">
        <v>36</v>
      </c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2">
        <f t="shared" si="1"/>
        <v>2</v>
      </c>
    </row>
    <row r="123" spans="1:25">
      <c r="A123" s="212" t="s">
        <v>617</v>
      </c>
      <c r="B123" s="213"/>
      <c r="C123" s="213"/>
      <c r="D123" s="213"/>
      <c r="E123" s="213"/>
      <c r="F123" s="213"/>
      <c r="G123" s="213"/>
      <c r="H123" s="213" t="s">
        <v>36</v>
      </c>
      <c r="I123" s="213" t="s">
        <v>36</v>
      </c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2">
        <f t="shared" si="1"/>
        <v>2</v>
      </c>
    </row>
    <row r="124" spans="1:25">
      <c r="A124" s="157" t="s">
        <v>277</v>
      </c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 t="s">
        <v>36</v>
      </c>
      <c r="N124" s="196" t="s">
        <v>36</v>
      </c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57">
        <f t="shared" si="1"/>
        <v>2</v>
      </c>
    </row>
    <row r="125" spans="1:25">
      <c r="A125" s="157" t="s">
        <v>279</v>
      </c>
      <c r="B125" s="196"/>
      <c r="C125" s="196"/>
      <c r="D125" s="196"/>
      <c r="E125" s="196"/>
      <c r="F125" s="196"/>
      <c r="G125" s="196"/>
      <c r="H125" s="196" t="s">
        <v>36</v>
      </c>
      <c r="I125" s="196"/>
      <c r="J125" s="196"/>
      <c r="K125" s="196"/>
      <c r="L125" s="196"/>
      <c r="M125" s="196"/>
      <c r="N125" s="196" t="s">
        <v>36</v>
      </c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57">
        <f t="shared" si="1"/>
        <v>2</v>
      </c>
    </row>
    <row r="126" spans="1:25">
      <c r="A126" s="157" t="s">
        <v>257</v>
      </c>
      <c r="B126" s="196"/>
      <c r="C126" s="196"/>
      <c r="D126" s="196"/>
      <c r="E126" s="196"/>
      <c r="F126" s="196"/>
      <c r="G126" s="196"/>
      <c r="H126" s="196" t="s">
        <v>36</v>
      </c>
      <c r="I126" s="196"/>
      <c r="J126" s="196"/>
      <c r="K126" s="196"/>
      <c r="L126" s="196"/>
      <c r="M126" s="196"/>
      <c r="N126" s="196" t="s">
        <v>36</v>
      </c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57">
        <f t="shared" si="1"/>
        <v>2</v>
      </c>
    </row>
    <row r="127" spans="1:25">
      <c r="A127" s="157" t="s">
        <v>283</v>
      </c>
      <c r="B127" s="196"/>
      <c r="C127" s="196"/>
      <c r="D127" s="196"/>
      <c r="E127" s="196"/>
      <c r="F127" s="196"/>
      <c r="G127" s="196"/>
      <c r="H127" s="196" t="s">
        <v>36</v>
      </c>
      <c r="I127" s="196"/>
      <c r="J127" s="196"/>
      <c r="K127" s="196"/>
      <c r="L127" s="196"/>
      <c r="M127" s="196"/>
      <c r="N127" s="196" t="s">
        <v>36</v>
      </c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57">
        <f t="shared" si="1"/>
        <v>2</v>
      </c>
    </row>
    <row r="128" spans="1:25">
      <c r="A128" s="212" t="s">
        <v>306</v>
      </c>
      <c r="B128" s="213"/>
      <c r="C128" s="213"/>
      <c r="D128" s="213"/>
      <c r="E128" s="213"/>
      <c r="F128" s="213"/>
      <c r="G128" s="213"/>
      <c r="H128" s="213" t="s">
        <v>36</v>
      </c>
      <c r="I128" s="213"/>
      <c r="J128" s="213"/>
      <c r="K128" s="213"/>
      <c r="L128" s="213"/>
      <c r="M128" s="213"/>
      <c r="N128" s="213"/>
      <c r="O128" s="213" t="s">
        <v>36</v>
      </c>
      <c r="P128" s="213"/>
      <c r="Q128" s="213"/>
      <c r="R128" s="213"/>
      <c r="S128" s="213"/>
      <c r="T128" s="213"/>
      <c r="U128" s="213"/>
      <c r="V128" s="213"/>
      <c r="W128" s="213"/>
      <c r="X128" s="213"/>
      <c r="Y128" s="212">
        <f t="shared" si="1"/>
        <v>2</v>
      </c>
    </row>
    <row r="129" spans="1:25">
      <c r="A129" s="212" t="s">
        <v>308</v>
      </c>
      <c r="B129" s="213"/>
      <c r="C129" s="213"/>
      <c r="D129" s="213"/>
      <c r="E129" s="213"/>
      <c r="F129" s="213"/>
      <c r="G129" s="213"/>
      <c r="H129" s="213" t="s">
        <v>36</v>
      </c>
      <c r="I129" s="213"/>
      <c r="J129" s="213"/>
      <c r="K129" s="213"/>
      <c r="L129" s="213"/>
      <c r="M129" s="213"/>
      <c r="N129" s="213"/>
      <c r="O129" s="213" t="s">
        <v>36</v>
      </c>
      <c r="P129" s="213"/>
      <c r="Q129" s="213"/>
      <c r="R129" s="213"/>
      <c r="S129" s="213"/>
      <c r="T129" s="213"/>
      <c r="U129" s="213"/>
      <c r="V129" s="213"/>
      <c r="W129" s="213"/>
      <c r="X129" s="213"/>
      <c r="Y129" s="212">
        <f t="shared" ref="Y129:Y192" si="2">COUNTIF(B129:X129,"X")</f>
        <v>2</v>
      </c>
    </row>
    <row r="130" spans="1:25">
      <c r="A130" s="212" t="s">
        <v>310</v>
      </c>
      <c r="B130" s="213"/>
      <c r="C130" s="213"/>
      <c r="D130" s="213"/>
      <c r="E130" s="213"/>
      <c r="F130" s="213"/>
      <c r="G130" s="213"/>
      <c r="H130" s="213" t="s">
        <v>36</v>
      </c>
      <c r="I130" s="213"/>
      <c r="J130" s="213"/>
      <c r="K130" s="213"/>
      <c r="L130" s="213"/>
      <c r="M130" s="213"/>
      <c r="N130" s="213"/>
      <c r="O130" s="213" t="s">
        <v>36</v>
      </c>
      <c r="P130" s="213"/>
      <c r="Q130" s="213"/>
      <c r="R130" s="213"/>
      <c r="S130" s="213"/>
      <c r="T130" s="213"/>
      <c r="U130" s="213"/>
      <c r="V130" s="213"/>
      <c r="W130" s="213"/>
      <c r="X130" s="213"/>
      <c r="Y130" s="212">
        <f t="shared" si="2"/>
        <v>2</v>
      </c>
    </row>
    <row r="131" spans="1:25">
      <c r="A131" s="157" t="s">
        <v>351</v>
      </c>
      <c r="B131" s="196"/>
      <c r="C131" s="196"/>
      <c r="D131" s="196"/>
      <c r="E131" s="196"/>
      <c r="F131" s="196"/>
      <c r="G131" s="196"/>
      <c r="H131" s="196" t="s">
        <v>36</v>
      </c>
      <c r="I131" s="196"/>
      <c r="J131" s="196"/>
      <c r="K131" s="196"/>
      <c r="L131" s="196"/>
      <c r="M131" s="196"/>
      <c r="N131" s="196"/>
      <c r="O131" s="196" t="s">
        <v>36</v>
      </c>
      <c r="P131" s="196"/>
      <c r="Q131" s="196"/>
      <c r="R131" s="196"/>
      <c r="S131" s="196"/>
      <c r="T131" s="196"/>
      <c r="U131" s="196"/>
      <c r="V131" s="196"/>
      <c r="W131" s="196"/>
      <c r="X131" s="196"/>
      <c r="Y131" s="157">
        <f t="shared" si="2"/>
        <v>2</v>
      </c>
    </row>
    <row r="132" spans="1:25">
      <c r="A132" s="157" t="s">
        <v>357</v>
      </c>
      <c r="B132" s="196"/>
      <c r="C132" s="196"/>
      <c r="D132" s="196"/>
      <c r="E132" s="196"/>
      <c r="F132" s="196"/>
      <c r="G132" s="196"/>
      <c r="H132" s="196" t="s">
        <v>36</v>
      </c>
      <c r="I132" s="196"/>
      <c r="J132" s="196"/>
      <c r="K132" s="196"/>
      <c r="L132" s="196"/>
      <c r="M132" s="196"/>
      <c r="N132" s="196"/>
      <c r="O132" s="196" t="s">
        <v>36</v>
      </c>
      <c r="P132" s="196"/>
      <c r="Q132" s="196"/>
      <c r="R132" s="196"/>
      <c r="S132" s="196"/>
      <c r="T132" s="196"/>
      <c r="U132" s="196"/>
      <c r="V132" s="196"/>
      <c r="W132" s="196"/>
      <c r="X132" s="196"/>
      <c r="Y132" s="157">
        <f t="shared" si="2"/>
        <v>2</v>
      </c>
    </row>
    <row r="133" spans="1:25">
      <c r="A133" s="212" t="s">
        <v>384</v>
      </c>
      <c r="B133" s="213"/>
      <c r="C133" s="213"/>
      <c r="D133" s="213"/>
      <c r="E133" s="213"/>
      <c r="F133" s="213"/>
      <c r="G133" s="213"/>
      <c r="H133" s="213" t="s">
        <v>36</v>
      </c>
      <c r="I133" s="213"/>
      <c r="J133" s="213"/>
      <c r="K133" s="213"/>
      <c r="L133" s="213"/>
      <c r="M133" s="213"/>
      <c r="N133" s="213" t="s">
        <v>36</v>
      </c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2">
        <f t="shared" si="2"/>
        <v>2</v>
      </c>
    </row>
    <row r="134" spans="1:25">
      <c r="A134" s="157" t="s">
        <v>423</v>
      </c>
      <c r="B134" s="196"/>
      <c r="C134" s="196"/>
      <c r="D134" s="196"/>
      <c r="E134" s="196"/>
      <c r="F134" s="196"/>
      <c r="G134" s="196"/>
      <c r="H134" s="196" t="s">
        <v>36</v>
      </c>
      <c r="I134" s="196" t="s">
        <v>36</v>
      </c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57">
        <f t="shared" si="2"/>
        <v>2</v>
      </c>
    </row>
    <row r="135" spans="1:25">
      <c r="A135" s="157" t="s">
        <v>425</v>
      </c>
      <c r="B135" s="196"/>
      <c r="C135" s="196"/>
      <c r="D135" s="196"/>
      <c r="E135" s="196"/>
      <c r="F135" s="196"/>
      <c r="G135" s="196"/>
      <c r="H135" s="196" t="s">
        <v>36</v>
      </c>
      <c r="I135" s="196" t="s">
        <v>36</v>
      </c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57">
        <f t="shared" si="2"/>
        <v>2</v>
      </c>
    </row>
    <row r="136" spans="1:25">
      <c r="A136" s="212" t="s">
        <v>429</v>
      </c>
      <c r="B136" s="213"/>
      <c r="C136" s="213"/>
      <c r="D136" s="213"/>
      <c r="E136" s="213"/>
      <c r="F136" s="213"/>
      <c r="G136" s="213"/>
      <c r="H136" s="213" t="s">
        <v>36</v>
      </c>
      <c r="I136" s="213" t="s">
        <v>36</v>
      </c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2">
        <f t="shared" si="2"/>
        <v>2</v>
      </c>
    </row>
    <row r="137" spans="1:25">
      <c r="A137" s="212" t="s">
        <v>618</v>
      </c>
      <c r="B137" s="213"/>
      <c r="C137" s="213"/>
      <c r="D137" s="213"/>
      <c r="E137" s="213"/>
      <c r="F137" s="213"/>
      <c r="G137" s="213"/>
      <c r="H137" s="213" t="s">
        <v>36</v>
      </c>
      <c r="I137" s="213" t="s">
        <v>36</v>
      </c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2">
        <f t="shared" si="2"/>
        <v>2</v>
      </c>
    </row>
    <row r="138" spans="1:25">
      <c r="A138" s="212" t="s">
        <v>432</v>
      </c>
      <c r="B138" s="213"/>
      <c r="C138" s="213"/>
      <c r="D138" s="213"/>
      <c r="E138" s="213"/>
      <c r="F138" s="213"/>
      <c r="G138" s="213"/>
      <c r="H138" s="213" t="s">
        <v>36</v>
      </c>
      <c r="I138" s="213" t="s">
        <v>36</v>
      </c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2">
        <f t="shared" si="2"/>
        <v>2</v>
      </c>
    </row>
    <row r="139" spans="1:25">
      <c r="A139" s="212" t="s">
        <v>452</v>
      </c>
      <c r="B139" s="213"/>
      <c r="C139" s="213"/>
      <c r="D139" s="213"/>
      <c r="E139" s="213"/>
      <c r="F139" s="213"/>
      <c r="G139" s="213"/>
      <c r="H139" s="213" t="s">
        <v>36</v>
      </c>
      <c r="I139" s="213"/>
      <c r="J139" s="213"/>
      <c r="K139" s="213"/>
      <c r="L139" s="213"/>
      <c r="M139" s="213"/>
      <c r="N139" s="213"/>
      <c r="O139" s="213" t="s">
        <v>36</v>
      </c>
      <c r="P139" s="213"/>
      <c r="Q139" s="213"/>
      <c r="R139" s="213"/>
      <c r="S139" s="213"/>
      <c r="T139" s="213"/>
      <c r="U139" s="213"/>
      <c r="V139" s="213"/>
      <c r="W139" s="213"/>
      <c r="X139" s="213"/>
      <c r="Y139" s="212">
        <f t="shared" si="2"/>
        <v>2</v>
      </c>
    </row>
    <row r="140" spans="1:25">
      <c r="A140" s="212" t="s">
        <v>458</v>
      </c>
      <c r="B140" s="213"/>
      <c r="C140" s="213"/>
      <c r="D140" s="213"/>
      <c r="E140" s="213"/>
      <c r="F140" s="213"/>
      <c r="G140" s="213"/>
      <c r="H140" s="213" t="s">
        <v>36</v>
      </c>
      <c r="I140" s="213"/>
      <c r="J140" s="213"/>
      <c r="K140" s="213"/>
      <c r="L140" s="213"/>
      <c r="M140" s="213"/>
      <c r="N140" s="213"/>
      <c r="O140" s="213" t="s">
        <v>36</v>
      </c>
      <c r="P140" s="213"/>
      <c r="Q140" s="213"/>
      <c r="R140" s="213"/>
      <c r="S140" s="213"/>
      <c r="T140" s="213"/>
      <c r="U140" s="213"/>
      <c r="V140" s="213"/>
      <c r="W140" s="213"/>
      <c r="X140" s="213"/>
      <c r="Y140" s="212">
        <f t="shared" si="2"/>
        <v>2</v>
      </c>
    </row>
    <row r="141" spans="1:25">
      <c r="A141" s="212" t="s">
        <v>478</v>
      </c>
      <c r="B141" s="213"/>
      <c r="C141" s="213"/>
      <c r="D141" s="213"/>
      <c r="E141" s="213"/>
      <c r="F141" s="213"/>
      <c r="G141" s="213"/>
      <c r="H141" s="213" t="s">
        <v>36</v>
      </c>
      <c r="I141" s="213" t="s">
        <v>36</v>
      </c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2">
        <f t="shared" si="2"/>
        <v>2</v>
      </c>
    </row>
    <row r="142" spans="1:25">
      <c r="A142" s="212" t="s">
        <v>484</v>
      </c>
      <c r="B142" s="213"/>
      <c r="C142" s="213"/>
      <c r="D142" s="213"/>
      <c r="E142" s="213"/>
      <c r="F142" s="213"/>
      <c r="G142" s="213"/>
      <c r="H142" s="213" t="s">
        <v>36</v>
      </c>
      <c r="I142" s="213"/>
      <c r="J142" s="213"/>
      <c r="K142" s="213"/>
      <c r="L142" s="213"/>
      <c r="M142" s="213"/>
      <c r="N142" s="213"/>
      <c r="O142" s="213" t="s">
        <v>36</v>
      </c>
      <c r="P142" s="213"/>
      <c r="Q142" s="213"/>
      <c r="R142" s="213"/>
      <c r="S142" s="213"/>
      <c r="T142" s="213"/>
      <c r="U142" s="213"/>
      <c r="V142" s="213"/>
      <c r="W142" s="213"/>
      <c r="X142" s="213"/>
      <c r="Y142" s="212">
        <f t="shared" si="2"/>
        <v>2</v>
      </c>
    </row>
    <row r="143" spans="1:25">
      <c r="A143" s="212" t="s">
        <v>619</v>
      </c>
      <c r="B143" s="213"/>
      <c r="C143" s="213"/>
      <c r="D143" s="213"/>
      <c r="E143" s="213"/>
      <c r="F143" s="213"/>
      <c r="G143" s="213"/>
      <c r="H143" s="213" t="s">
        <v>36</v>
      </c>
      <c r="I143" s="213" t="s">
        <v>36</v>
      </c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2">
        <f t="shared" si="2"/>
        <v>2</v>
      </c>
    </row>
    <row r="144" spans="1:25">
      <c r="A144" s="197" t="s">
        <v>32</v>
      </c>
      <c r="B144" s="196"/>
      <c r="C144" s="196"/>
      <c r="D144" s="196"/>
      <c r="E144" s="196"/>
      <c r="F144" s="196"/>
      <c r="G144" s="196"/>
      <c r="H144" s="196" t="s">
        <v>36</v>
      </c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57">
        <f t="shared" si="2"/>
        <v>1</v>
      </c>
    </row>
    <row r="145" spans="1:25">
      <c r="A145" s="197" t="s">
        <v>38</v>
      </c>
      <c r="B145" s="196"/>
      <c r="C145" s="196"/>
      <c r="D145" s="196"/>
      <c r="E145" s="196"/>
      <c r="F145" s="196"/>
      <c r="G145" s="196"/>
      <c r="H145" s="196" t="s">
        <v>36</v>
      </c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57">
        <f t="shared" si="2"/>
        <v>1</v>
      </c>
    </row>
    <row r="146" spans="1:25">
      <c r="A146" s="197" t="s">
        <v>41</v>
      </c>
      <c r="B146" s="196"/>
      <c r="C146" s="196"/>
      <c r="D146" s="196"/>
      <c r="E146" s="196"/>
      <c r="F146" s="196"/>
      <c r="G146" s="196"/>
      <c r="H146" s="196" t="s">
        <v>36</v>
      </c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57">
        <f t="shared" si="2"/>
        <v>1</v>
      </c>
    </row>
    <row r="147" spans="1:25">
      <c r="A147" s="197" t="s">
        <v>44</v>
      </c>
      <c r="B147" s="196"/>
      <c r="C147" s="196"/>
      <c r="D147" s="196"/>
      <c r="E147" s="196"/>
      <c r="F147" s="196"/>
      <c r="G147" s="196"/>
      <c r="H147" s="196" t="s">
        <v>36</v>
      </c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57">
        <f t="shared" si="2"/>
        <v>1</v>
      </c>
    </row>
    <row r="148" spans="1:25">
      <c r="A148" s="197" t="s">
        <v>47</v>
      </c>
      <c r="B148" s="196"/>
      <c r="C148" s="196"/>
      <c r="D148" s="196"/>
      <c r="E148" s="196"/>
      <c r="F148" s="196"/>
      <c r="G148" s="196"/>
      <c r="H148" s="196" t="s">
        <v>36</v>
      </c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57">
        <f t="shared" si="2"/>
        <v>1</v>
      </c>
    </row>
    <row r="149" spans="1:25">
      <c r="A149" s="197" t="s">
        <v>49</v>
      </c>
      <c r="B149" s="196"/>
      <c r="C149" s="196"/>
      <c r="D149" s="196"/>
      <c r="E149" s="196"/>
      <c r="F149" s="196"/>
      <c r="G149" s="196"/>
      <c r="H149" s="196" t="s">
        <v>36</v>
      </c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57">
        <f t="shared" si="2"/>
        <v>1</v>
      </c>
    </row>
    <row r="150" spans="1:25">
      <c r="A150" s="214" t="s">
        <v>620</v>
      </c>
      <c r="B150" s="213"/>
      <c r="C150" s="213"/>
      <c r="D150" s="213"/>
      <c r="E150" s="213"/>
      <c r="F150" s="213"/>
      <c r="G150" s="213"/>
      <c r="H150" s="213" t="s">
        <v>36</v>
      </c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2">
        <f t="shared" si="2"/>
        <v>1</v>
      </c>
    </row>
    <row r="151" spans="1:25">
      <c r="A151" s="214" t="s">
        <v>244</v>
      </c>
      <c r="B151" s="213"/>
      <c r="C151" s="213"/>
      <c r="D151" s="213"/>
      <c r="E151" s="213"/>
      <c r="F151" s="213"/>
      <c r="G151" s="213"/>
      <c r="H151" s="213" t="s">
        <v>36</v>
      </c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2">
        <f t="shared" si="2"/>
        <v>1</v>
      </c>
    </row>
    <row r="152" spans="1:25">
      <c r="A152" s="214" t="s">
        <v>556</v>
      </c>
      <c r="B152" s="213"/>
      <c r="C152" s="213"/>
      <c r="D152" s="213"/>
      <c r="E152" s="213"/>
      <c r="F152" s="213"/>
      <c r="G152" s="213"/>
      <c r="H152" s="213" t="s">
        <v>36</v>
      </c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2">
        <f t="shared" si="2"/>
        <v>1</v>
      </c>
    </row>
    <row r="153" spans="1:25">
      <c r="A153" s="157" t="s">
        <v>233</v>
      </c>
      <c r="B153" s="196"/>
      <c r="C153" s="196"/>
      <c r="D153" s="196"/>
      <c r="E153" s="196"/>
      <c r="F153" s="196"/>
      <c r="G153" s="196"/>
      <c r="H153" s="196" t="s">
        <v>36</v>
      </c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57">
        <f t="shared" si="2"/>
        <v>1</v>
      </c>
    </row>
    <row r="154" spans="1:25">
      <c r="A154" s="212" t="s">
        <v>581</v>
      </c>
      <c r="B154" s="213"/>
      <c r="C154" s="213"/>
      <c r="D154" s="213"/>
      <c r="E154" s="213"/>
      <c r="F154" s="213"/>
      <c r="G154" s="213"/>
      <c r="H154" s="213" t="s">
        <v>36</v>
      </c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2">
        <f t="shared" si="2"/>
        <v>1</v>
      </c>
    </row>
    <row r="155" spans="1:25">
      <c r="A155" s="157" t="s">
        <v>349</v>
      </c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 t="s">
        <v>36</v>
      </c>
      <c r="P155" s="196"/>
      <c r="Q155" s="196"/>
      <c r="R155" s="196"/>
      <c r="S155" s="196"/>
      <c r="T155" s="196"/>
      <c r="U155" s="196"/>
      <c r="V155" s="196"/>
      <c r="W155" s="196"/>
      <c r="X155" s="196"/>
      <c r="Y155" s="157">
        <f t="shared" si="2"/>
        <v>1</v>
      </c>
    </row>
    <row r="156" spans="1:25">
      <c r="A156" s="212" t="s">
        <v>369</v>
      </c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 t="s">
        <v>36</v>
      </c>
      <c r="P156" s="213"/>
      <c r="Q156" s="213"/>
      <c r="R156" s="213"/>
      <c r="S156" s="213"/>
      <c r="T156" s="213"/>
      <c r="U156" s="213"/>
      <c r="V156" s="213"/>
      <c r="W156" s="213"/>
      <c r="X156" s="213"/>
      <c r="Y156" s="212">
        <f t="shared" si="2"/>
        <v>1</v>
      </c>
    </row>
    <row r="157" spans="1:25">
      <c r="A157" s="157" t="s">
        <v>416</v>
      </c>
      <c r="B157" s="196"/>
      <c r="C157" s="196"/>
      <c r="D157" s="196"/>
      <c r="E157" s="196"/>
      <c r="F157" s="196"/>
      <c r="G157" s="196"/>
      <c r="H157" s="196" t="s">
        <v>36</v>
      </c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57">
        <f t="shared" si="2"/>
        <v>1</v>
      </c>
    </row>
    <row r="158" spans="1:25">
      <c r="A158" s="157" t="s">
        <v>419</v>
      </c>
      <c r="B158" s="196"/>
      <c r="C158" s="196"/>
      <c r="D158" s="196"/>
      <c r="E158" s="196"/>
      <c r="F158" s="196"/>
      <c r="G158" s="196"/>
      <c r="H158" s="196" t="s">
        <v>36</v>
      </c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57">
        <f t="shared" si="2"/>
        <v>1</v>
      </c>
    </row>
    <row r="159" spans="1:25">
      <c r="A159" s="212" t="s">
        <v>440</v>
      </c>
      <c r="B159" s="213"/>
      <c r="C159" s="213"/>
      <c r="D159" s="213"/>
      <c r="E159" s="213"/>
      <c r="F159" s="213"/>
      <c r="G159" s="213"/>
      <c r="H159" s="213" t="s">
        <v>36</v>
      </c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2">
        <f t="shared" si="2"/>
        <v>1</v>
      </c>
    </row>
    <row r="160" spans="1:25">
      <c r="A160" s="212" t="s">
        <v>444</v>
      </c>
      <c r="B160" s="213"/>
      <c r="C160" s="213"/>
      <c r="D160" s="213"/>
      <c r="E160" s="213"/>
      <c r="F160" s="213"/>
      <c r="G160" s="213"/>
      <c r="H160" s="213" t="s">
        <v>36</v>
      </c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2">
        <f t="shared" si="2"/>
        <v>1</v>
      </c>
    </row>
    <row r="161" spans="1:25">
      <c r="A161" s="212" t="s">
        <v>454</v>
      </c>
      <c r="B161" s="213"/>
      <c r="C161" s="213"/>
      <c r="D161" s="213"/>
      <c r="E161" s="213"/>
      <c r="F161" s="213"/>
      <c r="G161" s="213"/>
      <c r="H161" s="213" t="s">
        <v>36</v>
      </c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2">
        <f t="shared" si="2"/>
        <v>1</v>
      </c>
    </row>
    <row r="162" spans="1:25">
      <c r="A162" s="157" t="s">
        <v>621</v>
      </c>
      <c r="B162" s="196"/>
      <c r="C162" s="196"/>
      <c r="D162" s="196"/>
      <c r="E162" s="196"/>
      <c r="F162" s="196"/>
      <c r="G162" s="196"/>
      <c r="H162" s="196" t="s">
        <v>36</v>
      </c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57">
        <f t="shared" si="2"/>
        <v>1</v>
      </c>
    </row>
    <row r="163" spans="1:25">
      <c r="A163" s="157" t="s">
        <v>505</v>
      </c>
      <c r="B163" s="196"/>
      <c r="C163" s="196"/>
      <c r="D163" s="196"/>
      <c r="E163" s="196"/>
      <c r="F163" s="196"/>
      <c r="G163" s="196"/>
      <c r="H163" s="196" t="s">
        <v>36</v>
      </c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57">
        <f t="shared" si="2"/>
        <v>1</v>
      </c>
    </row>
    <row r="164" spans="1:25">
      <c r="A164" s="197" t="s">
        <v>622</v>
      </c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57">
        <f t="shared" si="2"/>
        <v>0</v>
      </c>
    </row>
    <row r="165" spans="1:25">
      <c r="A165" s="197" t="s">
        <v>623</v>
      </c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57">
        <f t="shared" si="2"/>
        <v>0</v>
      </c>
    </row>
    <row r="166" spans="1:25">
      <c r="A166" s="197" t="s">
        <v>624</v>
      </c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57">
        <f t="shared" si="2"/>
        <v>0</v>
      </c>
    </row>
    <row r="167" spans="1:25">
      <c r="A167" s="197" t="s">
        <v>625</v>
      </c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57">
        <f t="shared" si="2"/>
        <v>0</v>
      </c>
    </row>
    <row r="168" spans="1:25">
      <c r="A168" s="197" t="s">
        <v>626</v>
      </c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57">
        <f t="shared" si="2"/>
        <v>0</v>
      </c>
    </row>
    <row r="169" spans="1:25">
      <c r="A169" s="197" t="s">
        <v>52</v>
      </c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57">
        <f t="shared" si="2"/>
        <v>0</v>
      </c>
    </row>
    <row r="170" spans="1:25">
      <c r="A170" s="214" t="s">
        <v>76</v>
      </c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2">
        <f t="shared" si="2"/>
        <v>0</v>
      </c>
    </row>
    <row r="171" spans="1:25">
      <c r="A171" s="214" t="s">
        <v>99</v>
      </c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2">
        <f t="shared" si="2"/>
        <v>0</v>
      </c>
    </row>
    <row r="172" spans="1:25">
      <c r="A172" s="214" t="s">
        <v>627</v>
      </c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2">
        <f t="shared" si="2"/>
        <v>0</v>
      </c>
    </row>
    <row r="173" spans="1:25">
      <c r="A173" s="214" t="s">
        <v>381</v>
      </c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2">
        <f t="shared" si="2"/>
        <v>0</v>
      </c>
    </row>
    <row r="174" spans="1:25">
      <c r="A174" s="214" t="s">
        <v>107</v>
      </c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2">
        <f t="shared" si="2"/>
        <v>0</v>
      </c>
    </row>
    <row r="175" spans="1:25">
      <c r="A175" s="197" t="s">
        <v>628</v>
      </c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57">
        <f t="shared" si="2"/>
        <v>0</v>
      </c>
    </row>
    <row r="176" spans="1:25">
      <c r="A176" s="202" t="s">
        <v>629</v>
      </c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215">
        <f t="shared" si="2"/>
        <v>0</v>
      </c>
    </row>
    <row r="177" spans="1:25">
      <c r="A177" s="202" t="s">
        <v>630</v>
      </c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215">
        <f t="shared" si="2"/>
        <v>0</v>
      </c>
    </row>
    <row r="178" spans="1:25">
      <c r="A178" s="202" t="s">
        <v>631</v>
      </c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215">
        <f t="shared" si="2"/>
        <v>0</v>
      </c>
    </row>
    <row r="179" spans="1:25">
      <c r="A179" s="202" t="s">
        <v>632</v>
      </c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215">
        <f t="shared" si="2"/>
        <v>0</v>
      </c>
    </row>
    <row r="180" spans="1:25">
      <c r="A180" s="202" t="s">
        <v>633</v>
      </c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215">
        <f t="shared" si="2"/>
        <v>0</v>
      </c>
    </row>
    <row r="181" spans="1:25">
      <c r="A181" s="202" t="s">
        <v>634</v>
      </c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215">
        <f t="shared" si="2"/>
        <v>0</v>
      </c>
    </row>
    <row r="182" spans="1:25">
      <c r="A182" s="202" t="s">
        <v>635</v>
      </c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215">
        <f t="shared" si="2"/>
        <v>0</v>
      </c>
    </row>
    <row r="183" spans="1:25">
      <c r="A183" s="202" t="s">
        <v>636</v>
      </c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215">
        <f t="shared" si="2"/>
        <v>0</v>
      </c>
    </row>
    <row r="184" spans="1:25">
      <c r="A184" s="202" t="s">
        <v>637</v>
      </c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215">
        <f t="shared" si="2"/>
        <v>0</v>
      </c>
    </row>
    <row r="185" spans="1:25">
      <c r="A185" s="202" t="s">
        <v>638</v>
      </c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215">
        <f t="shared" si="2"/>
        <v>0</v>
      </c>
    </row>
    <row r="186" spans="1:25">
      <c r="A186" s="202" t="s">
        <v>639</v>
      </c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215">
        <f t="shared" si="2"/>
        <v>0</v>
      </c>
    </row>
    <row r="187" spans="1:25">
      <c r="A187" s="202" t="s">
        <v>640</v>
      </c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215">
        <f t="shared" si="2"/>
        <v>0</v>
      </c>
    </row>
    <row r="188" spans="1:25">
      <c r="A188" s="157" t="s">
        <v>641</v>
      </c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57">
        <f t="shared" si="2"/>
        <v>0</v>
      </c>
    </row>
    <row r="189" spans="1:25">
      <c r="A189" s="212" t="s">
        <v>642</v>
      </c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2">
        <f t="shared" si="2"/>
        <v>0</v>
      </c>
    </row>
    <row r="190" spans="1:25">
      <c r="A190" s="212" t="s">
        <v>643</v>
      </c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2">
        <f t="shared" si="2"/>
        <v>0</v>
      </c>
    </row>
    <row r="191" spans="1:25">
      <c r="A191" s="173" t="s">
        <v>302</v>
      </c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57">
        <f t="shared" si="2"/>
        <v>0</v>
      </c>
    </row>
    <row r="192" spans="1:25">
      <c r="A192" s="212" t="s">
        <v>644</v>
      </c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2">
        <f t="shared" si="2"/>
        <v>0</v>
      </c>
    </row>
    <row r="193" spans="1:25">
      <c r="A193" s="212" t="s">
        <v>645</v>
      </c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2">
        <f t="shared" ref="Y193:Y211" si="3">COUNTIF(B193:X193,"X")</f>
        <v>0</v>
      </c>
    </row>
    <row r="194" spans="1:25">
      <c r="A194" s="212" t="s">
        <v>646</v>
      </c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2">
        <f t="shared" si="3"/>
        <v>0</v>
      </c>
    </row>
    <row r="195" spans="1:25">
      <c r="A195" s="202" t="s">
        <v>647</v>
      </c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215">
        <f t="shared" si="3"/>
        <v>0</v>
      </c>
    </row>
    <row r="196" spans="1:25">
      <c r="A196" s="202" t="s">
        <v>648</v>
      </c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215">
        <f t="shared" si="3"/>
        <v>0</v>
      </c>
    </row>
    <row r="197" spans="1:25">
      <c r="A197" s="202" t="s">
        <v>649</v>
      </c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215">
        <f t="shared" si="3"/>
        <v>0</v>
      </c>
    </row>
    <row r="198" spans="1:25">
      <c r="A198" s="202" t="s">
        <v>650</v>
      </c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215">
        <f t="shared" si="3"/>
        <v>0</v>
      </c>
    </row>
    <row r="199" spans="1:25">
      <c r="A199" s="202" t="s">
        <v>651</v>
      </c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215">
        <f t="shared" si="3"/>
        <v>0</v>
      </c>
    </row>
    <row r="200" spans="1:25">
      <c r="A200" s="202" t="s">
        <v>652</v>
      </c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215">
        <f t="shared" si="3"/>
        <v>0</v>
      </c>
    </row>
    <row r="201" spans="1:25">
      <c r="A201" s="212" t="s">
        <v>653</v>
      </c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2">
        <f t="shared" si="3"/>
        <v>0</v>
      </c>
    </row>
    <row r="202" spans="1:25">
      <c r="A202" s="157" t="s">
        <v>654</v>
      </c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57">
        <f t="shared" si="3"/>
        <v>0</v>
      </c>
    </row>
    <row r="203" spans="1:25">
      <c r="A203" s="157" t="s">
        <v>655</v>
      </c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57">
        <f t="shared" si="3"/>
        <v>0</v>
      </c>
    </row>
    <row r="204" spans="1:25">
      <c r="A204" s="157" t="s">
        <v>656</v>
      </c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57">
        <f t="shared" si="3"/>
        <v>0</v>
      </c>
    </row>
    <row r="205" spans="1:25">
      <c r="A205" s="157" t="s">
        <v>657</v>
      </c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57">
        <f t="shared" si="3"/>
        <v>0</v>
      </c>
    </row>
    <row r="206" spans="1:25">
      <c r="A206" s="212" t="s">
        <v>658</v>
      </c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2">
        <f t="shared" si="3"/>
        <v>0</v>
      </c>
    </row>
    <row r="207" spans="1:25">
      <c r="A207" s="212" t="s">
        <v>464</v>
      </c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2">
        <f t="shared" si="3"/>
        <v>0</v>
      </c>
    </row>
    <row r="208" spans="1:25">
      <c r="A208" s="212" t="s">
        <v>474</v>
      </c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2">
        <f t="shared" si="3"/>
        <v>0</v>
      </c>
    </row>
    <row r="209" spans="1:25">
      <c r="A209" s="212" t="s">
        <v>659</v>
      </c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2">
        <f t="shared" si="3"/>
        <v>0</v>
      </c>
    </row>
    <row r="210" spans="1:25">
      <c r="A210" s="212" t="s">
        <v>606</v>
      </c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2">
        <f t="shared" si="3"/>
        <v>0</v>
      </c>
    </row>
    <row r="211" spans="1:25">
      <c r="A211" s="212" t="s">
        <v>607</v>
      </c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2">
        <f t="shared" si="3"/>
        <v>0</v>
      </c>
    </row>
  </sheetData>
  <sortState xmlns:xlrd2="http://schemas.microsoft.com/office/spreadsheetml/2017/richdata2" ref="A1:Y211">
    <sortCondition descending="1" ref="Y1:Y211"/>
  </sortState>
  <conditionalFormatting sqref="A1:A211">
    <cfRule type="duplicateValues" dxfId="1" priority="1"/>
  </conditionalFormatting>
  <conditionalFormatting sqref="Y1:Y2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6056-BA55-4EBC-8A32-E1490A73A1E3}">
  <dimension ref="A1:O64"/>
  <sheetViews>
    <sheetView zoomScaleNormal="100" workbookViewId="0">
      <pane ySplit="1" topLeftCell="A2" activePane="bottomLeft" state="frozen"/>
      <selection pane="bottomLeft" activeCell="F21" sqref="F21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7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65">
        <v>1</v>
      </c>
      <c r="B2" s="271" t="s">
        <v>673</v>
      </c>
      <c r="C2" s="238">
        <v>1</v>
      </c>
      <c r="D2" s="238"/>
      <c r="E2" s="238">
        <v>1</v>
      </c>
      <c r="F2" s="197" t="s">
        <v>674</v>
      </c>
      <c r="G2" s="174">
        <v>0</v>
      </c>
      <c r="H2" s="174">
        <v>2</v>
      </c>
      <c r="I2" s="174">
        <v>19</v>
      </c>
      <c r="J2" s="165">
        <v>1</v>
      </c>
      <c r="K2" s="165">
        <v>97</v>
      </c>
      <c r="L2" s="165">
        <v>0</v>
      </c>
      <c r="M2" s="165"/>
      <c r="N2" s="165"/>
      <c r="O2" s="165" t="s">
        <v>675</v>
      </c>
    </row>
    <row r="3" spans="1:15" ht="30">
      <c r="A3" s="266"/>
      <c r="B3" s="272"/>
      <c r="C3" s="242">
        <v>2</v>
      </c>
      <c r="D3" s="242"/>
      <c r="E3" s="242">
        <v>1</v>
      </c>
      <c r="F3" s="37" t="s">
        <v>676</v>
      </c>
      <c r="G3" s="216">
        <v>0</v>
      </c>
      <c r="H3" s="216">
        <v>2</v>
      </c>
      <c r="I3" s="216">
        <v>19</v>
      </c>
      <c r="J3" s="217">
        <v>1</v>
      </c>
      <c r="K3" s="216">
        <v>253</v>
      </c>
      <c r="L3" s="216">
        <v>0</v>
      </c>
      <c r="M3" s="216"/>
      <c r="N3" s="216"/>
      <c r="O3" s="218"/>
    </row>
    <row r="4" spans="1:15" ht="30">
      <c r="A4" s="266"/>
      <c r="B4" s="272"/>
      <c r="C4" s="265">
        <v>3</v>
      </c>
      <c r="D4" s="238"/>
      <c r="E4" s="238">
        <v>1</v>
      </c>
      <c r="F4" s="219" t="s">
        <v>677</v>
      </c>
      <c r="G4" s="220">
        <v>0</v>
      </c>
      <c r="H4" s="220">
        <v>2</v>
      </c>
      <c r="I4" s="220">
        <v>17</v>
      </c>
      <c r="J4" s="221">
        <v>1</v>
      </c>
      <c r="K4" s="221">
        <v>394</v>
      </c>
      <c r="L4" s="221">
        <v>0</v>
      </c>
      <c r="M4" s="163"/>
      <c r="N4" s="238"/>
      <c r="O4" s="174"/>
    </row>
    <row r="5" spans="1:15">
      <c r="A5" s="266"/>
      <c r="B5" s="272"/>
      <c r="C5" s="266"/>
      <c r="D5" s="238"/>
      <c r="E5" s="238">
        <v>2</v>
      </c>
      <c r="F5" s="24" t="s">
        <v>678</v>
      </c>
      <c r="G5" s="220">
        <v>0</v>
      </c>
      <c r="H5" s="220">
        <v>2</v>
      </c>
      <c r="I5" s="220">
        <v>12</v>
      </c>
      <c r="J5" s="221">
        <v>0</v>
      </c>
      <c r="K5" s="221">
        <v>563</v>
      </c>
      <c r="L5" s="221">
        <v>0</v>
      </c>
      <c r="M5" s="163"/>
      <c r="N5" s="238"/>
      <c r="O5" s="174"/>
    </row>
    <row r="6" spans="1:15">
      <c r="A6" s="266"/>
      <c r="B6" s="272"/>
      <c r="C6" s="266"/>
      <c r="D6" s="222"/>
      <c r="E6" s="238">
        <v>2</v>
      </c>
      <c r="F6" s="25" t="s">
        <v>679</v>
      </c>
      <c r="G6" s="223">
        <v>3</v>
      </c>
      <c r="H6" s="223">
        <v>4</v>
      </c>
      <c r="I6" s="223">
        <v>51</v>
      </c>
      <c r="J6" s="224">
        <v>0</v>
      </c>
      <c r="K6" s="224">
        <v>2188</v>
      </c>
      <c r="L6" s="224">
        <v>0</v>
      </c>
      <c r="M6" s="225"/>
      <c r="N6" s="222"/>
      <c r="O6" s="226"/>
    </row>
    <row r="7" spans="1:15" ht="30">
      <c r="A7" s="266"/>
      <c r="B7" s="272"/>
      <c r="C7" s="266"/>
      <c r="D7" s="222"/>
      <c r="E7" s="238">
        <v>2</v>
      </c>
      <c r="F7" s="219" t="s">
        <v>677</v>
      </c>
      <c r="G7" s="220">
        <v>0</v>
      </c>
      <c r="H7" s="220">
        <v>2</v>
      </c>
      <c r="I7" s="220">
        <v>17</v>
      </c>
      <c r="J7" s="221">
        <v>1</v>
      </c>
      <c r="K7" s="221">
        <v>394</v>
      </c>
      <c r="L7" s="221">
        <v>0</v>
      </c>
      <c r="M7" s="225"/>
      <c r="N7" s="222"/>
      <c r="O7" s="226"/>
    </row>
    <row r="8" spans="1:15">
      <c r="A8" s="266"/>
      <c r="B8" s="272"/>
      <c r="C8" s="266"/>
      <c r="D8" s="222"/>
      <c r="E8" s="238">
        <v>3</v>
      </c>
      <c r="F8" s="24" t="s">
        <v>678</v>
      </c>
      <c r="G8" s="220">
        <v>0</v>
      </c>
      <c r="H8" s="220">
        <v>2</v>
      </c>
      <c r="I8" s="220">
        <v>12</v>
      </c>
      <c r="J8" s="221">
        <v>0</v>
      </c>
      <c r="K8" s="221">
        <v>563</v>
      </c>
      <c r="L8" s="221">
        <v>0</v>
      </c>
      <c r="M8" s="225"/>
      <c r="N8" s="222"/>
      <c r="O8" s="226"/>
    </row>
    <row r="9" spans="1:15">
      <c r="A9" s="266"/>
      <c r="B9" s="272"/>
      <c r="C9" s="267"/>
      <c r="D9" s="222"/>
      <c r="E9" s="238">
        <v>3</v>
      </c>
      <c r="F9" s="25" t="s">
        <v>679</v>
      </c>
      <c r="G9" s="223">
        <v>3</v>
      </c>
      <c r="H9" s="223">
        <v>4</v>
      </c>
      <c r="I9" s="223">
        <v>51</v>
      </c>
      <c r="J9" s="224">
        <v>0</v>
      </c>
      <c r="K9" s="224">
        <v>2188</v>
      </c>
      <c r="L9" s="224">
        <v>0</v>
      </c>
      <c r="M9" s="225"/>
      <c r="N9" s="222"/>
      <c r="O9" s="226"/>
    </row>
    <row r="10" spans="1:15">
      <c r="A10" s="266"/>
      <c r="B10" s="272"/>
      <c r="C10" s="268">
        <v>4</v>
      </c>
      <c r="D10" s="242"/>
      <c r="E10" s="242">
        <v>1</v>
      </c>
      <c r="F10" s="23" t="s">
        <v>680</v>
      </c>
      <c r="G10" s="217">
        <v>3</v>
      </c>
      <c r="H10" s="217">
        <v>12</v>
      </c>
      <c r="I10" s="217">
        <v>66</v>
      </c>
      <c r="J10" s="227">
        <v>0</v>
      </c>
      <c r="K10" s="227">
        <v>716</v>
      </c>
      <c r="L10" s="227">
        <v>0</v>
      </c>
      <c r="M10" s="228"/>
      <c r="N10" s="242"/>
      <c r="O10" s="218"/>
    </row>
    <row r="11" spans="1:15">
      <c r="A11" s="266"/>
      <c r="B11" s="272"/>
      <c r="C11" s="269"/>
      <c r="D11" s="242"/>
      <c r="E11" s="242">
        <v>2</v>
      </c>
      <c r="F11" s="33" t="s">
        <v>681</v>
      </c>
      <c r="G11" s="217">
        <v>0</v>
      </c>
      <c r="H11" s="217">
        <v>0</v>
      </c>
      <c r="I11" s="217">
        <v>0</v>
      </c>
      <c r="J11" s="227">
        <v>0</v>
      </c>
      <c r="K11" s="227">
        <v>0</v>
      </c>
      <c r="L11" s="227">
        <v>0</v>
      </c>
      <c r="M11" s="228"/>
      <c r="N11" s="242"/>
      <c r="O11" s="218" t="s">
        <v>682</v>
      </c>
    </row>
    <row r="12" spans="1:15">
      <c r="A12" s="266"/>
      <c r="B12" s="272"/>
      <c r="C12" s="269"/>
      <c r="D12" s="242"/>
      <c r="E12" s="242"/>
      <c r="F12" s="229" t="s">
        <v>683</v>
      </c>
      <c r="G12" s="217"/>
      <c r="H12" s="217"/>
      <c r="I12" s="217"/>
      <c r="J12" s="227"/>
      <c r="K12" s="227"/>
      <c r="L12" s="227"/>
      <c r="M12" s="228"/>
      <c r="N12" s="242"/>
      <c r="O12" s="218" t="s">
        <v>684</v>
      </c>
    </row>
    <row r="13" spans="1:15" ht="30">
      <c r="A13" s="266"/>
      <c r="B13" s="272"/>
      <c r="C13" s="269"/>
      <c r="D13" s="242"/>
      <c r="E13" s="242"/>
      <c r="F13" s="230" t="s">
        <v>685</v>
      </c>
      <c r="G13" s="217"/>
      <c r="H13" s="217"/>
      <c r="I13" s="217"/>
      <c r="J13" s="227"/>
      <c r="K13" s="227"/>
      <c r="L13" s="227"/>
      <c r="M13" s="228"/>
      <c r="N13" s="242"/>
      <c r="O13" s="218" t="s">
        <v>686</v>
      </c>
    </row>
    <row r="14" spans="1:15">
      <c r="A14" s="266"/>
      <c r="B14" s="272"/>
      <c r="C14" s="269"/>
      <c r="D14" s="242"/>
      <c r="E14" s="242"/>
      <c r="F14" s="230" t="s">
        <v>687</v>
      </c>
      <c r="G14" s="217"/>
      <c r="H14" s="217"/>
      <c r="I14" s="217"/>
      <c r="J14" s="227"/>
      <c r="K14" s="227"/>
      <c r="L14" s="227"/>
      <c r="M14" s="228"/>
      <c r="N14" s="242"/>
      <c r="O14" s="218" t="s">
        <v>686</v>
      </c>
    </row>
    <row r="15" spans="1:15">
      <c r="A15" s="266"/>
      <c r="B15" s="272"/>
      <c r="C15" s="270"/>
      <c r="D15" s="242"/>
      <c r="E15" s="242"/>
      <c r="F15" s="230" t="s">
        <v>688</v>
      </c>
      <c r="G15" s="217"/>
      <c r="H15" s="217"/>
      <c r="I15" s="217"/>
      <c r="J15" s="227"/>
      <c r="K15" s="227"/>
      <c r="L15" s="227"/>
      <c r="M15" s="228"/>
      <c r="N15" s="242"/>
      <c r="O15" s="218" t="s">
        <v>686</v>
      </c>
    </row>
    <row r="16" spans="1:15">
      <c r="A16" s="266"/>
      <c r="B16" s="272"/>
      <c r="C16" s="265">
        <v>5</v>
      </c>
      <c r="D16" s="238"/>
      <c r="E16" s="238">
        <v>1</v>
      </c>
      <c r="F16" s="197" t="s">
        <v>689</v>
      </c>
      <c r="G16" s="165">
        <v>0</v>
      </c>
      <c r="H16" s="165">
        <v>1</v>
      </c>
      <c r="I16" s="165">
        <v>15</v>
      </c>
      <c r="J16" s="220">
        <v>1</v>
      </c>
      <c r="K16" s="165">
        <v>146</v>
      </c>
      <c r="L16" s="165">
        <v>0</v>
      </c>
      <c r="M16" s="238"/>
      <c r="N16" s="165"/>
      <c r="O16" s="165" t="s">
        <v>675</v>
      </c>
    </row>
    <row r="17" spans="1:15" ht="30">
      <c r="A17" s="266"/>
      <c r="B17" s="272"/>
      <c r="C17" s="266"/>
      <c r="D17" s="238"/>
      <c r="E17" s="238">
        <v>2</v>
      </c>
      <c r="F17" s="4" t="s">
        <v>690</v>
      </c>
      <c r="G17" s="165">
        <v>0</v>
      </c>
      <c r="H17" s="165">
        <v>1</v>
      </c>
      <c r="I17" s="165">
        <v>5</v>
      </c>
      <c r="J17" s="220">
        <v>0</v>
      </c>
      <c r="K17" s="165">
        <v>0</v>
      </c>
      <c r="L17" s="165">
        <v>0</v>
      </c>
      <c r="M17" s="238"/>
      <c r="N17" s="165"/>
      <c r="O17" s="4"/>
    </row>
    <row r="18" spans="1:15">
      <c r="A18" s="266"/>
      <c r="B18" s="272"/>
      <c r="C18" s="266"/>
      <c r="D18" s="238">
        <v>1.1100000000000001</v>
      </c>
      <c r="E18" s="238">
        <v>3</v>
      </c>
      <c r="F18" s="174" t="s">
        <v>691</v>
      </c>
      <c r="G18" s="165">
        <v>0</v>
      </c>
      <c r="H18" s="165">
        <v>2</v>
      </c>
      <c r="I18" s="165">
        <v>22</v>
      </c>
      <c r="J18" s="220">
        <v>1</v>
      </c>
      <c r="K18" s="165">
        <v>96</v>
      </c>
      <c r="L18" s="165">
        <v>0</v>
      </c>
      <c r="M18" s="238"/>
      <c r="N18" s="165"/>
      <c r="O18" s="4"/>
    </row>
    <row r="19" spans="1:15" ht="30">
      <c r="A19" s="266"/>
      <c r="B19" s="272"/>
      <c r="C19" s="266"/>
      <c r="D19" s="238"/>
      <c r="E19" s="238">
        <v>3</v>
      </c>
      <c r="F19" s="174" t="s">
        <v>692</v>
      </c>
      <c r="G19" s="165">
        <v>0</v>
      </c>
      <c r="H19" s="165">
        <v>0</v>
      </c>
      <c r="I19" s="165">
        <v>3</v>
      </c>
      <c r="J19" s="220">
        <v>0</v>
      </c>
      <c r="K19" s="165">
        <v>0</v>
      </c>
      <c r="L19" s="165">
        <v>0</v>
      </c>
      <c r="M19" s="238"/>
      <c r="N19" s="165"/>
      <c r="O19" s="4"/>
    </row>
    <row r="20" spans="1:15">
      <c r="A20" s="266"/>
      <c r="B20" s="272"/>
      <c r="C20" s="266"/>
      <c r="D20" s="238">
        <v>1.1100000000000001</v>
      </c>
      <c r="E20" s="238">
        <v>2</v>
      </c>
      <c r="F20" s="174" t="s">
        <v>691</v>
      </c>
      <c r="G20" s="220">
        <v>0</v>
      </c>
      <c r="H20" s="220">
        <v>2</v>
      </c>
      <c r="I20" s="220">
        <v>22</v>
      </c>
      <c r="J20" s="220">
        <v>1</v>
      </c>
      <c r="K20" s="220">
        <v>96</v>
      </c>
      <c r="L20" s="220">
        <v>0</v>
      </c>
      <c r="M20" s="238"/>
      <c r="N20" s="165"/>
      <c r="O20" s="4"/>
    </row>
    <row r="21" spans="1:15" ht="30">
      <c r="A21" s="266"/>
      <c r="B21" s="272"/>
      <c r="C21" s="267"/>
      <c r="D21" s="238"/>
      <c r="E21" s="238">
        <v>2</v>
      </c>
      <c r="F21" s="174" t="s">
        <v>692</v>
      </c>
      <c r="G21" s="220">
        <v>0</v>
      </c>
      <c r="H21" s="220">
        <v>0</v>
      </c>
      <c r="I21" s="220">
        <v>3</v>
      </c>
      <c r="J21" s="220">
        <v>0</v>
      </c>
      <c r="K21" s="220">
        <v>0</v>
      </c>
      <c r="L21" s="220">
        <v>0</v>
      </c>
      <c r="M21" s="238"/>
      <c r="N21" s="238"/>
      <c r="O21" s="4"/>
    </row>
    <row r="22" spans="1:15" ht="30">
      <c r="A22" s="266"/>
      <c r="B22" s="272"/>
      <c r="C22" s="268">
        <v>6</v>
      </c>
      <c r="D22" s="242"/>
      <c r="E22" s="242">
        <v>1</v>
      </c>
      <c r="F22" s="231" t="s">
        <v>693</v>
      </c>
      <c r="G22" s="217">
        <v>2</v>
      </c>
      <c r="H22" s="217">
        <v>2</v>
      </c>
      <c r="I22" s="217">
        <v>15</v>
      </c>
      <c r="J22" s="217">
        <v>0</v>
      </c>
      <c r="K22" s="217">
        <v>55</v>
      </c>
      <c r="L22" s="217">
        <v>0</v>
      </c>
      <c r="M22" s="228"/>
      <c r="N22" s="242"/>
      <c r="O22" s="218" t="s">
        <v>694</v>
      </c>
    </row>
    <row r="23" spans="1:15" ht="30">
      <c r="A23" s="266"/>
      <c r="B23" s="272"/>
      <c r="C23" s="269"/>
      <c r="D23" s="242">
        <v>1.5</v>
      </c>
      <c r="E23" s="242">
        <v>2</v>
      </c>
      <c r="F23" s="231" t="s">
        <v>695</v>
      </c>
      <c r="G23" s="217">
        <v>0</v>
      </c>
      <c r="H23" s="217">
        <v>1</v>
      </c>
      <c r="I23" s="217">
        <v>15</v>
      </c>
      <c r="J23" s="217">
        <v>1</v>
      </c>
      <c r="K23" s="217">
        <v>146</v>
      </c>
      <c r="L23" s="217">
        <v>0</v>
      </c>
      <c r="M23" s="228"/>
      <c r="N23" s="242"/>
      <c r="O23" s="218"/>
    </row>
    <row r="24" spans="1:15" ht="30">
      <c r="A24" s="266"/>
      <c r="B24" s="272"/>
      <c r="C24" s="269"/>
      <c r="D24" s="242"/>
      <c r="E24" s="242">
        <v>3</v>
      </c>
      <c r="F24" s="231" t="s">
        <v>696</v>
      </c>
      <c r="G24" s="217">
        <v>0</v>
      </c>
      <c r="H24" s="217">
        <v>1</v>
      </c>
      <c r="I24" s="217">
        <v>5</v>
      </c>
      <c r="J24" s="217">
        <v>0</v>
      </c>
      <c r="K24" s="217">
        <v>0</v>
      </c>
      <c r="L24" s="217">
        <v>0</v>
      </c>
      <c r="M24" s="228"/>
      <c r="N24" s="242"/>
      <c r="O24" s="218"/>
    </row>
    <row r="25" spans="1:15">
      <c r="A25" s="266"/>
      <c r="B25" s="272"/>
      <c r="C25" s="269"/>
      <c r="D25" s="242">
        <v>1.1100000000000001</v>
      </c>
      <c r="E25" s="242">
        <v>4</v>
      </c>
      <c r="F25" s="10" t="s">
        <v>697</v>
      </c>
      <c r="G25" s="217">
        <v>0</v>
      </c>
      <c r="H25" s="217">
        <v>2</v>
      </c>
      <c r="I25" s="217">
        <v>22</v>
      </c>
      <c r="J25" s="217">
        <v>1</v>
      </c>
      <c r="K25" s="217">
        <v>96</v>
      </c>
      <c r="L25" s="217">
        <v>0</v>
      </c>
      <c r="M25" s="228"/>
      <c r="N25" s="242"/>
      <c r="O25" s="218"/>
    </row>
    <row r="26" spans="1:15" ht="30">
      <c r="A26" s="266"/>
      <c r="B26" s="272"/>
      <c r="C26" s="269"/>
      <c r="D26" s="242"/>
      <c r="E26" s="242">
        <v>4</v>
      </c>
      <c r="F26" s="231" t="s">
        <v>692</v>
      </c>
      <c r="G26" s="217">
        <v>0</v>
      </c>
      <c r="H26" s="217">
        <v>0</v>
      </c>
      <c r="I26" s="217">
        <v>3</v>
      </c>
      <c r="J26" s="217">
        <v>0</v>
      </c>
      <c r="K26" s="217">
        <v>0</v>
      </c>
      <c r="L26" s="217">
        <v>0</v>
      </c>
      <c r="M26" s="228"/>
      <c r="N26" s="242"/>
      <c r="O26" s="218"/>
    </row>
    <row r="27" spans="1:15">
      <c r="A27" s="266"/>
      <c r="B27" s="272"/>
      <c r="C27" s="269"/>
      <c r="D27" s="242">
        <v>1.1100000000000001</v>
      </c>
      <c r="E27" s="242">
        <v>3</v>
      </c>
      <c r="F27" s="10" t="s">
        <v>697</v>
      </c>
      <c r="G27" s="217">
        <v>0</v>
      </c>
      <c r="H27" s="217">
        <v>2</v>
      </c>
      <c r="I27" s="217">
        <v>22</v>
      </c>
      <c r="J27" s="217">
        <v>1</v>
      </c>
      <c r="K27" s="217">
        <v>96</v>
      </c>
      <c r="L27" s="217">
        <v>0</v>
      </c>
      <c r="M27" s="228"/>
      <c r="N27" s="242"/>
      <c r="O27" s="218"/>
    </row>
    <row r="28" spans="1:15" ht="30">
      <c r="A28" s="266"/>
      <c r="B28" s="272"/>
      <c r="C28" s="269"/>
      <c r="D28" s="242"/>
      <c r="E28" s="242">
        <v>3</v>
      </c>
      <c r="F28" s="231" t="s">
        <v>692</v>
      </c>
      <c r="G28" s="217">
        <v>0</v>
      </c>
      <c r="H28" s="217">
        <v>0</v>
      </c>
      <c r="I28" s="217">
        <v>3</v>
      </c>
      <c r="J28" s="217">
        <v>0</v>
      </c>
      <c r="K28" s="217">
        <v>0</v>
      </c>
      <c r="L28" s="217">
        <v>0</v>
      </c>
      <c r="M28" s="228"/>
      <c r="N28" s="242"/>
      <c r="O28" s="218"/>
    </row>
    <row r="29" spans="1:15" ht="30">
      <c r="A29" s="266"/>
      <c r="B29" s="272"/>
      <c r="C29" s="269"/>
      <c r="D29" s="242"/>
      <c r="E29" s="242">
        <v>2</v>
      </c>
      <c r="F29" s="231" t="s">
        <v>696</v>
      </c>
      <c r="G29" s="217">
        <v>0</v>
      </c>
      <c r="H29" s="217">
        <v>1</v>
      </c>
      <c r="I29" s="217">
        <v>5</v>
      </c>
      <c r="J29" s="217">
        <v>0</v>
      </c>
      <c r="K29" s="217">
        <v>0</v>
      </c>
      <c r="L29" s="217">
        <v>0</v>
      </c>
      <c r="M29" s="228"/>
      <c r="N29" s="242"/>
      <c r="O29" s="218"/>
    </row>
    <row r="30" spans="1:15">
      <c r="A30" s="266"/>
      <c r="B30" s="272"/>
      <c r="C30" s="269"/>
      <c r="D30" s="242">
        <v>1.1100000000000001</v>
      </c>
      <c r="E30" s="242">
        <v>3</v>
      </c>
      <c r="F30" s="10" t="s">
        <v>697</v>
      </c>
      <c r="G30" s="217">
        <v>0</v>
      </c>
      <c r="H30" s="217">
        <v>2</v>
      </c>
      <c r="I30" s="217">
        <v>22</v>
      </c>
      <c r="J30" s="217">
        <v>1</v>
      </c>
      <c r="K30" s="217">
        <v>96</v>
      </c>
      <c r="L30" s="217">
        <v>0</v>
      </c>
      <c r="M30" s="228"/>
      <c r="N30" s="242"/>
      <c r="O30" s="218"/>
    </row>
    <row r="31" spans="1:15" ht="30">
      <c r="A31" s="266"/>
      <c r="B31" s="272"/>
      <c r="C31" s="269"/>
      <c r="D31" s="242"/>
      <c r="E31" s="242">
        <v>3</v>
      </c>
      <c r="F31" s="231" t="s">
        <v>692</v>
      </c>
      <c r="G31" s="217">
        <v>0</v>
      </c>
      <c r="H31" s="217">
        <v>0</v>
      </c>
      <c r="I31" s="217">
        <v>3</v>
      </c>
      <c r="J31" s="217">
        <v>0</v>
      </c>
      <c r="K31" s="217">
        <v>0</v>
      </c>
      <c r="L31" s="217">
        <v>0</v>
      </c>
      <c r="M31" s="228"/>
      <c r="N31" s="242"/>
      <c r="O31" s="218"/>
    </row>
    <row r="32" spans="1:15">
      <c r="A32" s="266"/>
      <c r="B32" s="272"/>
      <c r="C32" s="270"/>
      <c r="D32" s="242">
        <v>1.1100000000000001</v>
      </c>
      <c r="E32" s="242">
        <v>2</v>
      </c>
      <c r="F32" s="10" t="s">
        <v>697</v>
      </c>
      <c r="G32" s="217">
        <v>0</v>
      </c>
      <c r="H32" s="217">
        <v>2</v>
      </c>
      <c r="I32" s="217">
        <v>22</v>
      </c>
      <c r="J32" s="227">
        <v>1</v>
      </c>
      <c r="K32" s="227">
        <v>96</v>
      </c>
      <c r="L32" s="227">
        <v>0</v>
      </c>
      <c r="M32" s="228"/>
      <c r="N32" s="242"/>
      <c r="O32" s="218"/>
    </row>
    <row r="33" spans="1:15">
      <c r="A33" s="266"/>
      <c r="B33" s="272"/>
      <c r="C33" s="265">
        <v>7</v>
      </c>
      <c r="D33" s="238"/>
      <c r="E33" s="238">
        <v>1</v>
      </c>
      <c r="F33" s="197" t="s">
        <v>698</v>
      </c>
      <c r="G33" s="220">
        <v>0</v>
      </c>
      <c r="H33" s="220">
        <v>1</v>
      </c>
      <c r="I33" s="220">
        <v>6</v>
      </c>
      <c r="J33" s="220">
        <v>1</v>
      </c>
      <c r="K33" s="220">
        <v>4</v>
      </c>
      <c r="L33" s="220">
        <v>0</v>
      </c>
      <c r="M33" s="238"/>
      <c r="N33" s="238"/>
      <c r="O33" s="174"/>
    </row>
    <row r="34" spans="1:15">
      <c r="A34" s="266"/>
      <c r="B34" s="272"/>
      <c r="C34" s="267"/>
      <c r="D34" s="238"/>
      <c r="E34" s="238">
        <v>2</v>
      </c>
      <c r="F34" s="174" t="s">
        <v>699</v>
      </c>
      <c r="G34" s="220">
        <v>0</v>
      </c>
      <c r="H34" s="220">
        <v>0</v>
      </c>
      <c r="I34" s="220">
        <v>5</v>
      </c>
      <c r="J34" s="220">
        <v>0</v>
      </c>
      <c r="K34" s="220">
        <v>0</v>
      </c>
      <c r="L34" s="220">
        <v>0</v>
      </c>
      <c r="M34" s="238"/>
      <c r="N34" s="238"/>
      <c r="O34" s="174"/>
    </row>
    <row r="35" spans="1:15">
      <c r="A35" s="266"/>
      <c r="B35" s="272"/>
      <c r="C35" s="268">
        <v>8</v>
      </c>
      <c r="D35" s="242"/>
      <c r="E35" s="242">
        <v>1</v>
      </c>
      <c r="F35" s="232" t="s">
        <v>700</v>
      </c>
      <c r="G35" s="217">
        <v>2</v>
      </c>
      <c r="H35" s="217">
        <v>4</v>
      </c>
      <c r="I35" s="217">
        <v>17</v>
      </c>
      <c r="J35" s="217">
        <v>0</v>
      </c>
      <c r="K35" s="217">
        <v>219</v>
      </c>
      <c r="L35" s="217">
        <v>0</v>
      </c>
      <c r="M35" s="242"/>
      <c r="N35" s="242"/>
      <c r="O35" s="218" t="s">
        <v>701</v>
      </c>
    </row>
    <row r="36" spans="1:15">
      <c r="A36" s="266"/>
      <c r="B36" s="272"/>
      <c r="C36" s="269"/>
      <c r="D36" s="242"/>
      <c r="E36" s="242"/>
      <c r="F36" s="233" t="s">
        <v>702</v>
      </c>
      <c r="G36" s="217"/>
      <c r="H36" s="217"/>
      <c r="I36" s="217"/>
      <c r="J36" s="217"/>
      <c r="K36" s="217"/>
      <c r="L36" s="217"/>
      <c r="M36" s="242"/>
      <c r="N36" s="242"/>
      <c r="O36" s="218" t="s">
        <v>703</v>
      </c>
    </row>
    <row r="37" spans="1:15">
      <c r="A37" s="266"/>
      <c r="B37" s="272"/>
      <c r="C37" s="269"/>
      <c r="D37" s="242"/>
      <c r="E37" s="242"/>
      <c r="F37" s="233" t="s">
        <v>704</v>
      </c>
      <c r="G37" s="217"/>
      <c r="H37" s="217"/>
      <c r="I37" s="217"/>
      <c r="J37" s="217"/>
      <c r="K37" s="217"/>
      <c r="L37" s="217"/>
      <c r="M37" s="242"/>
      <c r="N37" s="242"/>
      <c r="O37" s="218" t="s">
        <v>686</v>
      </c>
    </row>
    <row r="38" spans="1:15">
      <c r="A38" s="266"/>
      <c r="B38" s="272"/>
      <c r="C38" s="269"/>
      <c r="D38" s="242"/>
      <c r="E38" s="242"/>
      <c r="F38" s="233" t="s">
        <v>705</v>
      </c>
      <c r="G38" s="217"/>
      <c r="H38" s="217"/>
      <c r="I38" s="217"/>
      <c r="J38" s="217"/>
      <c r="K38" s="217"/>
      <c r="L38" s="217"/>
      <c r="M38" s="242"/>
      <c r="N38" s="242"/>
      <c r="O38" s="218" t="s">
        <v>686</v>
      </c>
    </row>
    <row r="39" spans="1:15">
      <c r="A39" s="266"/>
      <c r="B39" s="272"/>
      <c r="C39" s="269"/>
      <c r="D39" s="242"/>
      <c r="E39" s="242"/>
      <c r="F39" s="233" t="s">
        <v>706</v>
      </c>
      <c r="G39" s="217"/>
      <c r="H39" s="217"/>
      <c r="I39" s="217"/>
      <c r="J39" s="217"/>
      <c r="K39" s="217"/>
      <c r="L39" s="217"/>
      <c r="M39" s="242"/>
      <c r="N39" s="242"/>
      <c r="O39" s="218" t="s">
        <v>686</v>
      </c>
    </row>
    <row r="40" spans="1:15">
      <c r="A40" s="266"/>
      <c r="B40" s="272"/>
      <c r="C40" s="270"/>
      <c r="D40" s="242"/>
      <c r="E40" s="242"/>
      <c r="F40" s="233" t="s">
        <v>707</v>
      </c>
      <c r="G40" s="217"/>
      <c r="H40" s="217"/>
      <c r="I40" s="217"/>
      <c r="J40" s="217"/>
      <c r="K40" s="217"/>
      <c r="L40" s="217"/>
      <c r="M40" s="242"/>
      <c r="N40" s="242"/>
      <c r="O40" s="218" t="s">
        <v>686</v>
      </c>
    </row>
    <row r="41" spans="1:15">
      <c r="A41" s="266"/>
      <c r="B41" s="272"/>
      <c r="C41" s="265">
        <v>9</v>
      </c>
      <c r="D41" s="238"/>
      <c r="E41" s="238">
        <v>1</v>
      </c>
      <c r="F41" s="197" t="s">
        <v>708</v>
      </c>
      <c r="G41" s="220">
        <v>0</v>
      </c>
      <c r="H41" s="220">
        <v>2</v>
      </c>
      <c r="I41" s="220">
        <v>12</v>
      </c>
      <c r="J41" s="220">
        <v>0</v>
      </c>
      <c r="K41" s="220">
        <v>677</v>
      </c>
      <c r="L41" s="220">
        <v>0</v>
      </c>
      <c r="M41" s="238"/>
      <c r="N41" s="238"/>
      <c r="O41" s="174"/>
    </row>
    <row r="42" spans="1:15">
      <c r="A42" s="266"/>
      <c r="B42" s="272"/>
      <c r="C42" s="266"/>
      <c r="D42" s="238"/>
      <c r="E42" s="238"/>
      <c r="F42" s="233" t="s">
        <v>709</v>
      </c>
      <c r="G42" s="220"/>
      <c r="H42" s="220"/>
      <c r="I42" s="220"/>
      <c r="J42" s="220"/>
      <c r="K42" s="220"/>
      <c r="L42" s="220"/>
      <c r="M42" s="238"/>
      <c r="N42" s="238"/>
      <c r="O42" s="174" t="s">
        <v>686</v>
      </c>
    </row>
    <row r="43" spans="1:15">
      <c r="A43" s="266"/>
      <c r="B43" s="272"/>
      <c r="C43" s="267"/>
      <c r="D43" s="238"/>
      <c r="E43" s="238"/>
      <c r="F43" s="233" t="s">
        <v>710</v>
      </c>
      <c r="G43" s="220"/>
      <c r="H43" s="220"/>
      <c r="I43" s="220"/>
      <c r="J43" s="220"/>
      <c r="K43" s="220"/>
      <c r="L43" s="220"/>
      <c r="M43" s="238"/>
      <c r="N43" s="238"/>
      <c r="O43" s="174" t="s">
        <v>686</v>
      </c>
    </row>
    <row r="44" spans="1:15">
      <c r="A44" s="266"/>
      <c r="B44" s="272"/>
      <c r="C44" s="234">
        <v>10</v>
      </c>
      <c r="D44" s="242"/>
      <c r="E44" s="242">
        <v>1</v>
      </c>
      <c r="F44" s="232" t="s">
        <v>711</v>
      </c>
      <c r="G44" s="217">
        <v>0</v>
      </c>
      <c r="H44" s="217">
        <v>1</v>
      </c>
      <c r="I44" s="217">
        <v>13</v>
      </c>
      <c r="J44" s="217">
        <v>0</v>
      </c>
      <c r="K44" s="217">
        <v>14</v>
      </c>
      <c r="L44" s="217">
        <v>0</v>
      </c>
      <c r="M44" s="242"/>
      <c r="N44" s="242"/>
      <c r="O44" s="218"/>
    </row>
    <row r="45" spans="1:15">
      <c r="A45" s="266"/>
      <c r="B45" s="272"/>
      <c r="C45" s="238">
        <v>11</v>
      </c>
      <c r="D45" s="238"/>
      <c r="E45" s="238">
        <v>1</v>
      </c>
      <c r="F45" s="197" t="s">
        <v>691</v>
      </c>
      <c r="G45" s="220">
        <v>0</v>
      </c>
      <c r="H45" s="220">
        <v>2</v>
      </c>
      <c r="I45" s="220">
        <v>22</v>
      </c>
      <c r="J45" s="220">
        <v>1</v>
      </c>
      <c r="K45" s="220">
        <v>96</v>
      </c>
      <c r="L45" s="220">
        <v>0</v>
      </c>
      <c r="M45" s="238"/>
      <c r="N45" s="238"/>
      <c r="O45" s="174"/>
    </row>
    <row r="46" spans="1:15">
      <c r="A46" s="266"/>
      <c r="B46" s="272"/>
      <c r="C46" s="268">
        <v>12</v>
      </c>
      <c r="D46" s="242"/>
      <c r="E46" s="242">
        <v>1</v>
      </c>
      <c r="F46" s="26" t="s">
        <v>712</v>
      </c>
      <c r="G46" s="217">
        <v>0</v>
      </c>
      <c r="H46" s="217">
        <v>3</v>
      </c>
      <c r="I46" s="217">
        <v>27</v>
      </c>
      <c r="J46" s="217">
        <v>1</v>
      </c>
      <c r="K46" s="217">
        <v>187</v>
      </c>
      <c r="L46" s="217">
        <v>1</v>
      </c>
      <c r="M46" s="242"/>
      <c r="N46" s="242"/>
      <c r="O46" s="218" t="s">
        <v>713</v>
      </c>
    </row>
    <row r="47" spans="1:15">
      <c r="A47" s="267"/>
      <c r="B47" s="273"/>
      <c r="C47" s="270"/>
      <c r="D47" s="242"/>
      <c r="E47" s="242">
        <v>2</v>
      </c>
      <c r="F47" s="33" t="s">
        <v>681</v>
      </c>
      <c r="G47" s="217">
        <v>0</v>
      </c>
      <c r="H47" s="217">
        <v>0</v>
      </c>
      <c r="I47" s="217">
        <v>0</v>
      </c>
      <c r="J47" s="217">
        <v>0</v>
      </c>
      <c r="K47" s="217">
        <v>0</v>
      </c>
      <c r="L47" s="217">
        <v>0</v>
      </c>
      <c r="M47" s="242"/>
      <c r="N47" s="242"/>
      <c r="O47" s="218" t="s">
        <v>682</v>
      </c>
    </row>
    <row r="48" spans="1:15">
      <c r="A48" s="235"/>
      <c r="B48" s="18"/>
      <c r="C48" s="235"/>
      <c r="D48" s="235"/>
      <c r="E48" s="235"/>
      <c r="F48" s="19"/>
      <c r="G48" s="236"/>
      <c r="H48" s="236"/>
      <c r="I48" s="236"/>
      <c r="J48" s="236"/>
      <c r="K48" s="235"/>
      <c r="L48" s="235"/>
      <c r="M48" s="235"/>
      <c r="N48" s="235"/>
      <c r="O48" s="237"/>
    </row>
    <row r="49" spans="5:6">
      <c r="E49"/>
      <c r="F49"/>
    </row>
    <row r="50" spans="5:6">
      <c r="E50"/>
      <c r="F50"/>
    </row>
    <row r="51" spans="5:6">
      <c r="E51"/>
      <c r="F51"/>
    </row>
    <row r="52" spans="5:6">
      <c r="E52"/>
      <c r="F52"/>
    </row>
    <row r="53" spans="5:6">
      <c r="E53"/>
      <c r="F53"/>
    </row>
    <row r="54" spans="5:6">
      <c r="E54"/>
      <c r="F54"/>
    </row>
    <row r="55" spans="5:6">
      <c r="E55"/>
      <c r="F55"/>
    </row>
    <row r="56" spans="5:6">
      <c r="E56"/>
      <c r="F56"/>
    </row>
    <row r="57" spans="5:6">
      <c r="E57"/>
      <c r="F57"/>
    </row>
    <row r="58" spans="5:6">
      <c r="E58"/>
      <c r="F58"/>
    </row>
    <row r="59" spans="5:6">
      <c r="E59"/>
      <c r="F59"/>
    </row>
    <row r="60" spans="5:6">
      <c r="E60"/>
      <c r="F60"/>
    </row>
    <row r="61" spans="5:6">
      <c r="E61"/>
      <c r="F61"/>
    </row>
    <row r="62" spans="5:6">
      <c r="E62"/>
      <c r="F62"/>
    </row>
    <row r="63" spans="5:6">
      <c r="E63"/>
      <c r="F63"/>
    </row>
    <row r="64" spans="5:6">
      <c r="E64"/>
      <c r="F64"/>
    </row>
  </sheetData>
  <mergeCells count="10">
    <mergeCell ref="A2:A47"/>
    <mergeCell ref="C4:C9"/>
    <mergeCell ref="C16:C21"/>
    <mergeCell ref="C22:C32"/>
    <mergeCell ref="C33:C34"/>
    <mergeCell ref="C10:C15"/>
    <mergeCell ref="C35:C40"/>
    <mergeCell ref="C41:C43"/>
    <mergeCell ref="C46:C47"/>
    <mergeCell ref="B2:B4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ABDA-5849-4E79-9046-D0C91666FDFF}">
  <dimension ref="A1:O39"/>
  <sheetViews>
    <sheetView zoomScaleNormal="100" workbookViewId="0">
      <pane ySplit="1" topLeftCell="A2" activePane="bottomLeft" state="frozen"/>
      <selection pane="bottomLeft" activeCell="F12" sqref="F12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12" customWidth="1"/>
    <col min="4" max="4" width="10.7109375" style="12" customWidth="1"/>
    <col min="5" max="5" width="7.7109375" style="12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7" customWidth="1"/>
    <col min="16" max="16384" width="9" style="3"/>
  </cols>
  <sheetData>
    <row r="1" spans="1:15" ht="45">
      <c r="A1" s="6" t="s">
        <v>660</v>
      </c>
      <c r="B1" s="160" t="s">
        <v>4</v>
      </c>
      <c r="C1" s="6" t="s">
        <v>661</v>
      </c>
      <c r="D1" s="162" t="s">
        <v>662</v>
      </c>
      <c r="E1" s="162" t="s">
        <v>663</v>
      </c>
      <c r="F1" s="160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714</v>
      </c>
      <c r="O1" s="162" t="s">
        <v>672</v>
      </c>
    </row>
    <row r="2" spans="1:15" ht="30">
      <c r="A2" s="274">
        <v>2</v>
      </c>
      <c r="B2" s="275" t="s">
        <v>715</v>
      </c>
      <c r="C2" s="265">
        <v>13</v>
      </c>
      <c r="D2" s="238"/>
      <c r="E2" s="238">
        <v>1</v>
      </c>
      <c r="F2" s="174" t="s">
        <v>716</v>
      </c>
      <c r="G2" s="165">
        <v>6</v>
      </c>
      <c r="H2" s="165">
        <v>10</v>
      </c>
      <c r="I2" s="165">
        <v>95</v>
      </c>
      <c r="J2" s="165">
        <v>1</v>
      </c>
      <c r="K2" s="165">
        <v>2257</v>
      </c>
      <c r="L2" s="165">
        <v>0</v>
      </c>
      <c r="M2" s="165"/>
      <c r="N2" s="165"/>
      <c r="O2" s="174" t="s">
        <v>717</v>
      </c>
    </row>
    <row r="3" spans="1:15">
      <c r="A3" s="274"/>
      <c r="B3" s="275"/>
      <c r="C3" s="266"/>
      <c r="D3" s="238"/>
      <c r="E3" s="238">
        <v>2</v>
      </c>
      <c r="F3" s="13" t="s">
        <v>718</v>
      </c>
      <c r="G3" s="165">
        <v>3</v>
      </c>
      <c r="H3" s="165">
        <v>4</v>
      </c>
      <c r="I3" s="165">
        <v>58</v>
      </c>
      <c r="J3" s="165">
        <v>0</v>
      </c>
      <c r="K3" s="165">
        <v>2991</v>
      </c>
      <c r="L3" s="165">
        <v>0</v>
      </c>
      <c r="M3" s="165"/>
      <c r="N3" s="165"/>
      <c r="O3" s="174"/>
    </row>
    <row r="4" spans="1:15">
      <c r="A4" s="274"/>
      <c r="B4" s="275"/>
      <c r="C4" s="266"/>
      <c r="D4" s="238"/>
      <c r="E4" s="238">
        <v>2</v>
      </c>
      <c r="F4" s="13" t="s">
        <v>679</v>
      </c>
      <c r="G4" s="165">
        <v>3</v>
      </c>
      <c r="H4" s="165">
        <v>4</v>
      </c>
      <c r="I4" s="165">
        <v>51</v>
      </c>
      <c r="J4" s="165">
        <v>0</v>
      </c>
      <c r="K4" s="165">
        <v>2188</v>
      </c>
      <c r="L4" s="165">
        <v>0</v>
      </c>
      <c r="M4" s="165"/>
      <c r="N4" s="165"/>
      <c r="O4" s="174"/>
    </row>
    <row r="5" spans="1:15">
      <c r="A5" s="274"/>
      <c r="B5" s="275"/>
      <c r="C5" s="266"/>
      <c r="D5" s="238"/>
      <c r="E5" s="238">
        <v>2</v>
      </c>
      <c r="F5" s="13" t="s">
        <v>719</v>
      </c>
      <c r="G5" s="165">
        <v>2</v>
      </c>
      <c r="H5" s="165">
        <v>4</v>
      </c>
      <c r="I5" s="165">
        <v>48</v>
      </c>
      <c r="J5" s="165">
        <v>0</v>
      </c>
      <c r="K5" s="165">
        <v>1931</v>
      </c>
      <c r="L5" s="165">
        <v>0</v>
      </c>
      <c r="M5" s="165"/>
      <c r="N5" s="165"/>
      <c r="O5" s="174"/>
    </row>
    <row r="6" spans="1:15">
      <c r="A6" s="274"/>
      <c r="B6" s="275"/>
      <c r="C6" s="266"/>
      <c r="D6" s="238">
        <v>2.15</v>
      </c>
      <c r="E6" s="238">
        <v>2</v>
      </c>
      <c r="F6" s="13" t="s">
        <v>720</v>
      </c>
      <c r="G6" s="165">
        <v>0</v>
      </c>
      <c r="H6" s="165">
        <v>1</v>
      </c>
      <c r="I6" s="165">
        <v>15</v>
      </c>
      <c r="J6" s="165">
        <v>1</v>
      </c>
      <c r="K6" s="165">
        <v>232</v>
      </c>
      <c r="L6" s="165">
        <v>0</v>
      </c>
      <c r="M6" s="165"/>
      <c r="N6" s="165"/>
      <c r="O6" s="174"/>
    </row>
    <row r="7" spans="1:15">
      <c r="A7" s="274"/>
      <c r="B7" s="275"/>
      <c r="C7" s="266"/>
      <c r="D7" s="238"/>
      <c r="E7" s="238">
        <v>3</v>
      </c>
      <c r="F7" s="13" t="s">
        <v>721</v>
      </c>
      <c r="G7" s="165">
        <v>3</v>
      </c>
      <c r="H7" s="165">
        <v>4</v>
      </c>
      <c r="I7" s="165">
        <v>51</v>
      </c>
      <c r="J7" s="165">
        <v>0</v>
      </c>
      <c r="K7" s="165">
        <v>2188</v>
      </c>
      <c r="L7" s="165">
        <v>0</v>
      </c>
      <c r="M7" s="165"/>
      <c r="N7" s="165"/>
      <c r="O7" s="174"/>
    </row>
    <row r="8" spans="1:15">
      <c r="A8" s="274"/>
      <c r="B8" s="275"/>
      <c r="C8" s="266"/>
      <c r="D8" s="238"/>
      <c r="E8" s="238">
        <v>2</v>
      </c>
      <c r="F8" s="13" t="s">
        <v>722</v>
      </c>
      <c r="G8" s="165">
        <v>0</v>
      </c>
      <c r="H8" s="165">
        <v>2</v>
      </c>
      <c r="I8" s="165">
        <v>20</v>
      </c>
      <c r="J8" s="165">
        <v>0</v>
      </c>
      <c r="K8" s="165">
        <v>99</v>
      </c>
      <c r="L8" s="165">
        <v>0</v>
      </c>
      <c r="M8" s="165"/>
      <c r="N8" s="165"/>
      <c r="O8" s="174"/>
    </row>
    <row r="9" spans="1:15">
      <c r="A9" s="274"/>
      <c r="B9" s="275"/>
      <c r="C9" s="266"/>
      <c r="D9" s="238"/>
      <c r="E9" s="238">
        <v>2</v>
      </c>
      <c r="F9" s="239" t="s">
        <v>723</v>
      </c>
      <c r="G9" s="165">
        <v>0</v>
      </c>
      <c r="H9" s="165">
        <v>2</v>
      </c>
      <c r="I9" s="165">
        <v>12</v>
      </c>
      <c r="J9" s="165">
        <v>0</v>
      </c>
      <c r="K9" s="165">
        <v>475</v>
      </c>
      <c r="L9" s="165">
        <v>0</v>
      </c>
      <c r="M9" s="165"/>
      <c r="N9" s="165"/>
      <c r="O9" s="174"/>
    </row>
    <row r="10" spans="1:15">
      <c r="A10" s="274"/>
      <c r="B10" s="275"/>
      <c r="C10" s="266"/>
      <c r="D10" s="238">
        <v>15.138</v>
      </c>
      <c r="E10" s="238">
        <v>2</v>
      </c>
      <c r="F10" s="165" t="s">
        <v>724</v>
      </c>
      <c r="G10" s="165">
        <v>10</v>
      </c>
      <c r="H10" s="165">
        <v>17</v>
      </c>
      <c r="I10" s="165">
        <v>136</v>
      </c>
      <c r="J10" s="165">
        <v>1</v>
      </c>
      <c r="K10" s="165">
        <v>4274</v>
      </c>
      <c r="L10" s="165">
        <v>0</v>
      </c>
      <c r="M10" s="165"/>
      <c r="N10" s="165"/>
      <c r="O10" s="174"/>
    </row>
    <row r="11" spans="1:15">
      <c r="A11" s="274"/>
      <c r="B11" s="275"/>
      <c r="C11" s="266"/>
      <c r="D11" s="238"/>
      <c r="E11" s="238">
        <v>2</v>
      </c>
      <c r="F11" s="165" t="s">
        <v>725</v>
      </c>
      <c r="G11" s="165">
        <v>0</v>
      </c>
      <c r="H11" s="165">
        <v>1</v>
      </c>
      <c r="I11" s="165">
        <v>7</v>
      </c>
      <c r="J11" s="165">
        <v>0</v>
      </c>
      <c r="K11" s="165">
        <v>87</v>
      </c>
      <c r="L11" s="165">
        <v>0</v>
      </c>
      <c r="M11" s="165"/>
      <c r="N11" s="165"/>
      <c r="O11" s="174"/>
    </row>
    <row r="12" spans="1:15">
      <c r="A12" s="274"/>
      <c r="B12" s="275"/>
      <c r="C12" s="266"/>
      <c r="D12" s="238"/>
      <c r="E12" s="238">
        <v>2</v>
      </c>
      <c r="F12" s="165" t="s">
        <v>726</v>
      </c>
      <c r="G12" s="165">
        <v>0</v>
      </c>
      <c r="H12" s="165">
        <v>2</v>
      </c>
      <c r="I12" s="165">
        <v>24</v>
      </c>
      <c r="J12" s="165">
        <v>0</v>
      </c>
      <c r="K12" s="165">
        <v>508</v>
      </c>
      <c r="L12" s="165">
        <v>0</v>
      </c>
      <c r="M12" s="165"/>
      <c r="N12" s="165"/>
      <c r="O12" s="174"/>
    </row>
    <row r="13" spans="1:15">
      <c r="A13" s="274"/>
      <c r="B13" s="275"/>
      <c r="C13" s="266"/>
      <c r="D13" s="238"/>
      <c r="E13" s="238">
        <v>3</v>
      </c>
      <c r="F13" s="165" t="s">
        <v>727</v>
      </c>
      <c r="G13" s="165">
        <v>3</v>
      </c>
      <c r="H13" s="165">
        <v>4</v>
      </c>
      <c r="I13" s="165">
        <v>51</v>
      </c>
      <c r="J13" s="165">
        <v>0</v>
      </c>
      <c r="K13" s="165">
        <v>2188</v>
      </c>
      <c r="L13" s="165">
        <v>0</v>
      </c>
      <c r="M13" s="165"/>
      <c r="N13" s="165"/>
      <c r="O13" s="174"/>
    </row>
    <row r="14" spans="1:15" ht="30">
      <c r="A14" s="274"/>
      <c r="B14" s="275"/>
      <c r="C14" s="267"/>
      <c r="D14" s="238"/>
      <c r="E14" s="238">
        <v>3</v>
      </c>
      <c r="F14" s="174" t="s">
        <v>728</v>
      </c>
      <c r="G14" s="165">
        <v>0</v>
      </c>
      <c r="H14" s="165">
        <v>1</v>
      </c>
      <c r="I14" s="165">
        <v>8</v>
      </c>
      <c r="J14" s="165">
        <v>0</v>
      </c>
      <c r="K14" s="165">
        <v>0</v>
      </c>
      <c r="L14" s="165">
        <v>0</v>
      </c>
      <c r="M14" s="165"/>
      <c r="N14" s="165"/>
      <c r="O14" s="174"/>
    </row>
    <row r="15" spans="1:15">
      <c r="A15" s="274"/>
      <c r="B15" s="275"/>
      <c r="C15" s="268">
        <v>14</v>
      </c>
      <c r="D15" s="242"/>
      <c r="E15" s="242">
        <v>1</v>
      </c>
      <c r="F15" s="11" t="s">
        <v>729</v>
      </c>
      <c r="G15" s="216">
        <v>7</v>
      </c>
      <c r="H15" s="216">
        <v>9</v>
      </c>
      <c r="I15" s="216">
        <v>41</v>
      </c>
      <c r="J15" s="216">
        <v>1</v>
      </c>
      <c r="K15" s="216">
        <v>247</v>
      </c>
      <c r="L15" s="216">
        <v>0</v>
      </c>
      <c r="M15" s="216"/>
      <c r="N15" s="216"/>
      <c r="O15" s="218"/>
    </row>
    <row r="16" spans="1:15">
      <c r="A16" s="274"/>
      <c r="B16" s="275"/>
      <c r="C16" s="269"/>
      <c r="D16" s="242">
        <v>2.15</v>
      </c>
      <c r="E16" s="242">
        <v>2</v>
      </c>
      <c r="F16" s="21" t="s">
        <v>720</v>
      </c>
      <c r="G16" s="216">
        <v>0</v>
      </c>
      <c r="H16" s="216">
        <v>1</v>
      </c>
      <c r="I16" s="216">
        <v>15</v>
      </c>
      <c r="J16" s="216">
        <v>1</v>
      </c>
      <c r="K16" s="216">
        <v>232</v>
      </c>
      <c r="L16" s="216">
        <v>0</v>
      </c>
      <c r="M16" s="216"/>
      <c r="N16" s="216"/>
      <c r="O16" s="218"/>
    </row>
    <row r="17" spans="1:15">
      <c r="A17" s="274"/>
      <c r="B17" s="275"/>
      <c r="C17" s="269"/>
      <c r="D17" s="242"/>
      <c r="E17" s="242">
        <v>3</v>
      </c>
      <c r="F17" s="21" t="s">
        <v>679</v>
      </c>
      <c r="G17" s="216">
        <v>3</v>
      </c>
      <c r="H17" s="216">
        <v>4</v>
      </c>
      <c r="I17" s="216">
        <v>51</v>
      </c>
      <c r="J17" s="216">
        <v>0</v>
      </c>
      <c r="K17" s="216">
        <v>2188</v>
      </c>
      <c r="L17" s="216">
        <v>0</v>
      </c>
      <c r="M17" s="216"/>
      <c r="N17" s="216"/>
      <c r="O17" s="218"/>
    </row>
    <row r="18" spans="1:15">
      <c r="A18" s="274"/>
      <c r="B18" s="275"/>
      <c r="C18" s="269"/>
      <c r="D18" s="242"/>
      <c r="E18" s="242">
        <v>2</v>
      </c>
      <c r="F18" s="21" t="s">
        <v>718</v>
      </c>
      <c r="G18" s="216">
        <v>3</v>
      </c>
      <c r="H18" s="216">
        <v>4</v>
      </c>
      <c r="I18" s="216">
        <v>58</v>
      </c>
      <c r="J18" s="216">
        <v>0</v>
      </c>
      <c r="K18" s="216">
        <v>2991</v>
      </c>
      <c r="L18" s="216">
        <v>0</v>
      </c>
      <c r="M18" s="216"/>
      <c r="N18" s="216"/>
      <c r="O18" s="218"/>
    </row>
    <row r="19" spans="1:15">
      <c r="A19" s="274"/>
      <c r="B19" s="275"/>
      <c r="C19" s="270"/>
      <c r="D19" s="242"/>
      <c r="E19" s="242">
        <v>2</v>
      </c>
      <c r="F19" s="21" t="s">
        <v>679</v>
      </c>
      <c r="G19" s="216">
        <v>3</v>
      </c>
      <c r="H19" s="216">
        <v>4</v>
      </c>
      <c r="I19" s="216">
        <v>51</v>
      </c>
      <c r="J19" s="216">
        <v>0</v>
      </c>
      <c r="K19" s="216">
        <v>2188</v>
      </c>
      <c r="L19" s="216">
        <v>0</v>
      </c>
      <c r="M19" s="216"/>
      <c r="N19" s="216"/>
      <c r="O19" s="218"/>
    </row>
    <row r="20" spans="1:15">
      <c r="A20" s="274"/>
      <c r="B20" s="275"/>
      <c r="C20" s="265">
        <v>15</v>
      </c>
      <c r="D20" s="238"/>
      <c r="E20" s="238">
        <v>1</v>
      </c>
      <c r="F20" s="13" t="s">
        <v>720</v>
      </c>
      <c r="G20" s="165">
        <v>0</v>
      </c>
      <c r="H20" s="165">
        <v>1</v>
      </c>
      <c r="I20" s="165">
        <v>15</v>
      </c>
      <c r="J20" s="165">
        <v>1</v>
      </c>
      <c r="K20" s="165">
        <v>232</v>
      </c>
      <c r="L20" s="165">
        <v>0</v>
      </c>
      <c r="M20" s="165"/>
      <c r="N20" s="165"/>
      <c r="O20" s="174"/>
    </row>
    <row r="21" spans="1:15">
      <c r="A21" s="274"/>
      <c r="B21" s="275"/>
      <c r="C21" s="267"/>
      <c r="D21" s="238"/>
      <c r="E21" s="238">
        <v>2</v>
      </c>
      <c r="F21" s="13" t="s">
        <v>679</v>
      </c>
      <c r="G21" s="165">
        <v>3</v>
      </c>
      <c r="H21" s="165">
        <v>4</v>
      </c>
      <c r="I21" s="165">
        <v>51</v>
      </c>
      <c r="J21" s="165">
        <v>0</v>
      </c>
      <c r="K21" s="165">
        <v>2188</v>
      </c>
      <c r="L21" s="165">
        <v>0</v>
      </c>
      <c r="M21" s="165"/>
      <c r="N21" s="165"/>
      <c r="O21" s="174"/>
    </row>
    <row r="28" spans="1:15">
      <c r="A28" s="240"/>
      <c r="B28" s="240"/>
      <c r="C28" s="235"/>
      <c r="D28" s="235"/>
      <c r="E28" s="235"/>
      <c r="F28"/>
      <c r="G28"/>
      <c r="H28"/>
      <c r="I28" s="240"/>
      <c r="J28" s="240"/>
      <c r="K28" s="240"/>
      <c r="L28" s="240"/>
      <c r="M28" s="240"/>
      <c r="N28" s="240"/>
      <c r="O28" s="237"/>
    </row>
    <row r="29" spans="1:15">
      <c r="A29" s="240"/>
      <c r="B29" s="240"/>
      <c r="C29" s="235"/>
      <c r="D29" s="235"/>
      <c r="E29" s="235"/>
      <c r="F29"/>
      <c r="G29"/>
      <c r="H29"/>
      <c r="I29" s="240"/>
      <c r="J29" s="240"/>
      <c r="K29" s="240"/>
      <c r="L29" s="240"/>
      <c r="M29" s="240"/>
      <c r="N29" s="240"/>
      <c r="O29" s="237"/>
    </row>
    <row r="30" spans="1:15">
      <c r="A30" s="240"/>
      <c r="B30" s="240"/>
      <c r="C30" s="235"/>
      <c r="D30" s="235"/>
      <c r="E30" s="235"/>
      <c r="F30"/>
      <c r="G30"/>
      <c r="H30"/>
      <c r="I30" s="240"/>
      <c r="J30" s="240"/>
      <c r="K30" s="240"/>
      <c r="L30" s="240"/>
      <c r="M30" s="240"/>
      <c r="N30" s="240"/>
      <c r="O30" s="237"/>
    </row>
    <row r="31" spans="1:15">
      <c r="A31" s="240"/>
      <c r="B31" s="240"/>
      <c r="C31" s="235"/>
      <c r="D31" s="235"/>
      <c r="E31" s="235"/>
      <c r="F31"/>
      <c r="G31"/>
      <c r="H31"/>
      <c r="I31" s="240"/>
      <c r="J31" s="240"/>
      <c r="K31" s="240"/>
      <c r="L31" s="240"/>
      <c r="M31" s="240"/>
      <c r="N31" s="240"/>
      <c r="O31" s="237"/>
    </row>
    <row r="32" spans="1:15">
      <c r="A32" s="240"/>
      <c r="B32" s="240"/>
      <c r="C32" s="235"/>
      <c r="D32" s="235"/>
      <c r="E32" s="235"/>
      <c r="F32"/>
      <c r="G32"/>
      <c r="H32"/>
      <c r="I32" s="240"/>
      <c r="J32" s="240"/>
      <c r="K32" s="240"/>
      <c r="L32" s="240"/>
      <c r="M32" s="240"/>
      <c r="N32" s="240"/>
      <c r="O32" s="237"/>
    </row>
    <row r="33" spans="6:8">
      <c r="F33"/>
      <c r="G33"/>
      <c r="H33"/>
    </row>
    <row r="34" spans="6:8">
      <c r="F34"/>
      <c r="G34"/>
      <c r="H34"/>
    </row>
    <row r="35" spans="6:8">
      <c r="F35"/>
      <c r="G35"/>
      <c r="H35"/>
    </row>
    <row r="36" spans="6:8">
      <c r="F36"/>
      <c r="G36"/>
      <c r="H36"/>
    </row>
    <row r="37" spans="6:8">
      <c r="F37"/>
      <c r="G37"/>
      <c r="H37"/>
    </row>
    <row r="38" spans="6:8">
      <c r="F38"/>
      <c r="G38"/>
      <c r="H38"/>
    </row>
    <row r="39" spans="6:8">
      <c r="F39"/>
      <c r="G39"/>
      <c r="H39"/>
    </row>
  </sheetData>
  <mergeCells count="5">
    <mergeCell ref="A2:A21"/>
    <mergeCell ref="B2:B21"/>
    <mergeCell ref="C15:C19"/>
    <mergeCell ref="C20:C21"/>
    <mergeCell ref="C2:C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0155-2A95-49EB-9E40-3F1B08BA26A6}">
  <dimension ref="A1:O24"/>
  <sheetViews>
    <sheetView zoomScaleNormal="100" workbookViewId="0">
      <pane ySplit="1" topLeftCell="A2" activePane="bottomLeft" state="frozen"/>
      <selection pane="bottomLeft" activeCell="F8" sqref="F8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7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3</v>
      </c>
      <c r="B2" s="275" t="s">
        <v>730</v>
      </c>
      <c r="C2" s="274">
        <v>16</v>
      </c>
      <c r="D2" s="238"/>
      <c r="E2" s="238">
        <v>1</v>
      </c>
      <c r="F2" s="16" t="s">
        <v>731</v>
      </c>
      <c r="G2" s="174">
        <v>3</v>
      </c>
      <c r="H2" s="174">
        <v>5</v>
      </c>
      <c r="I2" s="174">
        <v>38</v>
      </c>
      <c r="J2" s="165">
        <v>0</v>
      </c>
      <c r="K2" s="165">
        <v>237</v>
      </c>
      <c r="L2" s="165">
        <v>0</v>
      </c>
      <c r="M2" s="165"/>
      <c r="N2" s="165" t="s">
        <v>732</v>
      </c>
      <c r="O2" s="174"/>
    </row>
    <row r="3" spans="1:15">
      <c r="A3" s="274"/>
      <c r="B3" s="275"/>
      <c r="C3" s="274"/>
      <c r="D3" s="238"/>
      <c r="E3" s="238">
        <v>2</v>
      </c>
      <c r="F3" s="174" t="s">
        <v>733</v>
      </c>
      <c r="G3" s="174">
        <v>0</v>
      </c>
      <c r="H3" s="174">
        <v>1</v>
      </c>
      <c r="I3" s="174">
        <v>10</v>
      </c>
      <c r="J3" s="165">
        <v>0</v>
      </c>
      <c r="K3" s="165">
        <v>46</v>
      </c>
      <c r="L3" s="165">
        <v>0</v>
      </c>
      <c r="M3" s="165"/>
      <c r="N3" s="165"/>
      <c r="O3" s="174"/>
    </row>
    <row r="4" spans="1:15" ht="30">
      <c r="A4" s="274"/>
      <c r="B4" s="275"/>
      <c r="C4" s="274"/>
      <c r="D4" s="238">
        <v>8.76</v>
      </c>
      <c r="E4" s="238">
        <v>2</v>
      </c>
      <c r="F4" s="42" t="s">
        <v>734</v>
      </c>
      <c r="G4" s="174">
        <v>0</v>
      </c>
      <c r="H4" s="174">
        <v>0</v>
      </c>
      <c r="I4" s="174">
        <v>46</v>
      </c>
      <c r="J4" s="165">
        <v>0</v>
      </c>
      <c r="K4" s="165">
        <v>529</v>
      </c>
      <c r="L4" s="165">
        <v>0</v>
      </c>
      <c r="M4" s="165"/>
      <c r="N4" s="165"/>
      <c r="O4" s="174" t="s">
        <v>735</v>
      </c>
    </row>
    <row r="5" spans="1:15" ht="30">
      <c r="A5" s="274"/>
      <c r="B5" s="275"/>
      <c r="C5" s="274"/>
      <c r="D5" s="241">
        <v>8.8000000000000007</v>
      </c>
      <c r="E5" s="238">
        <v>2</v>
      </c>
      <c r="F5" s="42" t="s">
        <v>736</v>
      </c>
      <c r="G5" s="174">
        <v>0</v>
      </c>
      <c r="H5" s="174">
        <v>0</v>
      </c>
      <c r="I5" s="174">
        <v>24</v>
      </c>
      <c r="J5" s="165">
        <v>0</v>
      </c>
      <c r="K5" s="165">
        <v>360</v>
      </c>
      <c r="L5" s="165">
        <v>0</v>
      </c>
      <c r="M5" s="165"/>
      <c r="N5" s="165"/>
      <c r="O5" s="174" t="s">
        <v>735</v>
      </c>
    </row>
    <row r="6" spans="1:15">
      <c r="A6" s="274"/>
      <c r="B6" s="275"/>
      <c r="C6" s="276">
        <v>17</v>
      </c>
      <c r="D6" s="242"/>
      <c r="E6" s="242">
        <v>1</v>
      </c>
      <c r="F6" s="11" t="s">
        <v>737</v>
      </c>
      <c r="G6" s="216">
        <v>0</v>
      </c>
      <c r="H6" s="216">
        <v>5</v>
      </c>
      <c r="I6" s="216">
        <v>38</v>
      </c>
      <c r="J6" s="217">
        <v>1</v>
      </c>
      <c r="K6" s="216">
        <v>980</v>
      </c>
      <c r="L6" s="216">
        <v>1</v>
      </c>
      <c r="M6" s="216"/>
      <c r="N6" s="216"/>
      <c r="O6" s="218"/>
    </row>
    <row r="7" spans="1:15">
      <c r="A7" s="274"/>
      <c r="B7" s="275"/>
      <c r="C7" s="276"/>
      <c r="D7" s="242"/>
      <c r="E7" s="242">
        <v>2</v>
      </c>
      <c r="F7" s="218" t="s">
        <v>738</v>
      </c>
      <c r="G7" s="216">
        <v>0</v>
      </c>
      <c r="H7" s="216">
        <v>7</v>
      </c>
      <c r="I7" s="216">
        <v>14</v>
      </c>
      <c r="J7" s="217">
        <v>0</v>
      </c>
      <c r="K7" s="216">
        <v>46</v>
      </c>
      <c r="L7" s="216">
        <v>0</v>
      </c>
      <c r="M7" s="216"/>
      <c r="N7" s="216"/>
      <c r="O7" s="218"/>
    </row>
    <row r="8" spans="1:15">
      <c r="A8" s="274"/>
      <c r="B8" s="275"/>
      <c r="C8" s="276"/>
      <c r="D8" s="242"/>
      <c r="E8" s="242">
        <v>3</v>
      </c>
      <c r="F8" s="11" t="s">
        <v>739</v>
      </c>
      <c r="G8" s="216">
        <v>0</v>
      </c>
      <c r="H8" s="216">
        <v>0</v>
      </c>
      <c r="I8" s="216">
        <v>1</v>
      </c>
      <c r="J8" s="217">
        <v>0</v>
      </c>
      <c r="K8" s="216">
        <v>0</v>
      </c>
      <c r="L8" s="216">
        <v>0</v>
      </c>
      <c r="M8" s="216"/>
      <c r="N8" s="216"/>
      <c r="O8" s="218"/>
    </row>
    <row r="9" spans="1:15" ht="30">
      <c r="A9" s="274"/>
      <c r="B9" s="275"/>
      <c r="C9" s="276"/>
      <c r="D9" s="242"/>
      <c r="E9" s="242"/>
      <c r="F9" s="243" t="s">
        <v>740</v>
      </c>
      <c r="G9" s="216"/>
      <c r="H9" s="216"/>
      <c r="I9" s="216"/>
      <c r="J9" s="217"/>
      <c r="K9" s="216"/>
      <c r="L9" s="216"/>
      <c r="M9" s="216"/>
      <c r="N9" s="216"/>
      <c r="O9" s="218" t="s">
        <v>741</v>
      </c>
    </row>
    <row r="10" spans="1:15" ht="30">
      <c r="A10" s="274"/>
      <c r="B10" s="275"/>
      <c r="C10" s="276"/>
      <c r="D10" s="242"/>
      <c r="E10" s="242"/>
      <c r="F10" s="243" t="s">
        <v>742</v>
      </c>
      <c r="G10" s="216"/>
      <c r="H10" s="216"/>
      <c r="I10" s="216"/>
      <c r="J10" s="217"/>
      <c r="K10" s="216"/>
      <c r="L10" s="216"/>
      <c r="M10" s="242"/>
      <c r="N10" s="242"/>
      <c r="O10" s="218" t="s">
        <v>743</v>
      </c>
    </row>
    <row r="11" spans="1:15" ht="30">
      <c r="A11" s="274"/>
      <c r="B11" s="275"/>
      <c r="C11" s="276"/>
      <c r="D11" s="242"/>
      <c r="E11" s="242"/>
      <c r="F11" s="243" t="s">
        <v>744</v>
      </c>
      <c r="G11" s="216"/>
      <c r="H11" s="216"/>
      <c r="I11" s="216"/>
      <c r="J11" s="217"/>
      <c r="K11" s="216"/>
      <c r="L11" s="216"/>
      <c r="M11" s="242"/>
      <c r="N11" s="242"/>
      <c r="O11" s="218" t="s">
        <v>745</v>
      </c>
    </row>
    <row r="12" spans="1:15">
      <c r="A12" s="274"/>
      <c r="B12" s="275"/>
      <c r="C12" s="274">
        <v>18</v>
      </c>
      <c r="D12" s="238"/>
      <c r="E12" s="238">
        <v>1</v>
      </c>
      <c r="F12" s="17" t="s">
        <v>746</v>
      </c>
      <c r="G12" s="220">
        <v>0</v>
      </c>
      <c r="H12" s="220">
        <v>4</v>
      </c>
      <c r="I12" s="220">
        <v>36</v>
      </c>
      <c r="J12" s="221">
        <v>1</v>
      </c>
      <c r="K12" s="221">
        <v>1734</v>
      </c>
      <c r="L12" s="221">
        <v>0</v>
      </c>
      <c r="M12" s="163" t="s">
        <v>747</v>
      </c>
      <c r="N12" s="238" t="s">
        <v>748</v>
      </c>
      <c r="O12" s="174"/>
    </row>
    <row r="13" spans="1:15">
      <c r="A13" s="274"/>
      <c r="B13" s="275"/>
      <c r="C13" s="274"/>
      <c r="D13" s="238">
        <v>8.7899999999999991</v>
      </c>
      <c r="E13" s="238">
        <v>2</v>
      </c>
      <c r="F13" s="4" t="s">
        <v>749</v>
      </c>
      <c r="G13" s="220">
        <v>0</v>
      </c>
      <c r="H13" s="220">
        <v>3</v>
      </c>
      <c r="I13" s="220">
        <v>32</v>
      </c>
      <c r="J13" s="221">
        <v>0</v>
      </c>
      <c r="K13" s="221">
        <v>1594</v>
      </c>
      <c r="L13" s="221">
        <v>0</v>
      </c>
      <c r="M13" s="163"/>
      <c r="N13" s="238"/>
      <c r="O13" s="174"/>
    </row>
    <row r="14" spans="1:15" ht="30">
      <c r="A14" s="274"/>
      <c r="B14" s="275"/>
      <c r="C14" s="276">
        <v>19</v>
      </c>
      <c r="D14" s="242"/>
      <c r="E14" s="242">
        <v>1</v>
      </c>
      <c r="F14" s="11" t="s">
        <v>750</v>
      </c>
      <c r="G14" s="216">
        <v>0</v>
      </c>
      <c r="H14" s="216">
        <v>4</v>
      </c>
      <c r="I14" s="216">
        <v>21</v>
      </c>
      <c r="J14" s="217">
        <v>0</v>
      </c>
      <c r="K14" s="216">
        <v>1676</v>
      </c>
      <c r="L14" s="216">
        <v>1</v>
      </c>
      <c r="M14" s="242"/>
      <c r="N14" s="216"/>
      <c r="O14" s="218"/>
    </row>
    <row r="15" spans="1:15">
      <c r="A15" s="274"/>
      <c r="B15" s="275"/>
      <c r="C15" s="276"/>
      <c r="D15" s="242">
        <v>8.7899999999999991</v>
      </c>
      <c r="E15" s="242">
        <v>2</v>
      </c>
      <c r="F15" s="10" t="s">
        <v>751</v>
      </c>
      <c r="G15" s="216">
        <v>0</v>
      </c>
      <c r="H15" s="216">
        <v>3</v>
      </c>
      <c r="I15" s="216">
        <v>32</v>
      </c>
      <c r="J15" s="217">
        <v>0</v>
      </c>
      <c r="K15" s="216">
        <v>1594</v>
      </c>
      <c r="L15" s="216">
        <v>0</v>
      </c>
      <c r="M15" s="242"/>
      <c r="N15" s="216"/>
      <c r="O15" s="10"/>
    </row>
    <row r="16" spans="1:15">
      <c r="A16" s="274"/>
      <c r="B16" s="275"/>
      <c r="C16" s="276"/>
      <c r="D16" s="242"/>
      <c r="E16" s="242"/>
      <c r="F16" s="243" t="s">
        <v>752</v>
      </c>
      <c r="G16" s="216"/>
      <c r="H16" s="216"/>
      <c r="I16" s="216"/>
      <c r="J16" s="217"/>
      <c r="K16" s="216"/>
      <c r="L16" s="216"/>
      <c r="M16" s="242"/>
      <c r="N16" s="216"/>
      <c r="O16" s="10" t="s">
        <v>753</v>
      </c>
    </row>
    <row r="17" spans="1:15">
      <c r="A17" s="274"/>
      <c r="B17" s="275"/>
      <c r="C17" s="276"/>
      <c r="D17" s="242"/>
      <c r="E17" s="242"/>
      <c r="F17" s="243" t="s">
        <v>754</v>
      </c>
      <c r="G17" s="217"/>
      <c r="H17" s="217"/>
      <c r="I17" s="217"/>
      <c r="J17" s="217"/>
      <c r="K17" s="242"/>
      <c r="L17" s="242"/>
      <c r="M17" s="242"/>
      <c r="N17" s="242"/>
      <c r="O17" s="10" t="s">
        <v>755</v>
      </c>
    </row>
    <row r="18" spans="1:15">
      <c r="A18" s="274"/>
      <c r="B18" s="275"/>
      <c r="C18" s="274">
        <v>20</v>
      </c>
      <c r="D18" s="238"/>
      <c r="E18" s="238">
        <v>1</v>
      </c>
      <c r="F18" s="17" t="s">
        <v>756</v>
      </c>
      <c r="G18" s="220">
        <v>0</v>
      </c>
      <c r="H18" s="220">
        <v>4</v>
      </c>
      <c r="I18" s="220">
        <v>35</v>
      </c>
      <c r="J18" s="220">
        <v>1</v>
      </c>
      <c r="K18" s="220">
        <v>1662</v>
      </c>
      <c r="L18" s="220">
        <v>0</v>
      </c>
      <c r="M18" s="163" t="s">
        <v>747</v>
      </c>
      <c r="N18" s="238"/>
      <c r="O18" s="174"/>
    </row>
    <row r="19" spans="1:15">
      <c r="A19" s="274"/>
      <c r="B19" s="275"/>
      <c r="C19" s="274"/>
      <c r="D19" s="238">
        <v>8.7899999999999991</v>
      </c>
      <c r="E19" s="238">
        <v>2</v>
      </c>
      <c r="F19" s="4" t="s">
        <v>749</v>
      </c>
      <c r="G19" s="220">
        <v>0</v>
      </c>
      <c r="H19" s="220">
        <v>3</v>
      </c>
      <c r="I19" s="220">
        <v>32</v>
      </c>
      <c r="J19" s="221">
        <v>0</v>
      </c>
      <c r="K19" s="221">
        <v>1594</v>
      </c>
      <c r="L19" s="221">
        <v>0</v>
      </c>
      <c r="M19" s="163"/>
      <c r="N19" s="238"/>
      <c r="O19" s="174"/>
    </row>
    <row r="20" spans="1:15">
      <c r="A20" s="274"/>
      <c r="B20" s="275"/>
      <c r="C20" s="276">
        <v>21</v>
      </c>
      <c r="D20" s="242"/>
      <c r="E20" s="242">
        <v>1</v>
      </c>
      <c r="F20" s="11" t="s">
        <v>757</v>
      </c>
      <c r="G20" s="217">
        <v>0</v>
      </c>
      <c r="H20" s="217">
        <v>4</v>
      </c>
      <c r="I20" s="217">
        <v>30</v>
      </c>
      <c r="J20" s="216">
        <v>1</v>
      </c>
      <c r="K20" s="216">
        <v>1493</v>
      </c>
      <c r="L20" s="216">
        <v>0</v>
      </c>
      <c r="M20" s="242"/>
      <c r="N20" s="242"/>
      <c r="O20" s="218"/>
    </row>
    <row r="21" spans="1:15" ht="30">
      <c r="A21" s="274"/>
      <c r="B21" s="275"/>
      <c r="C21" s="276"/>
      <c r="D21" s="242"/>
      <c r="E21" s="242"/>
      <c r="F21" s="243" t="s">
        <v>758</v>
      </c>
      <c r="G21" s="217"/>
      <c r="H21" s="217"/>
      <c r="I21" s="217"/>
      <c r="J21" s="217"/>
      <c r="K21" s="242"/>
      <c r="L21" s="242"/>
      <c r="M21" s="242"/>
      <c r="N21" s="242"/>
      <c r="O21" s="218" t="s">
        <v>759</v>
      </c>
    </row>
    <row r="22" spans="1:15" ht="30">
      <c r="A22" s="274"/>
      <c r="B22" s="275"/>
      <c r="C22" s="274">
        <v>22</v>
      </c>
      <c r="D22" s="238"/>
      <c r="E22" s="238">
        <v>1</v>
      </c>
      <c r="F22" s="5" t="s">
        <v>760</v>
      </c>
      <c r="G22" s="220">
        <v>0</v>
      </c>
      <c r="H22" s="220">
        <v>6</v>
      </c>
      <c r="I22" s="220">
        <v>18</v>
      </c>
      <c r="J22" s="220">
        <v>1</v>
      </c>
      <c r="K22" s="220">
        <v>373</v>
      </c>
      <c r="L22" s="220">
        <v>1</v>
      </c>
      <c r="M22" s="238"/>
      <c r="N22" s="238"/>
      <c r="O22" s="174"/>
    </row>
    <row r="23" spans="1:15" ht="30">
      <c r="A23" s="274"/>
      <c r="B23" s="275"/>
      <c r="C23" s="274"/>
      <c r="D23" s="238"/>
      <c r="E23" s="238"/>
      <c r="F23" s="244" t="s">
        <v>761</v>
      </c>
      <c r="G23" s="220"/>
      <c r="H23" s="220"/>
      <c r="I23" s="220"/>
      <c r="J23" s="220"/>
      <c r="K23" s="238"/>
      <c r="L23" s="238"/>
      <c r="M23" s="238"/>
      <c r="N23" s="238"/>
      <c r="O23" s="174" t="s">
        <v>762</v>
      </c>
    </row>
    <row r="24" spans="1:15">
      <c r="A24" s="235"/>
      <c r="B24" s="18"/>
      <c r="C24" s="235"/>
      <c r="D24" s="235"/>
      <c r="E24" s="235"/>
      <c r="F24" s="19"/>
      <c r="G24" s="236"/>
      <c r="H24" s="236"/>
      <c r="I24" s="236"/>
      <c r="J24" s="236"/>
      <c r="K24" s="235"/>
      <c r="L24" s="235"/>
      <c r="M24" s="235"/>
      <c r="N24" s="235"/>
      <c r="O24" s="237"/>
    </row>
  </sheetData>
  <mergeCells count="9">
    <mergeCell ref="C22:C23"/>
    <mergeCell ref="A2:A23"/>
    <mergeCell ref="B2:B23"/>
    <mergeCell ref="C2:C5"/>
    <mergeCell ref="C6:C11"/>
    <mergeCell ref="C18:C19"/>
    <mergeCell ref="C14:C17"/>
    <mergeCell ref="C12:C13"/>
    <mergeCell ref="C20:C21"/>
  </mergeCells>
  <conditionalFormatting sqref="F18 F6 F2 F12 F14 F20:F22 F24">
    <cfRule type="duplicateValues" dxfId="0" priority="6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C4F0-4F47-4251-8DF3-AB79A34A6F5B}">
  <dimension ref="A1:O99"/>
  <sheetViews>
    <sheetView zoomScaleNormal="100" workbookViewId="0">
      <pane ySplit="1" topLeftCell="A18" activePane="bottomLeft" state="frozen"/>
      <selection pane="bottomLeft" activeCell="F43" sqref="F43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3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4</v>
      </c>
      <c r="B2" s="275" t="s">
        <v>763</v>
      </c>
      <c r="C2" s="222">
        <v>23</v>
      </c>
      <c r="D2" s="238">
        <v>10.84</v>
      </c>
      <c r="E2" s="238"/>
      <c r="F2" s="17" t="s">
        <v>764</v>
      </c>
      <c r="G2" s="174"/>
      <c r="H2" s="174"/>
      <c r="I2" s="174"/>
      <c r="J2" s="165"/>
      <c r="K2" s="238"/>
      <c r="L2" s="238"/>
      <c r="M2" s="222"/>
      <c r="N2" s="222"/>
      <c r="O2" s="165"/>
    </row>
    <row r="3" spans="1:15">
      <c r="A3" s="274"/>
      <c r="B3" s="275"/>
      <c r="C3" s="234">
        <v>24</v>
      </c>
      <c r="D3" s="242"/>
      <c r="E3" s="242">
        <v>1</v>
      </c>
      <c r="F3" s="11" t="s">
        <v>765</v>
      </c>
      <c r="G3" s="216">
        <v>2</v>
      </c>
      <c r="H3" s="216">
        <v>4</v>
      </c>
      <c r="I3" s="216">
        <v>18</v>
      </c>
      <c r="J3" s="216">
        <v>0</v>
      </c>
      <c r="K3" s="216">
        <v>462</v>
      </c>
      <c r="L3" s="216">
        <v>0</v>
      </c>
      <c r="M3" s="234"/>
      <c r="N3" s="234"/>
      <c r="O3" s="216"/>
    </row>
    <row r="4" spans="1:15">
      <c r="A4" s="274"/>
      <c r="B4" s="275"/>
      <c r="C4" s="265">
        <v>25</v>
      </c>
      <c r="D4" s="238"/>
      <c r="E4" s="238">
        <v>1</v>
      </c>
      <c r="F4" s="17" t="s">
        <v>766</v>
      </c>
      <c r="G4" s="165">
        <v>11</v>
      </c>
      <c r="H4" s="165">
        <v>24</v>
      </c>
      <c r="I4" s="165">
        <v>220</v>
      </c>
      <c r="J4" s="174">
        <v>1</v>
      </c>
      <c r="K4" s="174">
        <v>12238</v>
      </c>
      <c r="L4" s="174">
        <v>3</v>
      </c>
      <c r="M4" s="225"/>
      <c r="N4" s="222"/>
      <c r="O4" s="165"/>
    </row>
    <row r="5" spans="1:15">
      <c r="A5" s="274"/>
      <c r="B5" s="275"/>
      <c r="C5" s="266"/>
      <c r="D5" s="238"/>
      <c r="E5" s="238">
        <v>2</v>
      </c>
      <c r="F5" s="17" t="s">
        <v>766</v>
      </c>
      <c r="G5" s="165">
        <v>11</v>
      </c>
      <c r="H5" s="165">
        <v>24</v>
      </c>
      <c r="I5" s="165">
        <v>220</v>
      </c>
      <c r="J5" s="174">
        <v>1</v>
      </c>
      <c r="K5" s="174">
        <v>12238</v>
      </c>
      <c r="L5" s="174">
        <v>3</v>
      </c>
      <c r="M5" s="225"/>
      <c r="N5" s="222"/>
      <c r="O5" s="165"/>
    </row>
    <row r="6" spans="1:15">
      <c r="A6" s="274"/>
      <c r="B6" s="275"/>
      <c r="C6" s="266"/>
      <c r="D6" s="238">
        <v>15.138</v>
      </c>
      <c r="E6" s="238">
        <v>2</v>
      </c>
      <c r="F6" s="17" t="s">
        <v>767</v>
      </c>
      <c r="G6" s="165">
        <v>10</v>
      </c>
      <c r="H6" s="165">
        <v>17</v>
      </c>
      <c r="I6" s="165">
        <v>136</v>
      </c>
      <c r="J6" s="174">
        <v>1</v>
      </c>
      <c r="K6" s="174">
        <v>4274</v>
      </c>
      <c r="L6" s="174">
        <v>0</v>
      </c>
      <c r="M6" s="225"/>
      <c r="N6" s="222"/>
      <c r="O6" s="165"/>
    </row>
    <row r="7" spans="1:15">
      <c r="A7" s="274"/>
      <c r="B7" s="275"/>
      <c r="C7" s="266"/>
      <c r="D7" s="238">
        <v>15.138</v>
      </c>
      <c r="E7" s="238">
        <v>2</v>
      </c>
      <c r="F7" s="17" t="s">
        <v>768</v>
      </c>
      <c r="G7" s="165">
        <v>5</v>
      </c>
      <c r="H7" s="165">
        <v>5</v>
      </c>
      <c r="I7" s="165">
        <v>32</v>
      </c>
      <c r="J7" s="174">
        <v>0</v>
      </c>
      <c r="K7" s="174">
        <v>984</v>
      </c>
      <c r="L7" s="174">
        <v>0</v>
      </c>
      <c r="M7" s="225"/>
      <c r="N7" s="222"/>
      <c r="O7" s="165"/>
    </row>
    <row r="8" spans="1:15">
      <c r="A8" s="274"/>
      <c r="B8" s="275"/>
      <c r="C8" s="266"/>
      <c r="D8" s="238"/>
      <c r="E8" s="238">
        <v>2</v>
      </c>
      <c r="F8" s="4" t="s">
        <v>769</v>
      </c>
      <c r="G8" s="165">
        <v>2</v>
      </c>
      <c r="H8" s="165">
        <v>4</v>
      </c>
      <c r="I8" s="165">
        <v>48</v>
      </c>
      <c r="J8" s="174">
        <v>0</v>
      </c>
      <c r="K8" s="174">
        <v>1931</v>
      </c>
      <c r="L8" s="174">
        <v>0</v>
      </c>
      <c r="M8" s="225"/>
      <c r="N8" s="222"/>
      <c r="O8" s="165"/>
    </row>
    <row r="9" spans="1:15">
      <c r="A9" s="274"/>
      <c r="B9" s="275"/>
      <c r="C9" s="266"/>
      <c r="D9" s="240"/>
      <c r="E9" s="238">
        <v>2</v>
      </c>
      <c r="F9" s="174" t="s">
        <v>770</v>
      </c>
      <c r="G9" s="165">
        <v>0</v>
      </c>
      <c r="H9" s="165">
        <v>2</v>
      </c>
      <c r="I9" s="165">
        <v>12</v>
      </c>
      <c r="J9" s="174">
        <v>0</v>
      </c>
      <c r="K9" s="174">
        <v>563</v>
      </c>
      <c r="L9" s="174">
        <v>0</v>
      </c>
      <c r="M9" s="225"/>
      <c r="N9" s="222"/>
      <c r="O9" s="165"/>
    </row>
    <row r="10" spans="1:15">
      <c r="A10" s="274"/>
      <c r="B10" s="275"/>
      <c r="C10" s="266"/>
      <c r="D10" s="238"/>
      <c r="E10" s="238">
        <v>2</v>
      </c>
      <c r="F10" s="174" t="s">
        <v>771</v>
      </c>
      <c r="G10" s="165">
        <v>3</v>
      </c>
      <c r="H10" s="165">
        <v>4</v>
      </c>
      <c r="I10" s="165">
        <v>51</v>
      </c>
      <c r="J10" s="174">
        <v>0</v>
      </c>
      <c r="K10" s="174">
        <v>2188</v>
      </c>
      <c r="L10" s="174">
        <v>0</v>
      </c>
      <c r="M10" s="225"/>
      <c r="N10" s="222"/>
      <c r="O10" s="165"/>
    </row>
    <row r="11" spans="1:15">
      <c r="A11" s="274"/>
      <c r="B11" s="275"/>
      <c r="C11" s="266"/>
      <c r="D11" s="238"/>
      <c r="E11" s="238">
        <v>2</v>
      </c>
      <c r="F11" s="17" t="s">
        <v>772</v>
      </c>
      <c r="G11" s="165">
        <v>0</v>
      </c>
      <c r="H11" s="165">
        <v>0</v>
      </c>
      <c r="I11" s="165">
        <v>3</v>
      </c>
      <c r="J11" s="174">
        <v>0</v>
      </c>
      <c r="K11" s="174">
        <v>0</v>
      </c>
      <c r="L11" s="174">
        <v>0</v>
      </c>
      <c r="M11" s="225"/>
      <c r="N11" s="222"/>
      <c r="O11" s="165" t="s">
        <v>773</v>
      </c>
    </row>
    <row r="12" spans="1:15" ht="30">
      <c r="A12" s="274"/>
      <c r="B12" s="275"/>
      <c r="C12" s="266"/>
      <c r="D12" s="238">
        <v>20.175000000000001</v>
      </c>
      <c r="E12" s="238">
        <v>2</v>
      </c>
      <c r="F12" s="17" t="s">
        <v>774</v>
      </c>
      <c r="G12" s="165">
        <v>0</v>
      </c>
      <c r="H12" s="165">
        <v>5</v>
      </c>
      <c r="I12" s="165">
        <v>37</v>
      </c>
      <c r="J12" s="174">
        <v>1</v>
      </c>
      <c r="K12" s="174">
        <v>1447</v>
      </c>
      <c r="L12" s="174">
        <v>5</v>
      </c>
      <c r="M12" s="225"/>
      <c r="N12" s="222"/>
      <c r="O12" s="165"/>
    </row>
    <row r="13" spans="1:15" ht="30">
      <c r="A13" s="274"/>
      <c r="B13" s="275"/>
      <c r="C13" s="266"/>
      <c r="D13" s="238">
        <v>20.175000000000001</v>
      </c>
      <c r="E13" s="238">
        <v>3</v>
      </c>
      <c r="F13" s="17" t="s">
        <v>775</v>
      </c>
      <c r="G13" s="220">
        <v>0</v>
      </c>
      <c r="H13" s="220">
        <v>2</v>
      </c>
      <c r="I13" s="220">
        <v>3</v>
      </c>
      <c r="J13" s="220">
        <v>0</v>
      </c>
      <c r="K13" s="220">
        <v>33</v>
      </c>
      <c r="L13" s="220">
        <v>0</v>
      </c>
      <c r="M13" s="225"/>
      <c r="N13" s="222"/>
      <c r="O13" s="165"/>
    </row>
    <row r="14" spans="1:15" ht="60">
      <c r="A14" s="274"/>
      <c r="B14" s="275"/>
      <c r="C14" s="266"/>
      <c r="D14" s="238"/>
      <c r="E14" s="238"/>
      <c r="F14" s="244" t="s">
        <v>776</v>
      </c>
      <c r="G14" s="220"/>
      <c r="H14" s="220"/>
      <c r="I14" s="220"/>
      <c r="J14" s="220"/>
      <c r="K14" s="220"/>
      <c r="L14" s="220"/>
      <c r="M14" s="225"/>
      <c r="N14" s="222"/>
      <c r="O14" s="174" t="s">
        <v>777</v>
      </c>
    </row>
    <row r="15" spans="1:15" ht="30">
      <c r="A15" s="274"/>
      <c r="B15" s="275"/>
      <c r="C15" s="266"/>
      <c r="D15" s="238"/>
      <c r="E15" s="238"/>
      <c r="F15" s="14" t="s">
        <v>778</v>
      </c>
      <c r="G15" s="165"/>
      <c r="H15" s="165"/>
      <c r="I15" s="165"/>
      <c r="J15" s="174"/>
      <c r="K15" s="245"/>
      <c r="L15" s="245"/>
      <c r="M15" s="225"/>
      <c r="N15" s="222"/>
      <c r="O15" s="174" t="s">
        <v>779</v>
      </c>
    </row>
    <row r="16" spans="1:15" ht="30">
      <c r="A16" s="274"/>
      <c r="B16" s="275"/>
      <c r="C16" s="266"/>
      <c r="D16" s="238"/>
      <c r="E16" s="238"/>
      <c r="F16" s="14" t="s">
        <v>780</v>
      </c>
      <c r="G16" s="165"/>
      <c r="H16" s="165"/>
      <c r="I16" s="165"/>
      <c r="J16" s="174"/>
      <c r="K16" s="245"/>
      <c r="L16" s="245"/>
      <c r="M16" s="225"/>
      <c r="N16" s="222"/>
      <c r="O16" s="174" t="s">
        <v>781</v>
      </c>
    </row>
    <row r="17" spans="1:15" ht="30">
      <c r="A17" s="274"/>
      <c r="B17" s="275"/>
      <c r="C17" s="266"/>
      <c r="D17" s="238"/>
      <c r="E17" s="238"/>
      <c r="F17" s="14" t="s">
        <v>782</v>
      </c>
      <c r="G17" s="165"/>
      <c r="H17" s="165"/>
      <c r="I17" s="165"/>
      <c r="J17" s="174"/>
      <c r="K17" s="245"/>
      <c r="L17" s="245"/>
      <c r="M17" s="225"/>
      <c r="N17" s="222"/>
      <c r="O17" s="174" t="s">
        <v>783</v>
      </c>
    </row>
    <row r="18" spans="1:15">
      <c r="A18" s="274"/>
      <c r="B18" s="275"/>
      <c r="C18" s="267"/>
      <c r="D18" s="238"/>
      <c r="E18" s="238">
        <v>1</v>
      </c>
      <c r="F18" s="4" t="s">
        <v>784</v>
      </c>
      <c r="G18" s="220">
        <v>0</v>
      </c>
      <c r="H18" s="220">
        <v>0</v>
      </c>
      <c r="I18" s="220">
        <v>6</v>
      </c>
      <c r="J18" s="221">
        <v>0</v>
      </c>
      <c r="K18" s="221">
        <v>79</v>
      </c>
      <c r="L18" s="221">
        <v>0</v>
      </c>
      <c r="M18" s="225"/>
      <c r="N18" s="222"/>
      <c r="O18" s="174"/>
    </row>
    <row r="19" spans="1:15">
      <c r="A19" s="274"/>
      <c r="B19" s="275"/>
      <c r="C19" s="268">
        <v>26</v>
      </c>
      <c r="D19" s="242"/>
      <c r="E19" s="242">
        <v>1</v>
      </c>
      <c r="F19" s="11" t="s">
        <v>785</v>
      </c>
      <c r="G19" s="217">
        <v>24</v>
      </c>
      <c r="H19" s="217">
        <v>64</v>
      </c>
      <c r="I19" s="217">
        <v>162</v>
      </c>
      <c r="J19" s="217">
        <v>0</v>
      </c>
      <c r="K19" s="217">
        <v>8841</v>
      </c>
      <c r="L19" s="217">
        <v>1</v>
      </c>
      <c r="M19" s="242"/>
      <c r="N19" s="216"/>
      <c r="O19" s="216"/>
    </row>
    <row r="20" spans="1:15">
      <c r="A20" s="274"/>
      <c r="B20" s="275"/>
      <c r="C20" s="269"/>
      <c r="D20" s="242"/>
      <c r="E20" s="242">
        <v>2</v>
      </c>
      <c r="F20" s="218" t="s">
        <v>770</v>
      </c>
      <c r="G20" s="217">
        <v>0</v>
      </c>
      <c r="H20" s="217">
        <v>2</v>
      </c>
      <c r="I20" s="217">
        <v>12</v>
      </c>
      <c r="J20" s="227">
        <v>0</v>
      </c>
      <c r="K20" s="227">
        <v>563</v>
      </c>
      <c r="L20" s="227">
        <v>0</v>
      </c>
      <c r="M20" s="242"/>
      <c r="N20" s="216"/>
      <c r="O20" s="216"/>
    </row>
    <row r="21" spans="1:15">
      <c r="A21" s="274"/>
      <c r="B21" s="275"/>
      <c r="C21" s="269"/>
      <c r="D21" s="242"/>
      <c r="E21" s="242">
        <v>2</v>
      </c>
      <c r="F21" s="218" t="s">
        <v>771</v>
      </c>
      <c r="G21" s="217">
        <v>3</v>
      </c>
      <c r="H21" s="217">
        <v>4</v>
      </c>
      <c r="I21" s="217">
        <v>51</v>
      </c>
      <c r="J21" s="227">
        <v>0</v>
      </c>
      <c r="K21" s="227">
        <v>2188</v>
      </c>
      <c r="L21" s="227">
        <v>0</v>
      </c>
      <c r="M21" s="242"/>
      <c r="N21" s="216"/>
      <c r="O21" s="9"/>
    </row>
    <row r="22" spans="1:15" ht="30">
      <c r="A22" s="274"/>
      <c r="B22" s="275"/>
      <c r="C22" s="269"/>
      <c r="D22" s="242">
        <v>20.175000000000001</v>
      </c>
      <c r="E22" s="242">
        <v>2</v>
      </c>
      <c r="F22" s="11" t="s">
        <v>774</v>
      </c>
      <c r="G22" s="217">
        <v>0</v>
      </c>
      <c r="H22" s="217">
        <v>5</v>
      </c>
      <c r="I22" s="217">
        <v>37</v>
      </c>
      <c r="J22" s="217">
        <v>1</v>
      </c>
      <c r="K22" s="217">
        <v>1447</v>
      </c>
      <c r="L22" s="217">
        <v>5</v>
      </c>
      <c r="M22" s="242"/>
      <c r="N22" s="216"/>
      <c r="O22" s="9"/>
    </row>
    <row r="23" spans="1:15" ht="30">
      <c r="A23" s="274"/>
      <c r="B23" s="275"/>
      <c r="C23" s="269"/>
      <c r="D23" s="242">
        <v>20.175000000000001</v>
      </c>
      <c r="E23" s="242">
        <v>3</v>
      </c>
      <c r="F23" s="11" t="s">
        <v>775</v>
      </c>
      <c r="G23" s="217">
        <v>0</v>
      </c>
      <c r="H23" s="217">
        <v>2</v>
      </c>
      <c r="I23" s="217">
        <v>3</v>
      </c>
      <c r="J23" s="217">
        <v>0</v>
      </c>
      <c r="K23" s="217">
        <v>33</v>
      </c>
      <c r="L23" s="217">
        <v>0</v>
      </c>
      <c r="M23" s="234"/>
      <c r="N23" s="246"/>
      <c r="O23" s="9"/>
    </row>
    <row r="24" spans="1:15">
      <c r="A24" s="274"/>
      <c r="B24" s="275"/>
      <c r="C24" s="269"/>
      <c r="D24" s="242"/>
      <c r="E24" s="242">
        <v>2</v>
      </c>
      <c r="F24" s="11" t="s">
        <v>786</v>
      </c>
      <c r="G24" s="217">
        <v>0</v>
      </c>
      <c r="H24" s="217">
        <v>6</v>
      </c>
      <c r="I24" s="217">
        <v>11</v>
      </c>
      <c r="J24" s="217">
        <v>0</v>
      </c>
      <c r="K24" s="217">
        <v>333</v>
      </c>
      <c r="L24" s="217">
        <v>0</v>
      </c>
      <c r="M24" s="234"/>
      <c r="N24" s="246"/>
      <c r="O24" s="9"/>
    </row>
    <row r="25" spans="1:15">
      <c r="A25" s="274"/>
      <c r="B25" s="275"/>
      <c r="C25" s="269"/>
      <c r="D25" s="242"/>
      <c r="E25" s="242"/>
      <c r="F25" s="20" t="s">
        <v>787</v>
      </c>
      <c r="G25" s="217"/>
      <c r="H25" s="217"/>
      <c r="I25" s="217"/>
      <c r="J25" s="217"/>
      <c r="K25" s="217"/>
      <c r="L25" s="217"/>
      <c r="M25" s="234"/>
      <c r="N25" s="246"/>
      <c r="O25" s="9" t="s">
        <v>788</v>
      </c>
    </row>
    <row r="26" spans="1:15">
      <c r="A26" s="274"/>
      <c r="B26" s="275"/>
      <c r="C26" s="269"/>
      <c r="D26" s="242"/>
      <c r="E26" s="242"/>
      <c r="F26" s="20" t="s">
        <v>789</v>
      </c>
      <c r="G26" s="217"/>
      <c r="H26" s="217"/>
      <c r="I26" s="217"/>
      <c r="J26" s="217"/>
      <c r="K26" s="217"/>
      <c r="L26" s="217"/>
      <c r="M26" s="234"/>
      <c r="N26" s="246"/>
      <c r="O26" s="9" t="s">
        <v>788</v>
      </c>
    </row>
    <row r="27" spans="1:15">
      <c r="A27" s="274"/>
      <c r="B27" s="275"/>
      <c r="C27" s="269"/>
      <c r="D27" s="242"/>
      <c r="E27" s="242"/>
      <c r="F27" s="20" t="s">
        <v>790</v>
      </c>
      <c r="G27" s="217"/>
      <c r="H27" s="217"/>
      <c r="I27" s="217"/>
      <c r="J27" s="217"/>
      <c r="K27" s="217"/>
      <c r="L27" s="217"/>
      <c r="M27" s="234"/>
      <c r="N27" s="246"/>
      <c r="O27" s="9" t="s">
        <v>791</v>
      </c>
    </row>
    <row r="28" spans="1:15">
      <c r="A28" s="274"/>
      <c r="B28" s="275"/>
      <c r="C28" s="270"/>
      <c r="D28" s="242"/>
      <c r="E28" s="242"/>
      <c r="F28" s="243" t="s">
        <v>792</v>
      </c>
      <c r="G28" s="217"/>
      <c r="H28" s="217"/>
      <c r="I28" s="217"/>
      <c r="J28" s="217"/>
      <c r="K28" s="217"/>
      <c r="L28" s="217"/>
      <c r="M28" s="234"/>
      <c r="N28" s="246"/>
      <c r="O28" s="9" t="s">
        <v>793</v>
      </c>
    </row>
    <row r="29" spans="1:15">
      <c r="A29" s="274"/>
      <c r="B29" s="275"/>
      <c r="C29" s="265">
        <v>27</v>
      </c>
      <c r="D29" s="238"/>
      <c r="E29" s="238">
        <v>1</v>
      </c>
      <c r="F29" s="17" t="s">
        <v>794</v>
      </c>
      <c r="G29" s="220">
        <v>0</v>
      </c>
      <c r="H29" s="220">
        <v>2</v>
      </c>
      <c r="I29" s="220">
        <v>21</v>
      </c>
      <c r="J29" s="220">
        <v>0</v>
      </c>
      <c r="K29" s="220">
        <v>145</v>
      </c>
      <c r="L29" s="220">
        <v>0</v>
      </c>
      <c r="M29" s="225"/>
      <c r="N29" s="222"/>
      <c r="O29" s="165"/>
    </row>
    <row r="30" spans="1:15">
      <c r="A30" s="274"/>
      <c r="B30" s="275"/>
      <c r="C30" s="266"/>
      <c r="D30" s="238">
        <v>8.7899999999999991</v>
      </c>
      <c r="E30" s="238">
        <v>2</v>
      </c>
      <c r="F30" s="17" t="s">
        <v>795</v>
      </c>
      <c r="G30" s="165">
        <v>0</v>
      </c>
      <c r="H30" s="165">
        <v>3</v>
      </c>
      <c r="I30" s="165">
        <v>32</v>
      </c>
      <c r="J30" s="220">
        <v>0</v>
      </c>
      <c r="K30" s="220">
        <v>1594</v>
      </c>
      <c r="L30" s="165">
        <v>0</v>
      </c>
      <c r="M30" s="225"/>
      <c r="N30" s="222"/>
      <c r="O30" s="165"/>
    </row>
    <row r="31" spans="1:15">
      <c r="A31" s="274"/>
      <c r="B31" s="275"/>
      <c r="C31" s="267"/>
      <c r="D31" s="238"/>
      <c r="E31" s="238"/>
      <c r="F31" s="243" t="s">
        <v>796</v>
      </c>
      <c r="G31" s="165"/>
      <c r="H31" s="165"/>
      <c r="I31" s="165"/>
      <c r="J31" s="220"/>
      <c r="K31" s="220"/>
      <c r="L31" s="165"/>
      <c r="M31" s="225"/>
      <c r="N31" s="222"/>
      <c r="O31" s="165" t="s">
        <v>797</v>
      </c>
    </row>
    <row r="32" spans="1:15" ht="30">
      <c r="A32" s="274"/>
      <c r="B32" s="275"/>
      <c r="C32" s="268">
        <v>28</v>
      </c>
      <c r="D32" s="242"/>
      <c r="E32" s="242">
        <v>1</v>
      </c>
      <c r="F32" s="11" t="s">
        <v>798</v>
      </c>
      <c r="G32" s="216">
        <v>3</v>
      </c>
      <c r="H32" s="216">
        <v>7</v>
      </c>
      <c r="I32" s="216">
        <v>51</v>
      </c>
      <c r="J32" s="216">
        <v>1</v>
      </c>
      <c r="K32" s="216">
        <v>2902</v>
      </c>
      <c r="L32" s="216">
        <v>0</v>
      </c>
      <c r="M32" s="242"/>
      <c r="N32" s="242"/>
      <c r="O32" s="216"/>
    </row>
    <row r="33" spans="1:15" ht="30">
      <c r="A33" s="274"/>
      <c r="B33" s="275"/>
      <c r="C33" s="269"/>
      <c r="D33" s="242"/>
      <c r="E33" s="242"/>
      <c r="F33" s="243" t="s">
        <v>799</v>
      </c>
      <c r="G33" s="216"/>
      <c r="H33" s="216"/>
      <c r="I33" s="216"/>
      <c r="J33" s="216"/>
      <c r="K33" s="216"/>
      <c r="L33" s="216"/>
      <c r="M33" s="242"/>
      <c r="N33" s="242"/>
      <c r="O33" s="216" t="s">
        <v>800</v>
      </c>
    </row>
    <row r="34" spans="1:15">
      <c r="A34" s="274"/>
      <c r="B34" s="275"/>
      <c r="C34" s="269"/>
      <c r="D34" s="242"/>
      <c r="E34" s="242"/>
      <c r="F34" s="243" t="s">
        <v>801</v>
      </c>
      <c r="G34" s="216"/>
      <c r="H34" s="216"/>
      <c r="I34" s="216"/>
      <c r="J34" s="216"/>
      <c r="K34" s="216"/>
      <c r="L34" s="216"/>
      <c r="M34" s="242"/>
      <c r="N34" s="242"/>
      <c r="O34" s="216" t="s">
        <v>800</v>
      </c>
    </row>
    <row r="35" spans="1:15">
      <c r="A35" s="274"/>
      <c r="B35" s="275"/>
      <c r="C35" s="270"/>
      <c r="D35" s="242"/>
      <c r="E35" s="242"/>
      <c r="F35" s="243" t="s">
        <v>802</v>
      </c>
      <c r="G35" s="216"/>
      <c r="H35" s="216"/>
      <c r="I35" s="216"/>
      <c r="J35" s="216"/>
      <c r="K35" s="216"/>
      <c r="L35" s="216"/>
      <c r="M35" s="242"/>
      <c r="N35" s="242"/>
      <c r="O35" s="216" t="s">
        <v>800</v>
      </c>
    </row>
    <row r="36" spans="1:15">
      <c r="A36" s="274"/>
      <c r="B36" s="275"/>
      <c r="C36" s="265">
        <v>29</v>
      </c>
      <c r="D36" s="238"/>
      <c r="E36" s="238">
        <v>1</v>
      </c>
      <c r="F36" s="52" t="s">
        <v>803</v>
      </c>
      <c r="G36" s="165">
        <v>4</v>
      </c>
      <c r="H36" s="165">
        <v>17</v>
      </c>
      <c r="I36" s="165">
        <v>129</v>
      </c>
      <c r="J36" s="165">
        <v>1</v>
      </c>
      <c r="K36" s="165">
        <v>5494</v>
      </c>
      <c r="L36" s="165">
        <v>1</v>
      </c>
      <c r="M36" s="238"/>
      <c r="N36" s="238"/>
      <c r="O36" s="165" t="s">
        <v>804</v>
      </c>
    </row>
    <row r="37" spans="1:15">
      <c r="A37" s="274"/>
      <c r="B37" s="275"/>
      <c r="C37" s="267"/>
      <c r="D37" s="238"/>
      <c r="E37" s="238">
        <v>2</v>
      </c>
      <c r="F37" s="174" t="s">
        <v>805</v>
      </c>
      <c r="G37" s="220">
        <v>0</v>
      </c>
      <c r="H37" s="220">
        <v>2</v>
      </c>
      <c r="I37" s="220">
        <v>23</v>
      </c>
      <c r="J37" s="220">
        <v>1</v>
      </c>
      <c r="K37" s="220">
        <v>1328</v>
      </c>
      <c r="L37" s="220">
        <v>0</v>
      </c>
      <c r="M37" s="238"/>
      <c r="N37" s="238"/>
      <c r="O37" s="165"/>
    </row>
    <row r="38" spans="1:15" ht="30">
      <c r="A38" s="274"/>
      <c r="B38" s="275"/>
      <c r="C38" s="242">
        <v>30</v>
      </c>
      <c r="D38" s="242"/>
      <c r="E38" s="242">
        <v>1</v>
      </c>
      <c r="F38" s="11" t="s">
        <v>806</v>
      </c>
      <c r="G38" s="216">
        <v>2</v>
      </c>
      <c r="H38" s="216">
        <v>6</v>
      </c>
      <c r="I38" s="216">
        <v>22</v>
      </c>
      <c r="J38" s="216">
        <v>0</v>
      </c>
      <c r="K38" s="216">
        <v>528</v>
      </c>
      <c r="L38" s="216">
        <v>0</v>
      </c>
      <c r="M38" s="216"/>
      <c r="N38" s="216"/>
      <c r="O38" s="216"/>
    </row>
    <row r="39" spans="1:15">
      <c r="A39" s="274"/>
      <c r="B39" s="275"/>
      <c r="C39" s="222">
        <v>31</v>
      </c>
      <c r="D39" s="238">
        <v>16.152000000000001</v>
      </c>
      <c r="E39" s="238">
        <v>1</v>
      </c>
      <c r="F39" s="165" t="s">
        <v>807</v>
      </c>
      <c r="G39" s="165">
        <v>0</v>
      </c>
      <c r="H39" s="165">
        <v>1</v>
      </c>
      <c r="I39" s="165">
        <v>7</v>
      </c>
      <c r="J39" s="165">
        <v>0</v>
      </c>
      <c r="K39" s="165">
        <v>121</v>
      </c>
      <c r="L39" s="165">
        <v>0</v>
      </c>
      <c r="M39" s="165"/>
      <c r="N39" s="165"/>
      <c r="O39" s="165"/>
    </row>
    <row r="40" spans="1:15">
      <c r="A40" s="274"/>
      <c r="B40" s="275"/>
      <c r="C40" s="242">
        <v>32</v>
      </c>
      <c r="D40" s="242"/>
      <c r="E40" s="242">
        <v>1</v>
      </c>
      <c r="F40" s="216" t="s">
        <v>808</v>
      </c>
      <c r="G40" s="216">
        <v>2</v>
      </c>
      <c r="H40" s="216">
        <v>2</v>
      </c>
      <c r="I40" s="216">
        <v>12</v>
      </c>
      <c r="J40" s="216">
        <v>0</v>
      </c>
      <c r="K40" s="216">
        <v>18</v>
      </c>
      <c r="L40" s="216">
        <v>0</v>
      </c>
      <c r="M40" s="216"/>
      <c r="N40" s="216"/>
      <c r="O40" s="216"/>
    </row>
    <row r="41" spans="1:15">
      <c r="A41" s="274"/>
      <c r="B41" s="275"/>
      <c r="C41" s="242"/>
      <c r="D41" s="242"/>
      <c r="E41" s="242"/>
      <c r="F41" s="244" t="s">
        <v>809</v>
      </c>
      <c r="G41" s="216"/>
      <c r="H41" s="216"/>
      <c r="I41" s="216"/>
      <c r="J41" s="216"/>
      <c r="K41" s="216"/>
      <c r="L41" s="216"/>
      <c r="M41" s="216"/>
      <c r="N41" s="216"/>
      <c r="O41" s="216" t="s">
        <v>800</v>
      </c>
    </row>
    <row r="42" spans="1:15">
      <c r="A42" s="274"/>
      <c r="B42" s="275"/>
      <c r="C42" s="242"/>
      <c r="D42" s="242"/>
      <c r="E42" s="242"/>
      <c r="F42" s="244" t="s">
        <v>810</v>
      </c>
      <c r="G42" s="216"/>
      <c r="H42" s="216"/>
      <c r="I42" s="216"/>
      <c r="J42" s="216"/>
      <c r="K42" s="216"/>
      <c r="L42" s="216"/>
      <c r="M42" s="216"/>
      <c r="N42" s="216"/>
      <c r="O42" s="216" t="s">
        <v>800</v>
      </c>
    </row>
    <row r="43" spans="1:15">
      <c r="A43" s="274"/>
      <c r="B43" s="275"/>
      <c r="C43" s="238">
        <v>33</v>
      </c>
      <c r="D43" s="238"/>
      <c r="E43" s="238">
        <v>1</v>
      </c>
      <c r="F43" s="165" t="s">
        <v>811</v>
      </c>
      <c r="G43" s="165">
        <v>0</v>
      </c>
      <c r="H43" s="165">
        <v>3</v>
      </c>
      <c r="I43" s="165">
        <v>21</v>
      </c>
      <c r="J43" s="165">
        <v>0</v>
      </c>
      <c r="K43" s="165">
        <v>60</v>
      </c>
      <c r="L43" s="165">
        <v>0</v>
      </c>
      <c r="M43" s="165"/>
      <c r="N43" s="165"/>
      <c r="O43" s="165"/>
    </row>
    <row r="44" spans="1:15" ht="45">
      <c r="A44" s="274"/>
      <c r="B44" s="275"/>
      <c r="C44" s="268">
        <v>34</v>
      </c>
      <c r="D44" s="242">
        <v>4.25</v>
      </c>
      <c r="E44" s="242">
        <v>1</v>
      </c>
      <c r="F44" s="216" t="s">
        <v>812</v>
      </c>
      <c r="G44" s="216">
        <v>11</v>
      </c>
      <c r="H44" s="216">
        <v>24</v>
      </c>
      <c r="I44" s="216">
        <v>220</v>
      </c>
      <c r="J44" s="216">
        <v>1</v>
      </c>
      <c r="K44" s="216">
        <v>12238</v>
      </c>
      <c r="L44" s="216">
        <v>3</v>
      </c>
      <c r="M44" s="216"/>
      <c r="N44" s="216"/>
      <c r="O44" s="218" t="s">
        <v>813</v>
      </c>
    </row>
    <row r="45" spans="1:15" ht="30">
      <c r="A45" s="274"/>
      <c r="B45" s="275"/>
      <c r="C45" s="270"/>
      <c r="D45" s="242"/>
      <c r="E45" s="242"/>
      <c r="F45" s="42" t="s">
        <v>814</v>
      </c>
      <c r="G45" s="216"/>
      <c r="H45" s="216"/>
      <c r="I45" s="216"/>
      <c r="J45" s="216"/>
      <c r="K45" s="216"/>
      <c r="L45" s="216"/>
      <c r="M45" s="216"/>
      <c r="N45" s="216"/>
      <c r="O45" s="218" t="s">
        <v>815</v>
      </c>
    </row>
    <row r="46" spans="1:15">
      <c r="A46" s="274"/>
      <c r="B46" s="275"/>
      <c r="C46" s="265">
        <v>35</v>
      </c>
      <c r="D46" s="238"/>
      <c r="E46" s="238">
        <v>1</v>
      </c>
      <c r="F46" s="165" t="s">
        <v>816</v>
      </c>
      <c r="G46" s="165">
        <v>8</v>
      </c>
      <c r="H46" s="165">
        <v>17</v>
      </c>
      <c r="I46" s="165">
        <v>158</v>
      </c>
      <c r="J46" s="165">
        <v>1</v>
      </c>
      <c r="K46" s="165">
        <v>5675</v>
      </c>
      <c r="L46" s="165">
        <v>1</v>
      </c>
      <c r="M46" s="165"/>
      <c r="N46" s="165"/>
      <c r="O46" s="165"/>
    </row>
    <row r="47" spans="1:15">
      <c r="A47" s="274"/>
      <c r="B47" s="275"/>
      <c r="C47" s="266"/>
      <c r="D47" s="238"/>
      <c r="E47" s="238">
        <v>2</v>
      </c>
      <c r="F47" s="165" t="s">
        <v>816</v>
      </c>
      <c r="G47" s="165">
        <v>8</v>
      </c>
      <c r="H47" s="165">
        <v>17</v>
      </c>
      <c r="I47" s="165">
        <v>158</v>
      </c>
      <c r="J47" s="165">
        <v>1</v>
      </c>
      <c r="K47" s="165">
        <v>5675</v>
      </c>
      <c r="L47" s="165">
        <v>1</v>
      </c>
      <c r="M47" s="165"/>
      <c r="N47" s="165"/>
      <c r="O47" s="165"/>
    </row>
    <row r="48" spans="1:15">
      <c r="A48" s="274"/>
      <c r="B48" s="275"/>
      <c r="C48" s="266"/>
      <c r="D48" s="238"/>
      <c r="E48" s="238">
        <v>2</v>
      </c>
      <c r="F48" s="243" t="s">
        <v>771</v>
      </c>
      <c r="G48" s="165">
        <v>3</v>
      </c>
      <c r="H48" s="165">
        <v>4</v>
      </c>
      <c r="I48" s="165">
        <v>51</v>
      </c>
      <c r="J48" s="165">
        <v>0</v>
      </c>
      <c r="K48" s="165">
        <v>2188</v>
      </c>
      <c r="L48" s="165">
        <v>0</v>
      </c>
      <c r="M48" s="165"/>
      <c r="N48" s="165"/>
      <c r="O48" s="165" t="s">
        <v>817</v>
      </c>
    </row>
    <row r="49" spans="1:15">
      <c r="A49" s="274"/>
      <c r="B49" s="275"/>
      <c r="C49" s="266"/>
      <c r="D49" s="238"/>
      <c r="E49" s="238">
        <v>2</v>
      </c>
      <c r="F49" s="4" t="s">
        <v>769</v>
      </c>
      <c r="G49" s="165">
        <v>2</v>
      </c>
      <c r="H49" s="165">
        <v>4</v>
      </c>
      <c r="I49" s="165">
        <v>48</v>
      </c>
      <c r="J49" s="174">
        <v>0</v>
      </c>
      <c r="K49" s="174">
        <v>1931</v>
      </c>
      <c r="L49" s="174">
        <v>0</v>
      </c>
      <c r="M49" s="165"/>
      <c r="N49" s="165"/>
      <c r="O49" s="165"/>
    </row>
    <row r="50" spans="1:15">
      <c r="A50" s="274"/>
      <c r="B50" s="275"/>
      <c r="C50" s="266"/>
      <c r="D50" s="238">
        <v>15.138</v>
      </c>
      <c r="E50" s="238">
        <v>2</v>
      </c>
      <c r="F50" s="17" t="s">
        <v>767</v>
      </c>
      <c r="G50" s="165">
        <v>10</v>
      </c>
      <c r="H50" s="165">
        <v>17</v>
      </c>
      <c r="I50" s="165">
        <v>136</v>
      </c>
      <c r="J50" s="174">
        <v>1</v>
      </c>
      <c r="K50" s="174">
        <v>4274</v>
      </c>
      <c r="L50" s="174">
        <v>0</v>
      </c>
      <c r="M50" s="165"/>
      <c r="N50" s="165"/>
      <c r="O50" s="165"/>
    </row>
    <row r="51" spans="1:15">
      <c r="A51" s="274"/>
      <c r="B51" s="275"/>
      <c r="C51" s="266"/>
      <c r="D51" s="238">
        <v>15.138</v>
      </c>
      <c r="E51" s="238">
        <v>2</v>
      </c>
      <c r="F51" s="17" t="s">
        <v>768</v>
      </c>
      <c r="G51" s="165">
        <v>5</v>
      </c>
      <c r="H51" s="165">
        <v>5</v>
      </c>
      <c r="I51" s="165">
        <v>32</v>
      </c>
      <c r="J51" s="174">
        <v>0</v>
      </c>
      <c r="K51" s="174">
        <v>984</v>
      </c>
      <c r="L51" s="174">
        <v>0</v>
      </c>
      <c r="M51" s="165"/>
      <c r="N51" s="165"/>
      <c r="O51" s="165"/>
    </row>
    <row r="52" spans="1:15">
      <c r="A52" s="274"/>
      <c r="B52" s="275"/>
      <c r="C52" s="266"/>
      <c r="D52" s="238">
        <v>7.64</v>
      </c>
      <c r="E52" s="238">
        <v>2</v>
      </c>
      <c r="F52" s="20" t="s">
        <v>818</v>
      </c>
      <c r="G52" s="165">
        <v>0</v>
      </c>
      <c r="H52" s="165">
        <v>4</v>
      </c>
      <c r="I52" s="165">
        <v>59</v>
      </c>
      <c r="J52" s="174">
        <v>1</v>
      </c>
      <c r="K52" s="174">
        <v>3430</v>
      </c>
      <c r="L52" s="174">
        <v>2</v>
      </c>
      <c r="M52" s="247"/>
      <c r="N52" s="247"/>
      <c r="O52" s="165" t="s">
        <v>819</v>
      </c>
    </row>
    <row r="53" spans="1:15">
      <c r="A53" s="274"/>
      <c r="B53" s="275"/>
      <c r="C53" s="266"/>
      <c r="D53" s="238"/>
      <c r="E53" s="238">
        <v>3</v>
      </c>
      <c r="F53" s="243" t="s">
        <v>820</v>
      </c>
      <c r="G53" s="165">
        <v>0</v>
      </c>
      <c r="H53" s="165">
        <v>1</v>
      </c>
      <c r="I53" s="165">
        <v>4</v>
      </c>
      <c r="J53" s="174">
        <v>0</v>
      </c>
      <c r="K53" s="174">
        <v>0</v>
      </c>
      <c r="L53" s="174">
        <v>0</v>
      </c>
      <c r="M53" s="247"/>
      <c r="N53" s="247"/>
      <c r="O53" s="165" t="s">
        <v>819</v>
      </c>
    </row>
    <row r="54" spans="1:15" ht="45">
      <c r="A54" s="274"/>
      <c r="B54" s="275"/>
      <c r="C54" s="266"/>
      <c r="D54" s="238"/>
      <c r="E54" s="238"/>
      <c r="F54" s="14" t="s">
        <v>778</v>
      </c>
      <c r="G54" s="165"/>
      <c r="H54" s="165"/>
      <c r="I54" s="165"/>
      <c r="J54" s="174"/>
      <c r="K54" s="245"/>
      <c r="L54" s="245"/>
      <c r="M54" s="225"/>
      <c r="N54" s="222"/>
      <c r="O54" s="174" t="s">
        <v>821</v>
      </c>
    </row>
    <row r="55" spans="1:15" ht="45">
      <c r="A55" s="274"/>
      <c r="B55" s="275"/>
      <c r="C55" s="266"/>
      <c r="D55" s="238"/>
      <c r="E55" s="238"/>
      <c r="F55" s="14" t="s">
        <v>780</v>
      </c>
      <c r="G55" s="165"/>
      <c r="H55" s="165"/>
      <c r="I55" s="165"/>
      <c r="J55" s="174"/>
      <c r="K55" s="245"/>
      <c r="L55" s="245"/>
      <c r="M55" s="225"/>
      <c r="N55" s="222"/>
      <c r="O55" s="174" t="s">
        <v>822</v>
      </c>
    </row>
    <row r="56" spans="1:15" ht="30">
      <c r="A56" s="274"/>
      <c r="B56" s="275"/>
      <c r="C56" s="266"/>
      <c r="D56" s="238"/>
      <c r="E56" s="238"/>
      <c r="F56" s="14" t="s">
        <v>782</v>
      </c>
      <c r="G56" s="165"/>
      <c r="H56" s="165"/>
      <c r="I56" s="165"/>
      <c r="J56" s="174"/>
      <c r="K56" s="245"/>
      <c r="L56" s="245"/>
      <c r="M56" s="225"/>
      <c r="N56" s="222"/>
      <c r="O56" s="174" t="s">
        <v>823</v>
      </c>
    </row>
    <row r="57" spans="1:15" ht="30">
      <c r="A57" s="274"/>
      <c r="B57" s="275"/>
      <c r="C57" s="266"/>
      <c r="D57" s="238"/>
      <c r="E57" s="238"/>
      <c r="F57" s="243" t="s">
        <v>824</v>
      </c>
      <c r="G57" s="165"/>
      <c r="H57" s="165"/>
      <c r="I57" s="165"/>
      <c r="J57" s="174"/>
      <c r="K57" s="174"/>
      <c r="L57" s="174"/>
      <c r="M57" s="247"/>
      <c r="N57" s="247"/>
      <c r="O57" s="174" t="s">
        <v>825</v>
      </c>
    </row>
    <row r="58" spans="1:15" ht="30">
      <c r="A58" s="274"/>
      <c r="B58" s="275"/>
      <c r="C58" s="266"/>
      <c r="D58" s="238"/>
      <c r="E58" s="238"/>
      <c r="F58" s="243" t="s">
        <v>826</v>
      </c>
      <c r="G58" s="165"/>
      <c r="H58" s="165"/>
      <c r="I58" s="165"/>
      <c r="J58" s="174"/>
      <c r="K58" s="174"/>
      <c r="L58" s="174"/>
      <c r="M58" s="247"/>
      <c r="N58" s="247"/>
      <c r="O58" s="174" t="s">
        <v>827</v>
      </c>
    </row>
    <row r="59" spans="1:15" ht="30">
      <c r="A59" s="274"/>
      <c r="B59" s="275"/>
      <c r="C59" s="266"/>
      <c r="D59" s="238"/>
      <c r="E59" s="238"/>
      <c r="F59" s="243" t="s">
        <v>828</v>
      </c>
      <c r="G59" s="165"/>
      <c r="H59" s="165"/>
      <c r="I59" s="165"/>
      <c r="J59" s="174"/>
      <c r="K59" s="174"/>
      <c r="L59" s="174"/>
      <c r="M59" s="247"/>
      <c r="N59" s="247"/>
      <c r="O59" s="174" t="s">
        <v>829</v>
      </c>
    </row>
    <row r="60" spans="1:15">
      <c r="A60" s="274"/>
      <c r="B60" s="275"/>
      <c r="C60" s="267"/>
      <c r="D60" s="238"/>
      <c r="E60" s="238"/>
      <c r="F60" s="243" t="s">
        <v>183</v>
      </c>
      <c r="G60" s="165"/>
      <c r="H60" s="165"/>
      <c r="I60" s="165"/>
      <c r="J60" s="174"/>
      <c r="K60" s="174"/>
      <c r="L60" s="174"/>
      <c r="M60" s="247"/>
      <c r="N60" s="247"/>
      <c r="O60" s="174" t="s">
        <v>830</v>
      </c>
    </row>
    <row r="61" spans="1:15">
      <c r="A61" s="274"/>
      <c r="B61" s="275"/>
      <c r="C61" s="268">
        <v>36</v>
      </c>
      <c r="D61" s="242"/>
      <c r="E61" s="242">
        <v>1</v>
      </c>
      <c r="F61" s="11" t="s">
        <v>831</v>
      </c>
      <c r="G61" s="216">
        <v>11</v>
      </c>
      <c r="H61" s="216">
        <v>24</v>
      </c>
      <c r="I61" s="216">
        <v>412</v>
      </c>
      <c r="J61" s="218">
        <v>1</v>
      </c>
      <c r="K61" s="218">
        <v>22376</v>
      </c>
      <c r="L61" s="218">
        <v>3</v>
      </c>
      <c r="M61" s="248"/>
      <c r="N61" s="234"/>
      <c r="O61" s="216" t="s">
        <v>832</v>
      </c>
    </row>
    <row r="62" spans="1:15">
      <c r="A62" s="274"/>
      <c r="B62" s="275"/>
      <c r="C62" s="269"/>
      <c r="D62" s="242">
        <v>4.25</v>
      </c>
      <c r="E62" s="242">
        <v>2</v>
      </c>
      <c r="F62" s="86" t="s">
        <v>833</v>
      </c>
      <c r="G62" s="216">
        <v>11</v>
      </c>
      <c r="H62" s="216">
        <v>24</v>
      </c>
      <c r="I62" s="216">
        <v>220</v>
      </c>
      <c r="J62" s="218">
        <v>1</v>
      </c>
      <c r="K62" s="218">
        <v>12238</v>
      </c>
      <c r="L62" s="218">
        <v>3</v>
      </c>
      <c r="M62" s="248"/>
      <c r="N62" s="234"/>
      <c r="O62" s="216"/>
    </row>
    <row r="63" spans="1:15">
      <c r="A63" s="274"/>
      <c r="B63" s="275"/>
      <c r="C63" s="269"/>
      <c r="D63" s="242">
        <v>15.138</v>
      </c>
      <c r="E63" s="242">
        <v>2</v>
      </c>
      <c r="F63" s="86" t="s">
        <v>834</v>
      </c>
      <c r="G63" s="216">
        <v>5</v>
      </c>
      <c r="H63" s="216">
        <v>5</v>
      </c>
      <c r="I63" s="216">
        <v>32</v>
      </c>
      <c r="J63" s="218">
        <v>0</v>
      </c>
      <c r="K63" s="218">
        <v>984</v>
      </c>
      <c r="L63" s="218">
        <v>0</v>
      </c>
      <c r="M63" s="248"/>
      <c r="N63" s="234"/>
      <c r="O63" s="216"/>
    </row>
    <row r="64" spans="1:15">
      <c r="A64" s="274"/>
      <c r="B64" s="275"/>
      <c r="C64" s="269"/>
      <c r="D64" s="249"/>
      <c r="E64" s="242">
        <v>2</v>
      </c>
      <c r="F64" s="10" t="s">
        <v>835</v>
      </c>
      <c r="G64" s="216">
        <v>0</v>
      </c>
      <c r="H64" s="216">
        <v>2</v>
      </c>
      <c r="I64" s="216">
        <v>12</v>
      </c>
      <c r="J64" s="218">
        <v>0</v>
      </c>
      <c r="K64" s="218">
        <v>563</v>
      </c>
      <c r="L64" s="218">
        <v>0</v>
      </c>
      <c r="M64" s="248"/>
      <c r="N64" s="234"/>
      <c r="O64" s="216"/>
    </row>
    <row r="65" spans="1:15">
      <c r="A65" s="274"/>
      <c r="B65" s="275"/>
      <c r="C65" s="269"/>
      <c r="D65" s="242"/>
      <c r="E65" s="242">
        <v>2</v>
      </c>
      <c r="F65" s="10" t="s">
        <v>836</v>
      </c>
      <c r="G65" s="216">
        <v>3</v>
      </c>
      <c r="H65" s="216">
        <v>4</v>
      </c>
      <c r="I65" s="216">
        <v>51</v>
      </c>
      <c r="J65" s="218">
        <v>0</v>
      </c>
      <c r="K65" s="218">
        <v>2188</v>
      </c>
      <c r="L65" s="218">
        <v>0</v>
      </c>
      <c r="M65" s="248"/>
      <c r="N65" s="234"/>
      <c r="O65" s="216"/>
    </row>
    <row r="66" spans="1:15">
      <c r="A66" s="274"/>
      <c r="B66" s="275"/>
      <c r="C66" s="269"/>
      <c r="D66" s="242"/>
      <c r="E66" s="242">
        <v>2</v>
      </c>
      <c r="F66" s="86" t="s">
        <v>837</v>
      </c>
      <c r="G66" s="216">
        <v>0</v>
      </c>
      <c r="H66" s="216">
        <v>0</v>
      </c>
      <c r="I66" s="216">
        <v>3</v>
      </c>
      <c r="J66" s="218">
        <v>0</v>
      </c>
      <c r="K66" s="218">
        <v>0</v>
      </c>
      <c r="L66" s="218">
        <v>0</v>
      </c>
      <c r="M66" s="248"/>
      <c r="N66" s="234"/>
      <c r="O66" s="216" t="s">
        <v>773</v>
      </c>
    </row>
    <row r="67" spans="1:15" ht="30">
      <c r="A67" s="274"/>
      <c r="B67" s="275"/>
      <c r="C67" s="269"/>
      <c r="D67" s="242">
        <v>20.175000000000001</v>
      </c>
      <c r="E67" s="242">
        <v>2</v>
      </c>
      <c r="F67" s="86" t="s">
        <v>838</v>
      </c>
      <c r="G67" s="216">
        <v>0</v>
      </c>
      <c r="H67" s="216">
        <v>5</v>
      </c>
      <c r="I67" s="216">
        <v>37</v>
      </c>
      <c r="J67" s="218">
        <v>1</v>
      </c>
      <c r="K67" s="218">
        <v>1447</v>
      </c>
      <c r="L67" s="218">
        <v>5</v>
      </c>
      <c r="M67" s="248"/>
      <c r="N67" s="234"/>
      <c r="O67" s="216"/>
    </row>
    <row r="68" spans="1:15" ht="30">
      <c r="A68" s="274"/>
      <c r="B68" s="275"/>
      <c r="C68" s="269"/>
      <c r="D68" s="242">
        <v>20.175000000000001</v>
      </c>
      <c r="E68" s="242">
        <v>3</v>
      </c>
      <c r="F68" s="86" t="s">
        <v>839</v>
      </c>
      <c r="G68" s="217">
        <v>0</v>
      </c>
      <c r="H68" s="217">
        <v>2</v>
      </c>
      <c r="I68" s="217">
        <v>3</v>
      </c>
      <c r="J68" s="217">
        <v>0</v>
      </c>
      <c r="K68" s="217">
        <v>33</v>
      </c>
      <c r="L68" s="217">
        <v>0</v>
      </c>
      <c r="M68" s="248"/>
      <c r="N68" s="234"/>
      <c r="O68" s="216"/>
    </row>
    <row r="69" spans="1:15" ht="60">
      <c r="A69" s="274"/>
      <c r="B69" s="275"/>
      <c r="C69" s="269"/>
      <c r="D69" s="242"/>
      <c r="E69" s="242"/>
      <c r="F69" s="244" t="s">
        <v>776</v>
      </c>
      <c r="G69" s="217"/>
      <c r="H69" s="217"/>
      <c r="I69" s="217"/>
      <c r="J69" s="217"/>
      <c r="K69" s="217"/>
      <c r="L69" s="217"/>
      <c r="M69" s="248"/>
      <c r="N69" s="234"/>
      <c r="O69" s="218" t="s">
        <v>777</v>
      </c>
    </row>
    <row r="70" spans="1:15" ht="30">
      <c r="A70" s="274"/>
      <c r="B70" s="275"/>
      <c r="C70" s="269"/>
      <c r="D70" s="242"/>
      <c r="E70" s="242"/>
      <c r="F70" s="14" t="s">
        <v>778</v>
      </c>
      <c r="G70" s="216"/>
      <c r="H70" s="216"/>
      <c r="I70" s="216"/>
      <c r="J70" s="218"/>
      <c r="K70" s="250"/>
      <c r="L70" s="250"/>
      <c r="M70" s="248"/>
      <c r="N70" s="234"/>
      <c r="O70" s="218" t="s">
        <v>779</v>
      </c>
    </row>
    <row r="71" spans="1:15" ht="30">
      <c r="A71" s="274"/>
      <c r="B71" s="275"/>
      <c r="C71" s="269"/>
      <c r="D71" s="242"/>
      <c r="E71" s="242"/>
      <c r="F71" s="14" t="s">
        <v>780</v>
      </c>
      <c r="G71" s="216"/>
      <c r="H71" s="216"/>
      <c r="I71" s="216"/>
      <c r="J71" s="218"/>
      <c r="K71" s="250"/>
      <c r="L71" s="250"/>
      <c r="M71" s="248"/>
      <c r="N71" s="234"/>
      <c r="O71" s="218" t="s">
        <v>781</v>
      </c>
    </row>
    <row r="72" spans="1:15" ht="30">
      <c r="A72" s="274"/>
      <c r="B72" s="275"/>
      <c r="C72" s="269"/>
      <c r="D72" s="242"/>
      <c r="E72" s="242"/>
      <c r="F72" s="14" t="s">
        <v>782</v>
      </c>
      <c r="G72" s="216"/>
      <c r="H72" s="216"/>
      <c r="I72" s="216"/>
      <c r="J72" s="218"/>
      <c r="K72" s="250"/>
      <c r="L72" s="250"/>
      <c r="M72" s="248"/>
      <c r="N72" s="234"/>
      <c r="O72" s="218" t="s">
        <v>783</v>
      </c>
    </row>
    <row r="73" spans="1:15">
      <c r="A73" s="274"/>
      <c r="B73" s="275"/>
      <c r="C73" s="265">
        <v>37</v>
      </c>
      <c r="D73" s="238"/>
      <c r="E73" s="238">
        <v>1</v>
      </c>
      <c r="F73" s="16" t="s">
        <v>840</v>
      </c>
      <c r="G73" s="165">
        <v>2</v>
      </c>
      <c r="H73" s="165">
        <v>18</v>
      </c>
      <c r="I73" s="165">
        <v>101</v>
      </c>
      <c r="J73" s="165">
        <v>1</v>
      </c>
      <c r="K73" s="165">
        <v>1254</v>
      </c>
      <c r="L73" s="165">
        <v>0</v>
      </c>
      <c r="M73" s="165"/>
      <c r="N73" s="165"/>
      <c r="O73" s="165"/>
    </row>
    <row r="74" spans="1:15" ht="30">
      <c r="A74" s="274"/>
      <c r="B74" s="275"/>
      <c r="C74" s="266"/>
      <c r="D74" s="238"/>
      <c r="E74" s="238">
        <v>2</v>
      </c>
      <c r="F74" s="244" t="s">
        <v>841</v>
      </c>
      <c r="G74" s="165"/>
      <c r="H74" s="165"/>
      <c r="I74" s="165"/>
      <c r="J74" s="165"/>
      <c r="K74" s="165"/>
      <c r="L74" s="165"/>
      <c r="M74" s="165"/>
      <c r="N74" s="165"/>
      <c r="O74" s="174" t="s">
        <v>842</v>
      </c>
    </row>
    <row r="75" spans="1:15">
      <c r="A75" s="274"/>
      <c r="B75" s="275"/>
      <c r="C75" s="266"/>
      <c r="D75" s="238">
        <v>15.138</v>
      </c>
      <c r="E75" s="238">
        <v>2</v>
      </c>
      <c r="F75" s="244" t="s">
        <v>776</v>
      </c>
      <c r="G75" s="165"/>
      <c r="H75" s="165"/>
      <c r="I75" s="165"/>
      <c r="J75" s="165"/>
      <c r="K75" s="165"/>
      <c r="L75" s="165"/>
      <c r="M75" s="165"/>
      <c r="N75" s="165"/>
      <c r="O75" s="165"/>
    </row>
    <row r="76" spans="1:15">
      <c r="A76" s="274"/>
      <c r="B76" s="275"/>
      <c r="C76" s="266"/>
      <c r="D76" s="238">
        <v>15.138</v>
      </c>
      <c r="E76" s="238">
        <v>2</v>
      </c>
      <c r="F76" s="17" t="s">
        <v>768</v>
      </c>
      <c r="G76" s="165">
        <v>5</v>
      </c>
      <c r="H76" s="165">
        <v>5</v>
      </c>
      <c r="I76" s="165">
        <v>32</v>
      </c>
      <c r="J76" s="165">
        <v>0</v>
      </c>
      <c r="K76" s="165">
        <v>984</v>
      </c>
      <c r="L76" s="165">
        <v>0</v>
      </c>
      <c r="M76" s="165"/>
      <c r="N76" s="165"/>
      <c r="O76" s="165" t="s">
        <v>843</v>
      </c>
    </row>
    <row r="77" spans="1:15">
      <c r="A77" s="274"/>
      <c r="B77" s="275"/>
      <c r="C77" s="266"/>
      <c r="D77" s="238">
        <v>4.25</v>
      </c>
      <c r="E77" s="238">
        <v>2</v>
      </c>
      <c r="F77" s="165" t="s">
        <v>844</v>
      </c>
      <c r="G77" s="165">
        <v>11</v>
      </c>
      <c r="H77" s="165">
        <v>24</v>
      </c>
      <c r="I77" s="165">
        <v>220</v>
      </c>
      <c r="J77" s="165">
        <v>1</v>
      </c>
      <c r="K77" s="165">
        <v>12238</v>
      </c>
      <c r="L77" s="165">
        <v>3</v>
      </c>
      <c r="M77" s="165"/>
      <c r="N77" s="165"/>
      <c r="O77" s="165"/>
    </row>
    <row r="78" spans="1:15">
      <c r="A78" s="274"/>
      <c r="B78" s="275"/>
      <c r="C78" s="266"/>
      <c r="D78" s="238">
        <v>8.75</v>
      </c>
      <c r="E78" s="238">
        <v>2</v>
      </c>
      <c r="F78" s="16" t="s">
        <v>845</v>
      </c>
      <c r="G78" s="165">
        <v>0</v>
      </c>
      <c r="H78" s="165">
        <v>0</v>
      </c>
      <c r="I78" s="165">
        <v>46</v>
      </c>
      <c r="J78" s="165">
        <v>0</v>
      </c>
      <c r="K78" s="165">
        <v>529</v>
      </c>
      <c r="L78" s="165">
        <v>0</v>
      </c>
      <c r="M78" s="165"/>
      <c r="N78" s="165"/>
      <c r="O78" s="165"/>
    </row>
    <row r="79" spans="1:15">
      <c r="A79" s="274"/>
      <c r="B79" s="275"/>
      <c r="C79" s="266"/>
      <c r="D79" s="238">
        <v>8.7899999999999991</v>
      </c>
      <c r="E79" s="238">
        <v>2</v>
      </c>
      <c r="F79" s="16" t="s">
        <v>795</v>
      </c>
      <c r="G79" s="165">
        <v>0</v>
      </c>
      <c r="H79" s="165">
        <v>3</v>
      </c>
      <c r="I79" s="165">
        <v>32</v>
      </c>
      <c r="J79" s="165">
        <v>0</v>
      </c>
      <c r="K79" s="165">
        <v>1594</v>
      </c>
      <c r="L79" s="165">
        <v>0</v>
      </c>
      <c r="M79" s="165"/>
      <c r="N79" s="165"/>
      <c r="O79" s="165"/>
    </row>
    <row r="80" spans="1:15">
      <c r="A80" s="274"/>
      <c r="B80" s="275"/>
      <c r="C80" s="266"/>
      <c r="D80" s="238"/>
      <c r="E80" s="238">
        <v>2</v>
      </c>
      <c r="F80" s="16" t="s">
        <v>846</v>
      </c>
      <c r="G80" s="165">
        <v>0</v>
      </c>
      <c r="H80" s="165">
        <v>4</v>
      </c>
      <c r="I80" s="165">
        <v>7</v>
      </c>
      <c r="J80" s="165">
        <v>0</v>
      </c>
      <c r="K80" s="165">
        <v>0</v>
      </c>
      <c r="L80" s="165">
        <v>0</v>
      </c>
      <c r="M80" s="165"/>
      <c r="N80" s="165"/>
      <c r="O80" s="165" t="s">
        <v>847</v>
      </c>
    </row>
    <row r="81" spans="1:15" ht="30">
      <c r="A81" s="274"/>
      <c r="B81" s="275"/>
      <c r="C81" s="266"/>
      <c r="D81" s="238">
        <v>20.175000000000001</v>
      </c>
      <c r="E81" s="238">
        <v>2</v>
      </c>
      <c r="F81" s="17" t="s">
        <v>848</v>
      </c>
      <c r="G81" s="165">
        <v>0</v>
      </c>
      <c r="H81" s="165">
        <v>5</v>
      </c>
      <c r="I81" s="165">
        <v>37</v>
      </c>
      <c r="J81" s="165">
        <v>1</v>
      </c>
      <c r="K81" s="165">
        <v>1447</v>
      </c>
      <c r="L81" s="165">
        <v>5</v>
      </c>
      <c r="M81" s="165"/>
      <c r="N81" s="165"/>
      <c r="O81" s="165"/>
    </row>
    <row r="82" spans="1:15" ht="30">
      <c r="A82" s="274"/>
      <c r="B82" s="275"/>
      <c r="C82" s="267"/>
      <c r="D82" s="238">
        <v>20.175000000000001</v>
      </c>
      <c r="E82" s="238">
        <v>3</v>
      </c>
      <c r="F82" s="17" t="s">
        <v>775</v>
      </c>
      <c r="G82" s="165">
        <v>0</v>
      </c>
      <c r="H82" s="165">
        <v>2</v>
      </c>
      <c r="I82" s="165">
        <v>3</v>
      </c>
      <c r="J82" s="165">
        <v>0</v>
      </c>
      <c r="K82" s="165">
        <v>33</v>
      </c>
      <c r="L82" s="165">
        <v>0</v>
      </c>
      <c r="M82" s="165"/>
      <c r="N82" s="165"/>
      <c r="O82" s="165"/>
    </row>
    <row r="83" spans="1:15">
      <c r="A83" s="240"/>
      <c r="B83" s="240"/>
      <c r="C83" s="240"/>
      <c r="D83" s="240"/>
      <c r="E83" s="240"/>
      <c r="F83"/>
      <c r="G83" s="240"/>
      <c r="H83" s="240"/>
      <c r="I83" s="240"/>
      <c r="J83" s="240"/>
      <c r="K83" s="240"/>
      <c r="L83" s="240"/>
      <c r="M83" s="240"/>
      <c r="N83" s="240"/>
      <c r="O83" s="240"/>
    </row>
    <row r="84" spans="1:15">
      <c r="A84" s="240"/>
      <c r="B84" s="240"/>
      <c r="C84" s="240"/>
      <c r="D84" s="240"/>
      <c r="E84" s="240"/>
      <c r="F84"/>
      <c r="G84" s="240"/>
      <c r="H84" s="240"/>
      <c r="I84" s="240"/>
      <c r="J84" s="240"/>
      <c r="K84" s="240"/>
      <c r="L84" s="240"/>
      <c r="M84" s="240"/>
      <c r="N84" s="240"/>
      <c r="O84" s="240"/>
    </row>
    <row r="85" spans="1:15">
      <c r="A85" s="240"/>
      <c r="B85" s="240"/>
      <c r="C85" s="240"/>
      <c r="D85" s="240"/>
      <c r="E85" s="240"/>
      <c r="F85"/>
      <c r="G85" s="240"/>
      <c r="H85" s="240"/>
      <c r="I85" s="240"/>
      <c r="J85" s="240"/>
      <c r="K85" s="240"/>
      <c r="L85" s="240"/>
      <c r="M85" s="240"/>
      <c r="N85" s="240"/>
      <c r="O85" s="240"/>
    </row>
    <row r="86" spans="1:15">
      <c r="A86" s="240"/>
      <c r="B86" s="240"/>
      <c r="C86" s="240"/>
      <c r="D86" s="240"/>
      <c r="E86" s="240"/>
      <c r="F86"/>
      <c r="G86" s="240"/>
      <c r="H86" s="240"/>
      <c r="I86" s="240"/>
      <c r="J86" s="240"/>
      <c r="K86" s="240"/>
      <c r="L86" s="240"/>
      <c r="M86" s="240"/>
      <c r="N86" s="240"/>
      <c r="O86" s="240"/>
    </row>
    <row r="87" spans="1:15">
      <c r="A87" s="240"/>
      <c r="B87" s="240"/>
      <c r="C87" s="240"/>
      <c r="D87" s="240"/>
      <c r="E87" s="240"/>
      <c r="F87"/>
      <c r="G87" s="240"/>
      <c r="H87" s="240"/>
      <c r="I87" s="240"/>
      <c r="J87" s="240"/>
      <c r="K87" s="240"/>
      <c r="L87" s="240"/>
      <c r="M87" s="240"/>
      <c r="N87" s="240"/>
      <c r="O87" s="240"/>
    </row>
    <row r="88" spans="1:15">
      <c r="A88" s="240"/>
      <c r="B88" s="240"/>
      <c r="C88" s="240"/>
      <c r="D88" s="240"/>
      <c r="E88" s="240"/>
      <c r="F88"/>
      <c r="G88" s="240"/>
      <c r="H88" s="240"/>
      <c r="I88" s="240"/>
      <c r="J88" s="240"/>
      <c r="K88" s="240"/>
      <c r="L88" s="240"/>
      <c r="M88" s="240"/>
      <c r="N88" s="240"/>
      <c r="O88" s="240"/>
    </row>
    <row r="89" spans="1:15">
      <c r="A89" s="240"/>
      <c r="B89" s="240"/>
      <c r="C89" s="240"/>
      <c r="D89" s="240"/>
      <c r="E89" s="240"/>
      <c r="F89"/>
      <c r="G89" s="240"/>
      <c r="H89" s="240"/>
      <c r="I89" s="240"/>
      <c r="J89" s="240"/>
      <c r="K89" s="240"/>
      <c r="L89" s="240"/>
      <c r="M89" s="240"/>
      <c r="N89" s="240"/>
      <c r="O89" s="240"/>
    </row>
    <row r="90" spans="1:15">
      <c r="A90" s="240"/>
      <c r="B90" s="240"/>
      <c r="C90" s="240"/>
      <c r="D90" s="240"/>
      <c r="E90" s="240"/>
      <c r="F90"/>
      <c r="G90" s="240"/>
      <c r="H90" s="240"/>
      <c r="I90" s="240"/>
      <c r="J90" s="240"/>
      <c r="K90" s="240"/>
      <c r="L90" s="240"/>
      <c r="M90" s="240"/>
      <c r="N90" s="240"/>
      <c r="O90" s="240"/>
    </row>
    <row r="91" spans="1:15">
      <c r="A91" s="240"/>
      <c r="B91" s="240"/>
      <c r="C91" s="240"/>
      <c r="D91" s="240"/>
      <c r="E91" s="240"/>
      <c r="F91"/>
      <c r="G91" s="240"/>
      <c r="H91" s="240"/>
      <c r="I91" s="240"/>
      <c r="J91" s="240"/>
      <c r="K91" s="240"/>
      <c r="L91" s="240"/>
      <c r="M91" s="240"/>
      <c r="N91" s="240"/>
      <c r="O91" s="240"/>
    </row>
    <row r="92" spans="1:15">
      <c r="A92" s="240"/>
      <c r="B92" s="240"/>
      <c r="C92" s="240"/>
      <c r="D92" s="240"/>
      <c r="E92" s="240"/>
      <c r="F92"/>
      <c r="G92" s="240"/>
      <c r="H92" s="240"/>
      <c r="I92" s="240"/>
      <c r="J92" s="240"/>
      <c r="K92" s="240"/>
      <c r="L92" s="240"/>
      <c r="M92" s="240"/>
      <c r="N92" s="240"/>
      <c r="O92" s="240"/>
    </row>
    <row r="93" spans="1:15">
      <c r="A93" s="240"/>
      <c r="B93" s="240"/>
      <c r="C93" s="240"/>
      <c r="D93" s="240"/>
      <c r="E93" s="240"/>
      <c r="F93"/>
      <c r="G93" s="240"/>
      <c r="H93" s="240"/>
      <c r="I93" s="240"/>
      <c r="J93" s="240"/>
      <c r="K93" s="240"/>
      <c r="L93" s="240"/>
      <c r="M93" s="240"/>
      <c r="N93" s="240"/>
      <c r="O93" s="240"/>
    </row>
    <row r="94" spans="1:15">
      <c r="A94" s="240"/>
      <c r="B94" s="240"/>
      <c r="C94" s="240"/>
      <c r="D94" s="240"/>
      <c r="E94" s="240"/>
      <c r="F94"/>
      <c r="G94" s="240"/>
      <c r="H94" s="240"/>
      <c r="I94" s="240"/>
      <c r="J94" s="240"/>
      <c r="K94" s="240"/>
      <c r="L94" s="240"/>
      <c r="M94" s="240"/>
      <c r="N94" s="240"/>
      <c r="O94" s="240"/>
    </row>
    <row r="95" spans="1:15">
      <c r="A95" s="240"/>
      <c r="B95" s="240"/>
      <c r="C95" s="240"/>
      <c r="D95" s="240"/>
      <c r="E95" s="240"/>
      <c r="F95"/>
      <c r="G95" s="240"/>
      <c r="H95" s="240"/>
      <c r="I95" s="240"/>
      <c r="J95" s="240"/>
      <c r="K95" s="240"/>
      <c r="L95" s="240"/>
      <c r="M95" s="240"/>
      <c r="N95" s="240"/>
      <c r="O95" s="240"/>
    </row>
    <row r="96" spans="1:15">
      <c r="A96" s="240"/>
      <c r="B96" s="240"/>
      <c r="C96" s="240"/>
      <c r="D96" s="240"/>
      <c r="E96" s="240"/>
      <c r="F96"/>
      <c r="G96" s="240"/>
      <c r="H96" s="240"/>
      <c r="I96" s="240"/>
      <c r="J96" s="240"/>
      <c r="K96" s="240"/>
      <c r="L96" s="240"/>
      <c r="M96" s="240"/>
      <c r="N96" s="240"/>
      <c r="O96" s="240"/>
    </row>
    <row r="97" spans="6:6">
      <c r="F97"/>
    </row>
    <row r="98" spans="6:6">
      <c r="F98"/>
    </row>
    <row r="99" spans="6:6">
      <c r="F99"/>
    </row>
  </sheetData>
  <mergeCells count="11">
    <mergeCell ref="A2:A82"/>
    <mergeCell ref="B2:B82"/>
    <mergeCell ref="C36:C37"/>
    <mergeCell ref="C19:C28"/>
    <mergeCell ref="C73:C82"/>
    <mergeCell ref="C29:C31"/>
    <mergeCell ref="C32:C35"/>
    <mergeCell ref="C44:C45"/>
    <mergeCell ref="C46:C60"/>
    <mergeCell ref="C4:C18"/>
    <mergeCell ref="C61:C7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F166-8456-4ED4-B141-8229B48303DC}">
  <dimension ref="A1:O136"/>
  <sheetViews>
    <sheetView zoomScaleNormal="100" workbookViewId="0">
      <pane ySplit="1" topLeftCell="A47" activePane="bottomLeft" state="frozen"/>
      <selection pane="bottomLeft" activeCell="D50" sqref="D50:O64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8.85546875" style="3" bestFit="1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3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5</v>
      </c>
      <c r="B2" s="275" t="s">
        <v>849</v>
      </c>
      <c r="C2" s="222">
        <v>38</v>
      </c>
      <c r="D2" s="238"/>
      <c r="E2" s="238"/>
      <c r="F2" s="20" t="s">
        <v>557</v>
      </c>
      <c r="G2" s="174"/>
      <c r="H2" s="174"/>
      <c r="I2" s="174"/>
      <c r="J2" s="165"/>
      <c r="K2" s="238"/>
      <c r="L2" s="238"/>
      <c r="M2" s="222"/>
      <c r="N2" s="222"/>
      <c r="O2" s="165" t="s">
        <v>850</v>
      </c>
    </row>
    <row r="3" spans="1:15">
      <c r="A3" s="274"/>
      <c r="B3" s="275"/>
      <c r="C3" s="234">
        <v>39</v>
      </c>
      <c r="D3" s="242"/>
      <c r="E3" s="242">
        <v>1</v>
      </c>
      <c r="F3" s="11" t="s">
        <v>851</v>
      </c>
      <c r="G3" s="216">
        <v>0</v>
      </c>
      <c r="H3" s="216">
        <v>4</v>
      </c>
      <c r="I3" s="216">
        <v>40</v>
      </c>
      <c r="J3" s="216">
        <v>1</v>
      </c>
      <c r="K3" s="216">
        <v>738</v>
      </c>
      <c r="L3" s="216">
        <v>0</v>
      </c>
      <c r="M3" s="234"/>
      <c r="N3" s="234"/>
      <c r="O3" s="216" t="s">
        <v>852</v>
      </c>
    </row>
    <row r="4" spans="1:15">
      <c r="A4" s="274"/>
      <c r="B4" s="275"/>
      <c r="C4" s="222">
        <v>40</v>
      </c>
      <c r="D4" s="238"/>
      <c r="E4" s="238">
        <v>1</v>
      </c>
      <c r="F4" s="17" t="s">
        <v>853</v>
      </c>
      <c r="G4" s="165">
        <v>0</v>
      </c>
      <c r="H4" s="165">
        <v>2</v>
      </c>
      <c r="I4" s="165">
        <v>14</v>
      </c>
      <c r="J4" s="174">
        <v>1</v>
      </c>
      <c r="K4" s="174">
        <v>67</v>
      </c>
      <c r="L4" s="174">
        <v>2</v>
      </c>
      <c r="M4" s="225"/>
      <c r="N4" s="222"/>
      <c r="O4" s="165"/>
    </row>
    <row r="5" spans="1:15">
      <c r="A5" s="274"/>
      <c r="B5" s="275"/>
      <c r="C5" s="268">
        <v>41</v>
      </c>
      <c r="D5" s="242"/>
      <c r="E5" s="242">
        <v>1</v>
      </c>
      <c r="F5" s="11" t="s">
        <v>854</v>
      </c>
      <c r="G5" s="217">
        <v>14</v>
      </c>
      <c r="H5" s="217">
        <v>54</v>
      </c>
      <c r="I5" s="217">
        <v>344</v>
      </c>
      <c r="J5" s="217">
        <v>1</v>
      </c>
      <c r="K5" s="217">
        <v>11426</v>
      </c>
      <c r="L5" s="217">
        <v>1</v>
      </c>
      <c r="M5" s="242"/>
      <c r="N5" s="216"/>
      <c r="O5" s="216"/>
    </row>
    <row r="6" spans="1:15">
      <c r="A6" s="274"/>
      <c r="B6" s="275"/>
      <c r="C6" s="269"/>
      <c r="D6" s="242"/>
      <c r="E6" s="242">
        <v>2</v>
      </c>
      <c r="F6" s="20" t="s">
        <v>855</v>
      </c>
      <c r="G6" s="217">
        <v>0</v>
      </c>
      <c r="H6" s="217">
        <v>2</v>
      </c>
      <c r="I6" s="217">
        <v>12</v>
      </c>
      <c r="J6" s="227">
        <v>0</v>
      </c>
      <c r="K6" s="227">
        <v>563</v>
      </c>
      <c r="L6" s="227">
        <v>0</v>
      </c>
      <c r="M6" s="242"/>
      <c r="N6" s="216"/>
      <c r="O6" s="216" t="s">
        <v>856</v>
      </c>
    </row>
    <row r="7" spans="1:15">
      <c r="A7" s="274"/>
      <c r="B7" s="275"/>
      <c r="C7" s="269"/>
      <c r="D7" s="242"/>
      <c r="E7" s="242">
        <v>2</v>
      </c>
      <c r="F7" s="20" t="s">
        <v>721</v>
      </c>
      <c r="G7" s="217">
        <v>3</v>
      </c>
      <c r="H7" s="217">
        <v>4</v>
      </c>
      <c r="I7" s="217">
        <v>51</v>
      </c>
      <c r="J7" s="227">
        <v>0</v>
      </c>
      <c r="K7" s="227">
        <v>2188</v>
      </c>
      <c r="L7" s="227">
        <v>0</v>
      </c>
      <c r="M7" s="242"/>
      <c r="N7" s="216"/>
      <c r="O7" s="216" t="s">
        <v>856</v>
      </c>
    </row>
    <row r="8" spans="1:15">
      <c r="A8" s="274"/>
      <c r="B8" s="275"/>
      <c r="C8" s="269"/>
      <c r="D8" s="242"/>
      <c r="E8" s="242">
        <v>2</v>
      </c>
      <c r="F8" s="11" t="s">
        <v>854</v>
      </c>
      <c r="G8" s="217">
        <v>14</v>
      </c>
      <c r="H8" s="217">
        <v>54</v>
      </c>
      <c r="I8" s="217">
        <v>344</v>
      </c>
      <c r="J8" s="217">
        <v>1</v>
      </c>
      <c r="K8" s="217">
        <v>11426</v>
      </c>
      <c r="L8" s="217">
        <v>1</v>
      </c>
      <c r="M8" s="242"/>
      <c r="N8" s="216"/>
      <c r="O8" s="216"/>
    </row>
    <row r="9" spans="1:15">
      <c r="A9" s="274"/>
      <c r="B9" s="275"/>
      <c r="C9" s="269"/>
      <c r="D9" s="242">
        <v>4.25</v>
      </c>
      <c r="E9" s="242">
        <v>2</v>
      </c>
      <c r="F9" s="11" t="s">
        <v>766</v>
      </c>
      <c r="G9" s="217">
        <v>11</v>
      </c>
      <c r="H9" s="217">
        <v>24</v>
      </c>
      <c r="I9" s="217">
        <v>220</v>
      </c>
      <c r="J9" s="217">
        <v>1</v>
      </c>
      <c r="K9" s="217">
        <v>12238</v>
      </c>
      <c r="L9" s="217">
        <v>3</v>
      </c>
      <c r="M9" s="242"/>
      <c r="N9" s="216"/>
      <c r="O9" s="9" t="s">
        <v>857</v>
      </c>
    </row>
    <row r="10" spans="1:15">
      <c r="A10" s="274"/>
      <c r="B10" s="275"/>
      <c r="C10" s="269"/>
      <c r="D10" s="242">
        <v>15.138</v>
      </c>
      <c r="E10" s="242">
        <v>2</v>
      </c>
      <c r="F10" s="11" t="s">
        <v>858</v>
      </c>
      <c r="G10" s="217">
        <v>10</v>
      </c>
      <c r="H10" s="217">
        <v>17</v>
      </c>
      <c r="I10" s="217">
        <v>136</v>
      </c>
      <c r="J10" s="217">
        <v>1</v>
      </c>
      <c r="K10" s="217">
        <v>4274</v>
      </c>
      <c r="L10" s="217">
        <v>0</v>
      </c>
      <c r="M10" s="234"/>
      <c r="N10" s="246"/>
      <c r="O10" s="9" t="s">
        <v>859</v>
      </c>
    </row>
    <row r="11" spans="1:15">
      <c r="A11" s="274"/>
      <c r="B11" s="275"/>
      <c r="C11" s="269"/>
      <c r="D11" s="242">
        <v>15.138</v>
      </c>
      <c r="E11" s="242">
        <v>2</v>
      </c>
      <c r="F11" s="11" t="s">
        <v>860</v>
      </c>
      <c r="G11" s="217">
        <v>5</v>
      </c>
      <c r="H11" s="217">
        <v>5</v>
      </c>
      <c r="I11" s="217">
        <v>32</v>
      </c>
      <c r="J11" s="217">
        <v>0</v>
      </c>
      <c r="K11" s="217">
        <v>984</v>
      </c>
      <c r="L11" s="217">
        <v>0</v>
      </c>
      <c r="M11" s="234"/>
      <c r="N11" s="246"/>
      <c r="O11" s="9"/>
    </row>
    <row r="12" spans="1:15" ht="30">
      <c r="A12" s="274"/>
      <c r="B12" s="275"/>
      <c r="C12" s="269"/>
      <c r="D12" s="242"/>
      <c r="E12" s="242">
        <v>2</v>
      </c>
      <c r="F12" s="11" t="s">
        <v>861</v>
      </c>
      <c r="G12" s="217">
        <v>0</v>
      </c>
      <c r="H12" s="217">
        <v>1</v>
      </c>
      <c r="I12" s="217">
        <v>6</v>
      </c>
      <c r="J12" s="217">
        <v>0</v>
      </c>
      <c r="K12" s="217">
        <v>6</v>
      </c>
      <c r="L12" s="217">
        <v>0</v>
      </c>
      <c r="M12" s="234"/>
      <c r="N12" s="246"/>
      <c r="O12" s="9"/>
    </row>
    <row r="13" spans="1:15">
      <c r="A13" s="274"/>
      <c r="B13" s="275"/>
      <c r="C13" s="269"/>
      <c r="D13" s="242"/>
      <c r="E13" s="242">
        <v>2</v>
      </c>
      <c r="F13" s="34" t="s">
        <v>862</v>
      </c>
      <c r="G13" s="217">
        <v>0</v>
      </c>
      <c r="H13" s="217">
        <v>1</v>
      </c>
      <c r="I13" s="217">
        <v>4</v>
      </c>
      <c r="J13" s="217">
        <v>0</v>
      </c>
      <c r="K13" s="217">
        <v>81</v>
      </c>
      <c r="L13" s="217">
        <v>0</v>
      </c>
      <c r="M13" s="234"/>
      <c r="N13" s="246"/>
      <c r="O13" s="9" t="s">
        <v>682</v>
      </c>
    </row>
    <row r="14" spans="1:15">
      <c r="A14" s="274"/>
      <c r="B14" s="275"/>
      <c r="C14" s="269"/>
      <c r="D14" s="242"/>
      <c r="E14" s="242">
        <v>2</v>
      </c>
      <c r="F14" s="11" t="s">
        <v>863</v>
      </c>
      <c r="G14" s="217">
        <v>2</v>
      </c>
      <c r="H14" s="217">
        <v>3</v>
      </c>
      <c r="I14" s="217">
        <v>25</v>
      </c>
      <c r="J14" s="217">
        <v>0</v>
      </c>
      <c r="K14" s="217">
        <v>699</v>
      </c>
      <c r="L14" s="217">
        <v>0</v>
      </c>
      <c r="M14" s="234"/>
      <c r="N14" s="246"/>
      <c r="O14" s="9"/>
    </row>
    <row r="15" spans="1:15">
      <c r="A15" s="274"/>
      <c r="B15" s="275"/>
      <c r="C15" s="269"/>
      <c r="D15" s="242"/>
      <c r="E15" s="242">
        <v>3</v>
      </c>
      <c r="F15" s="11" t="s">
        <v>864</v>
      </c>
      <c r="G15" s="217">
        <v>0</v>
      </c>
      <c r="H15" s="217">
        <v>1</v>
      </c>
      <c r="I15" s="217">
        <v>11</v>
      </c>
      <c r="J15" s="217">
        <v>1</v>
      </c>
      <c r="K15" s="217">
        <v>52</v>
      </c>
      <c r="L15" s="217">
        <v>0</v>
      </c>
      <c r="M15" s="234"/>
      <c r="N15" s="246"/>
      <c r="O15" s="9"/>
    </row>
    <row r="16" spans="1:15">
      <c r="A16" s="274"/>
      <c r="B16" s="275"/>
      <c r="C16" s="265">
        <v>42</v>
      </c>
      <c r="D16" s="238"/>
      <c r="E16" s="238">
        <v>1</v>
      </c>
      <c r="F16" s="17" t="s">
        <v>865</v>
      </c>
      <c r="G16" s="220">
        <v>3</v>
      </c>
      <c r="H16" s="220">
        <v>4</v>
      </c>
      <c r="I16" s="220">
        <v>30</v>
      </c>
      <c r="J16" s="220">
        <v>0</v>
      </c>
      <c r="K16" s="220">
        <v>357</v>
      </c>
      <c r="L16" s="220">
        <v>0</v>
      </c>
      <c r="M16" s="225"/>
      <c r="N16" s="222"/>
      <c r="O16" s="165"/>
    </row>
    <row r="17" spans="1:15" ht="45">
      <c r="A17" s="274"/>
      <c r="B17" s="275"/>
      <c r="C17" s="266"/>
      <c r="D17" s="241">
        <v>5.4</v>
      </c>
      <c r="E17" s="238">
        <v>2</v>
      </c>
      <c r="F17" s="20" t="s">
        <v>866</v>
      </c>
      <c r="G17" s="220">
        <v>14</v>
      </c>
      <c r="H17" s="220">
        <v>54</v>
      </c>
      <c r="I17" s="220">
        <v>344</v>
      </c>
      <c r="J17" s="220">
        <v>1</v>
      </c>
      <c r="K17" s="220">
        <v>11426</v>
      </c>
      <c r="L17" s="220">
        <v>1</v>
      </c>
      <c r="M17" s="225"/>
      <c r="N17" s="222"/>
      <c r="O17" s="174" t="s">
        <v>867</v>
      </c>
    </row>
    <row r="18" spans="1:15">
      <c r="A18" s="274"/>
      <c r="B18" s="275"/>
      <c r="C18" s="266"/>
      <c r="D18" s="241"/>
      <c r="E18" s="238"/>
      <c r="F18" s="53" t="s">
        <v>868</v>
      </c>
      <c r="G18" s="220"/>
      <c r="H18" s="220"/>
      <c r="I18" s="220"/>
      <c r="J18" s="220"/>
      <c r="K18" s="220"/>
      <c r="L18" s="220"/>
      <c r="M18" s="225"/>
      <c r="N18" s="222"/>
      <c r="O18" s="174" t="s">
        <v>869</v>
      </c>
    </row>
    <row r="19" spans="1:15">
      <c r="A19" s="274"/>
      <c r="B19" s="275"/>
      <c r="C19" s="267"/>
      <c r="D19" s="241"/>
      <c r="E19" s="238"/>
      <c r="F19" s="53" t="s">
        <v>870</v>
      </c>
      <c r="G19" s="220"/>
      <c r="H19" s="220"/>
      <c r="I19" s="220"/>
      <c r="J19" s="220"/>
      <c r="K19" s="220"/>
      <c r="L19" s="220"/>
      <c r="M19" s="225"/>
      <c r="N19" s="222"/>
      <c r="O19" s="174" t="s">
        <v>869</v>
      </c>
    </row>
    <row r="20" spans="1:15">
      <c r="A20" s="274"/>
      <c r="B20" s="275"/>
      <c r="C20" s="268">
        <v>43</v>
      </c>
      <c r="D20" s="242"/>
      <c r="E20" s="242">
        <v>1</v>
      </c>
      <c r="F20" s="11" t="s">
        <v>871</v>
      </c>
      <c r="G20" s="216">
        <v>3</v>
      </c>
      <c r="H20" s="216">
        <v>10</v>
      </c>
      <c r="I20" s="216">
        <v>95</v>
      </c>
      <c r="J20" s="216">
        <v>0</v>
      </c>
      <c r="K20" s="216">
        <v>3629</v>
      </c>
      <c r="L20" s="216">
        <v>0</v>
      </c>
      <c r="M20" s="242"/>
      <c r="N20" s="242"/>
      <c r="O20" s="216"/>
    </row>
    <row r="21" spans="1:15">
      <c r="A21" s="274"/>
      <c r="B21" s="275"/>
      <c r="C21" s="269"/>
      <c r="D21" s="242"/>
      <c r="E21" s="242">
        <v>2</v>
      </c>
      <c r="F21" s="11" t="s">
        <v>678</v>
      </c>
      <c r="G21" s="216">
        <v>0</v>
      </c>
      <c r="H21" s="216">
        <v>2</v>
      </c>
      <c r="I21" s="216">
        <v>12</v>
      </c>
      <c r="J21" s="216">
        <v>0</v>
      </c>
      <c r="K21" s="216">
        <v>563</v>
      </c>
      <c r="L21" s="216">
        <v>0</v>
      </c>
      <c r="M21" s="242"/>
      <c r="N21" s="242"/>
      <c r="O21" s="216"/>
    </row>
    <row r="22" spans="1:15">
      <c r="A22" s="274"/>
      <c r="B22" s="275"/>
      <c r="C22" s="269"/>
      <c r="D22" s="242"/>
      <c r="E22" s="242"/>
      <c r="F22" s="243" t="s">
        <v>872</v>
      </c>
      <c r="G22" s="216"/>
      <c r="H22" s="216"/>
      <c r="I22" s="216"/>
      <c r="J22" s="216"/>
      <c r="K22" s="216"/>
      <c r="L22" s="216"/>
      <c r="M22" s="242"/>
      <c r="N22" s="242"/>
      <c r="O22" s="216"/>
    </row>
    <row r="23" spans="1:15">
      <c r="A23" s="274"/>
      <c r="B23" s="275"/>
      <c r="C23" s="269"/>
      <c r="D23" s="32">
        <v>5.41</v>
      </c>
      <c r="E23" s="242">
        <v>2</v>
      </c>
      <c r="F23" s="11" t="s">
        <v>873</v>
      </c>
      <c r="G23" s="216">
        <v>3</v>
      </c>
      <c r="H23" s="216">
        <v>10</v>
      </c>
      <c r="I23" s="216">
        <v>95</v>
      </c>
      <c r="J23" s="216">
        <v>0</v>
      </c>
      <c r="K23" s="216">
        <v>3629</v>
      </c>
      <c r="L23" s="216">
        <v>0</v>
      </c>
      <c r="M23" s="242"/>
      <c r="N23" s="242"/>
      <c r="O23" s="216" t="s">
        <v>874</v>
      </c>
    </row>
    <row r="24" spans="1:15">
      <c r="A24" s="274"/>
      <c r="B24" s="275"/>
      <c r="C24" s="269"/>
      <c r="D24" s="242">
        <v>15.138</v>
      </c>
      <c r="E24" s="242">
        <v>2</v>
      </c>
      <c r="F24" s="11" t="s">
        <v>858</v>
      </c>
      <c r="G24" s="217">
        <v>10</v>
      </c>
      <c r="H24" s="217">
        <v>17</v>
      </c>
      <c r="I24" s="217">
        <v>136</v>
      </c>
      <c r="J24" s="217">
        <v>1</v>
      </c>
      <c r="K24" s="217">
        <v>4274</v>
      </c>
      <c r="L24" s="217">
        <v>0</v>
      </c>
      <c r="M24" s="242"/>
      <c r="N24" s="242"/>
      <c r="O24" s="216"/>
    </row>
    <row r="25" spans="1:15">
      <c r="A25" s="274"/>
      <c r="B25" s="275"/>
      <c r="C25" s="269"/>
      <c r="D25" s="242"/>
      <c r="E25" s="242"/>
      <c r="F25" s="53" t="s">
        <v>875</v>
      </c>
      <c r="G25" s="217"/>
      <c r="H25" s="217"/>
      <c r="I25" s="217"/>
      <c r="J25" s="217"/>
      <c r="K25" s="217"/>
      <c r="L25" s="217"/>
      <c r="M25" s="242"/>
      <c r="N25" s="242"/>
      <c r="O25" s="216" t="s">
        <v>800</v>
      </c>
    </row>
    <row r="26" spans="1:15">
      <c r="A26" s="274"/>
      <c r="B26" s="275"/>
      <c r="C26" s="269"/>
      <c r="D26" s="242"/>
      <c r="E26" s="242"/>
      <c r="F26" s="53" t="s">
        <v>876</v>
      </c>
      <c r="G26" s="217"/>
      <c r="H26" s="217"/>
      <c r="I26" s="217"/>
      <c r="J26" s="217"/>
      <c r="K26" s="217"/>
      <c r="L26" s="217"/>
      <c r="M26" s="242"/>
      <c r="N26" s="242"/>
      <c r="O26" s="216" t="s">
        <v>800</v>
      </c>
    </row>
    <row r="27" spans="1:15">
      <c r="A27" s="274"/>
      <c r="B27" s="275"/>
      <c r="C27" s="270"/>
      <c r="D27" s="242"/>
      <c r="E27" s="242"/>
      <c r="F27" s="53" t="s">
        <v>877</v>
      </c>
      <c r="G27" s="217"/>
      <c r="H27" s="217"/>
      <c r="I27" s="217"/>
      <c r="J27" s="217"/>
      <c r="K27" s="217"/>
      <c r="L27" s="217"/>
      <c r="M27" s="242"/>
      <c r="N27" s="242"/>
      <c r="O27" s="216" t="s">
        <v>800</v>
      </c>
    </row>
    <row r="28" spans="1:15">
      <c r="A28" s="274"/>
      <c r="B28" s="275"/>
      <c r="C28" s="265">
        <v>44</v>
      </c>
      <c r="D28" s="238"/>
      <c r="E28" s="238">
        <v>1</v>
      </c>
      <c r="F28" s="5" t="s">
        <v>878</v>
      </c>
      <c r="G28" s="165">
        <v>0</v>
      </c>
      <c r="H28" s="165">
        <v>4</v>
      </c>
      <c r="I28" s="165">
        <v>34</v>
      </c>
      <c r="J28" s="165">
        <v>1</v>
      </c>
      <c r="K28" s="165">
        <v>765</v>
      </c>
      <c r="L28" s="165">
        <v>0</v>
      </c>
      <c r="M28" s="238"/>
      <c r="N28" s="238"/>
      <c r="O28" s="165" t="s">
        <v>879</v>
      </c>
    </row>
    <row r="29" spans="1:15" ht="45">
      <c r="A29" s="274"/>
      <c r="B29" s="275"/>
      <c r="C29" s="267"/>
      <c r="D29" s="238"/>
      <c r="E29" s="238"/>
      <c r="F29" s="47" t="s">
        <v>880</v>
      </c>
      <c r="G29" s="165"/>
      <c r="H29" s="165"/>
      <c r="I29" s="165"/>
      <c r="J29" s="165"/>
      <c r="K29" s="165"/>
      <c r="L29" s="165"/>
      <c r="M29" s="238"/>
      <c r="N29" s="238"/>
      <c r="O29" s="174" t="s">
        <v>867</v>
      </c>
    </row>
    <row r="30" spans="1:15">
      <c r="A30" s="274"/>
      <c r="B30" s="275"/>
      <c r="C30" s="242">
        <v>45</v>
      </c>
      <c r="D30" s="242"/>
      <c r="E30" s="242">
        <v>1</v>
      </c>
      <c r="F30" s="11" t="s">
        <v>881</v>
      </c>
      <c r="G30" s="216">
        <v>0</v>
      </c>
      <c r="H30" s="216">
        <v>1</v>
      </c>
      <c r="I30" s="216">
        <v>20</v>
      </c>
      <c r="J30" s="216">
        <v>1</v>
      </c>
      <c r="K30" s="216">
        <v>921</v>
      </c>
      <c r="L30" s="216">
        <v>0</v>
      </c>
      <c r="M30" s="216"/>
      <c r="N30" s="216"/>
      <c r="O30" s="216"/>
    </row>
    <row r="31" spans="1:15">
      <c r="A31" s="274"/>
      <c r="B31" s="275"/>
      <c r="C31" s="265">
        <v>46</v>
      </c>
      <c r="D31" s="238"/>
      <c r="E31" s="238">
        <v>1</v>
      </c>
      <c r="F31" s="165" t="s">
        <v>882</v>
      </c>
      <c r="G31" s="165">
        <v>0</v>
      </c>
      <c r="H31" s="165">
        <v>3</v>
      </c>
      <c r="I31" s="165">
        <v>23</v>
      </c>
      <c r="J31" s="165">
        <v>1</v>
      </c>
      <c r="K31" s="165">
        <v>269</v>
      </c>
      <c r="L31" s="165">
        <v>0</v>
      </c>
      <c r="M31" s="165"/>
      <c r="N31" s="165"/>
      <c r="O31" s="165"/>
    </row>
    <row r="32" spans="1:15">
      <c r="A32" s="274"/>
      <c r="B32" s="275"/>
      <c r="C32" s="266"/>
      <c r="D32" s="238"/>
      <c r="E32" s="238"/>
      <c r="F32" s="244" t="s">
        <v>883</v>
      </c>
      <c r="G32" s="165"/>
      <c r="H32" s="165"/>
      <c r="I32" s="165"/>
      <c r="J32" s="165"/>
      <c r="K32" s="165"/>
      <c r="L32" s="165"/>
      <c r="M32" s="165"/>
      <c r="N32" s="165"/>
      <c r="O32" s="165" t="s">
        <v>884</v>
      </c>
    </row>
    <row r="33" spans="1:15">
      <c r="A33" s="274"/>
      <c r="B33" s="275"/>
      <c r="C33" s="267"/>
      <c r="D33" s="238"/>
      <c r="E33" s="238"/>
      <c r="F33" s="244" t="s">
        <v>885</v>
      </c>
      <c r="G33" s="165"/>
      <c r="H33" s="165"/>
      <c r="I33" s="165"/>
      <c r="J33" s="165"/>
      <c r="K33" s="165"/>
      <c r="L33" s="165"/>
      <c r="M33" s="165"/>
      <c r="N33" s="165"/>
      <c r="O33" s="165" t="s">
        <v>886</v>
      </c>
    </row>
    <row r="34" spans="1:15">
      <c r="A34" s="274"/>
      <c r="B34" s="275"/>
      <c r="C34" s="268">
        <v>47</v>
      </c>
      <c r="D34" s="242"/>
      <c r="E34" s="242">
        <v>1</v>
      </c>
      <c r="F34" s="26" t="s">
        <v>887</v>
      </c>
      <c r="G34" s="216">
        <v>5</v>
      </c>
      <c r="H34" s="216">
        <v>8</v>
      </c>
      <c r="I34" s="216">
        <v>80</v>
      </c>
      <c r="J34" s="216">
        <v>1</v>
      </c>
      <c r="K34" s="216">
        <v>1154</v>
      </c>
      <c r="L34" s="216">
        <v>0</v>
      </c>
      <c r="M34" s="216"/>
      <c r="N34" s="216"/>
      <c r="O34" s="216"/>
    </row>
    <row r="35" spans="1:15">
      <c r="A35" s="274"/>
      <c r="B35" s="275"/>
      <c r="C35" s="269"/>
      <c r="D35" s="242">
        <v>8.7899999999999991</v>
      </c>
      <c r="E35" s="242">
        <v>2</v>
      </c>
      <c r="F35" s="26" t="s">
        <v>795</v>
      </c>
      <c r="G35" s="216">
        <v>0</v>
      </c>
      <c r="H35" s="216">
        <v>3</v>
      </c>
      <c r="I35" s="216">
        <v>32</v>
      </c>
      <c r="J35" s="216">
        <v>0</v>
      </c>
      <c r="K35" s="216">
        <v>1594</v>
      </c>
      <c r="L35" s="216">
        <v>0</v>
      </c>
      <c r="M35" s="216"/>
      <c r="N35" s="216"/>
      <c r="O35" s="216" t="s">
        <v>888</v>
      </c>
    </row>
    <row r="36" spans="1:15">
      <c r="A36" s="274"/>
      <c r="B36" s="275"/>
      <c r="C36" s="269"/>
      <c r="D36" s="242"/>
      <c r="E36" s="242"/>
      <c r="F36" s="233" t="s">
        <v>889</v>
      </c>
      <c r="G36" s="216"/>
      <c r="H36" s="216"/>
      <c r="I36" s="216"/>
      <c r="J36" s="216"/>
      <c r="K36" s="216"/>
      <c r="L36" s="216"/>
      <c r="M36" s="216"/>
      <c r="N36" s="216"/>
      <c r="O36" s="216" t="s">
        <v>890</v>
      </c>
    </row>
    <row r="37" spans="1:15">
      <c r="A37" s="274"/>
      <c r="B37" s="275"/>
      <c r="C37" s="269"/>
      <c r="D37" s="242"/>
      <c r="E37" s="242"/>
      <c r="F37" s="233" t="s">
        <v>891</v>
      </c>
      <c r="G37" s="216"/>
      <c r="H37" s="216"/>
      <c r="I37" s="216"/>
      <c r="J37" s="216"/>
      <c r="K37" s="216"/>
      <c r="L37" s="216"/>
      <c r="M37" s="216"/>
      <c r="N37" s="216"/>
      <c r="O37" s="216" t="s">
        <v>892</v>
      </c>
    </row>
    <row r="38" spans="1:15">
      <c r="A38" s="274"/>
      <c r="B38" s="275"/>
      <c r="C38" s="269"/>
      <c r="D38" s="242"/>
      <c r="E38" s="242"/>
      <c r="F38" s="233" t="s">
        <v>893</v>
      </c>
      <c r="G38" s="216"/>
      <c r="H38" s="216"/>
      <c r="I38" s="216"/>
      <c r="J38" s="216"/>
      <c r="K38" s="216"/>
      <c r="L38" s="216"/>
      <c r="M38" s="216"/>
      <c r="N38" s="216"/>
      <c r="O38" s="216" t="s">
        <v>800</v>
      </c>
    </row>
    <row r="39" spans="1:15">
      <c r="A39" s="274"/>
      <c r="B39" s="275"/>
      <c r="C39" s="269"/>
      <c r="D39" s="242"/>
      <c r="E39" s="242"/>
      <c r="F39" s="233" t="s">
        <v>894</v>
      </c>
      <c r="G39" s="216"/>
      <c r="H39" s="216"/>
      <c r="I39" s="216"/>
      <c r="J39" s="216"/>
      <c r="K39" s="216"/>
      <c r="L39" s="216"/>
      <c r="M39" s="216"/>
      <c r="N39" s="216"/>
      <c r="O39" s="216" t="s">
        <v>800</v>
      </c>
    </row>
    <row r="40" spans="1:15">
      <c r="A40" s="274"/>
      <c r="B40" s="275"/>
      <c r="C40" s="269"/>
      <c r="D40" s="242"/>
      <c r="E40" s="242"/>
      <c r="F40" s="233" t="s">
        <v>895</v>
      </c>
      <c r="G40" s="216"/>
      <c r="H40" s="216"/>
      <c r="I40" s="216"/>
      <c r="J40" s="216"/>
      <c r="K40" s="216"/>
      <c r="L40" s="216"/>
      <c r="M40" s="216"/>
      <c r="N40" s="216"/>
      <c r="O40" s="216" t="s">
        <v>896</v>
      </c>
    </row>
    <row r="41" spans="1:15">
      <c r="A41" s="274"/>
      <c r="B41" s="275"/>
      <c r="C41" s="269"/>
      <c r="D41" s="242"/>
      <c r="E41" s="242"/>
      <c r="F41" s="54" t="s">
        <v>897</v>
      </c>
      <c r="G41" s="216"/>
      <c r="H41" s="216"/>
      <c r="I41" s="216"/>
      <c r="J41" s="216"/>
      <c r="K41" s="216"/>
      <c r="L41" s="216"/>
      <c r="M41" s="216"/>
      <c r="N41" s="216"/>
      <c r="O41" s="216" t="s">
        <v>800</v>
      </c>
    </row>
    <row r="42" spans="1:15">
      <c r="A42" s="274"/>
      <c r="B42" s="275"/>
      <c r="C42" s="269"/>
      <c r="D42" s="242"/>
      <c r="E42" s="242"/>
      <c r="F42" s="233" t="s">
        <v>898</v>
      </c>
      <c r="G42" s="216"/>
      <c r="H42" s="216"/>
      <c r="I42" s="216"/>
      <c r="J42" s="216"/>
      <c r="K42" s="216"/>
      <c r="L42" s="216"/>
      <c r="M42" s="216"/>
      <c r="N42" s="216"/>
      <c r="O42" s="216" t="s">
        <v>899</v>
      </c>
    </row>
    <row r="43" spans="1:15">
      <c r="A43" s="274"/>
      <c r="B43" s="275"/>
      <c r="C43" s="269"/>
      <c r="D43" s="242"/>
      <c r="E43" s="242"/>
      <c r="F43" s="233" t="s">
        <v>900</v>
      </c>
      <c r="G43" s="216"/>
      <c r="H43" s="216"/>
      <c r="I43" s="216"/>
      <c r="J43" s="216"/>
      <c r="K43" s="216"/>
      <c r="L43" s="216"/>
      <c r="M43" s="216"/>
      <c r="N43" s="216"/>
      <c r="O43" s="216" t="s">
        <v>899</v>
      </c>
    </row>
    <row r="44" spans="1:15">
      <c r="A44" s="274"/>
      <c r="B44" s="275"/>
      <c r="C44" s="269"/>
      <c r="D44" s="242"/>
      <c r="E44" s="242"/>
      <c r="F44" s="233" t="s">
        <v>901</v>
      </c>
      <c r="G44" s="216"/>
      <c r="H44" s="216"/>
      <c r="I44" s="216"/>
      <c r="J44" s="216"/>
      <c r="K44" s="216"/>
      <c r="L44" s="216"/>
      <c r="M44" s="216"/>
      <c r="N44" s="216"/>
      <c r="O44" s="216" t="s">
        <v>902</v>
      </c>
    </row>
    <row r="45" spans="1:15">
      <c r="A45" s="274"/>
      <c r="B45" s="275"/>
      <c r="C45" s="269"/>
      <c r="D45" s="242"/>
      <c r="E45" s="242"/>
      <c r="F45" s="233" t="s">
        <v>903</v>
      </c>
      <c r="G45" s="216"/>
      <c r="H45" s="216"/>
      <c r="I45" s="216"/>
      <c r="J45" s="216"/>
      <c r="K45" s="216"/>
      <c r="L45" s="216"/>
      <c r="M45" s="216"/>
      <c r="N45" s="216"/>
      <c r="O45" s="216" t="s">
        <v>902</v>
      </c>
    </row>
    <row r="46" spans="1:15">
      <c r="A46" s="274"/>
      <c r="B46" s="275"/>
      <c r="C46" s="269"/>
      <c r="D46" s="242"/>
      <c r="E46" s="242"/>
      <c r="F46" s="233" t="s">
        <v>904</v>
      </c>
      <c r="G46" s="216"/>
      <c r="H46" s="216"/>
      <c r="I46" s="216"/>
      <c r="J46" s="216"/>
      <c r="K46" s="216"/>
      <c r="L46" s="216"/>
      <c r="M46" s="216"/>
      <c r="N46" s="216"/>
      <c r="O46" s="216" t="s">
        <v>902</v>
      </c>
    </row>
    <row r="47" spans="1:15" ht="30">
      <c r="A47" s="274"/>
      <c r="B47" s="275"/>
      <c r="C47" s="269"/>
      <c r="D47" s="242"/>
      <c r="E47" s="242">
        <v>2</v>
      </c>
      <c r="F47" s="37" t="s">
        <v>905</v>
      </c>
      <c r="G47" s="216">
        <v>0</v>
      </c>
      <c r="H47" s="216">
        <v>0</v>
      </c>
      <c r="I47" s="216">
        <v>11</v>
      </c>
      <c r="J47" s="216">
        <v>0</v>
      </c>
      <c r="K47" s="216">
        <v>1066</v>
      </c>
      <c r="L47" s="216">
        <v>0</v>
      </c>
      <c r="M47" s="216"/>
      <c r="N47" s="216"/>
      <c r="O47" s="216" t="s">
        <v>906</v>
      </c>
    </row>
    <row r="48" spans="1:15" ht="45">
      <c r="A48" s="274"/>
      <c r="B48" s="275"/>
      <c r="C48" s="269"/>
      <c r="D48" s="242"/>
      <c r="E48" s="242"/>
      <c r="F48" s="233" t="s">
        <v>907</v>
      </c>
      <c r="G48" s="216"/>
      <c r="H48" s="216"/>
      <c r="I48" s="216"/>
      <c r="J48" s="216"/>
      <c r="K48" s="216"/>
      <c r="L48" s="216"/>
      <c r="M48" s="216"/>
      <c r="N48" s="216"/>
      <c r="O48" s="10" t="s">
        <v>908</v>
      </c>
    </row>
    <row r="49" spans="1:15">
      <c r="A49" s="274"/>
      <c r="B49" s="275"/>
      <c r="C49" s="269"/>
      <c r="D49" s="242"/>
      <c r="E49" s="242"/>
      <c r="F49" s="233" t="s">
        <v>909</v>
      </c>
      <c r="G49" s="216"/>
      <c r="H49" s="216"/>
      <c r="I49" s="216"/>
      <c r="J49" s="216"/>
      <c r="K49" s="216"/>
      <c r="L49" s="216"/>
      <c r="M49" s="216"/>
      <c r="N49" s="216"/>
      <c r="O49" s="9" t="s">
        <v>896</v>
      </c>
    </row>
    <row r="50" spans="1:15">
      <c r="A50" s="274"/>
      <c r="B50" s="275"/>
      <c r="C50" s="265">
        <v>48</v>
      </c>
      <c r="D50" s="238"/>
      <c r="E50" s="238">
        <v>1</v>
      </c>
      <c r="F50" s="31" t="s">
        <v>910</v>
      </c>
      <c r="G50" s="165">
        <v>3</v>
      </c>
      <c r="H50" s="165">
        <v>21</v>
      </c>
      <c r="I50" s="165">
        <v>148</v>
      </c>
      <c r="J50" s="165">
        <v>1</v>
      </c>
      <c r="K50" s="165">
        <v>2234</v>
      </c>
      <c r="L50" s="165">
        <v>0</v>
      </c>
      <c r="M50" s="165"/>
      <c r="N50" s="165"/>
      <c r="O50" s="165"/>
    </row>
    <row r="51" spans="1:15" ht="30">
      <c r="A51" s="274"/>
      <c r="B51" s="275"/>
      <c r="C51" s="266"/>
      <c r="D51" s="238">
        <v>8.7899999999999991</v>
      </c>
      <c r="E51" s="238">
        <v>2</v>
      </c>
      <c r="F51" s="16" t="s">
        <v>795</v>
      </c>
      <c r="G51" s="165">
        <v>0</v>
      </c>
      <c r="H51" s="165">
        <v>3</v>
      </c>
      <c r="I51" s="165">
        <v>32</v>
      </c>
      <c r="J51" s="165">
        <v>0</v>
      </c>
      <c r="K51" s="165">
        <v>1594</v>
      </c>
      <c r="L51" s="165">
        <v>0</v>
      </c>
      <c r="M51" s="165"/>
      <c r="N51" s="165"/>
      <c r="O51" s="174" t="s">
        <v>911</v>
      </c>
    </row>
    <row r="52" spans="1:15" ht="30">
      <c r="A52" s="274"/>
      <c r="B52" s="275"/>
      <c r="C52" s="266"/>
      <c r="D52" s="238"/>
      <c r="E52" s="238">
        <v>2</v>
      </c>
      <c r="F52" s="35" t="s">
        <v>912</v>
      </c>
      <c r="G52" s="165">
        <v>0</v>
      </c>
      <c r="H52" s="165">
        <v>0</v>
      </c>
      <c r="I52" s="165">
        <v>11</v>
      </c>
      <c r="J52" s="165">
        <v>0</v>
      </c>
      <c r="K52" s="165">
        <v>263</v>
      </c>
      <c r="L52" s="165">
        <v>0</v>
      </c>
      <c r="M52" s="165"/>
      <c r="N52" s="165"/>
      <c r="O52" s="165" t="s">
        <v>913</v>
      </c>
    </row>
    <row r="53" spans="1:15" ht="45">
      <c r="A53" s="274"/>
      <c r="B53" s="275"/>
      <c r="C53" s="266"/>
      <c r="D53" s="238"/>
      <c r="E53" s="238"/>
      <c r="F53" s="233" t="s">
        <v>914</v>
      </c>
      <c r="G53" s="165"/>
      <c r="H53" s="165"/>
      <c r="I53" s="165"/>
      <c r="J53" s="165"/>
      <c r="K53" s="165"/>
      <c r="L53" s="165"/>
      <c r="M53" s="165"/>
      <c r="N53" s="165"/>
      <c r="O53" s="174" t="s">
        <v>915</v>
      </c>
    </row>
    <row r="54" spans="1:15">
      <c r="A54" s="274"/>
      <c r="B54" s="275"/>
      <c r="C54" s="266"/>
      <c r="D54" s="238"/>
      <c r="E54" s="238"/>
      <c r="F54" s="233" t="s">
        <v>916</v>
      </c>
      <c r="G54" s="165"/>
      <c r="H54" s="165"/>
      <c r="I54" s="165"/>
      <c r="J54" s="165"/>
      <c r="K54" s="165"/>
      <c r="L54" s="165"/>
      <c r="M54" s="165"/>
      <c r="N54" s="165"/>
      <c r="O54" s="165" t="s">
        <v>896</v>
      </c>
    </row>
    <row r="55" spans="1:15">
      <c r="A55" s="274"/>
      <c r="B55" s="275"/>
      <c r="C55" s="266"/>
      <c r="D55" s="238"/>
      <c r="E55" s="238"/>
      <c r="F55" s="233" t="s">
        <v>917</v>
      </c>
      <c r="G55" s="165"/>
      <c r="H55" s="165"/>
      <c r="I55" s="165"/>
      <c r="J55" s="165"/>
      <c r="K55" s="165"/>
      <c r="L55" s="165"/>
      <c r="M55" s="165"/>
      <c r="N55" s="165"/>
      <c r="O55" s="165" t="s">
        <v>918</v>
      </c>
    </row>
    <row r="56" spans="1:15" ht="30">
      <c r="A56" s="274"/>
      <c r="B56" s="275"/>
      <c r="C56" s="266"/>
      <c r="D56" s="238"/>
      <c r="E56" s="238"/>
      <c r="F56" s="233" t="s">
        <v>919</v>
      </c>
      <c r="G56" s="165"/>
      <c r="H56" s="165"/>
      <c r="I56" s="165"/>
      <c r="J56" s="165"/>
      <c r="K56" s="165"/>
      <c r="L56" s="165"/>
      <c r="M56" s="165"/>
      <c r="N56" s="165"/>
      <c r="O56" s="174" t="s">
        <v>920</v>
      </c>
    </row>
    <row r="57" spans="1:15" ht="30">
      <c r="A57" s="274"/>
      <c r="B57" s="275"/>
      <c r="C57" s="266"/>
      <c r="D57" s="238"/>
      <c r="E57" s="238"/>
      <c r="F57" s="233" t="s">
        <v>921</v>
      </c>
      <c r="G57" s="165"/>
      <c r="H57" s="165"/>
      <c r="I57" s="165"/>
      <c r="J57" s="165"/>
      <c r="K57" s="165"/>
      <c r="L57" s="165"/>
      <c r="M57" s="165"/>
      <c r="N57" s="165"/>
      <c r="O57" s="174" t="s">
        <v>800</v>
      </c>
    </row>
    <row r="58" spans="1:15" ht="30">
      <c r="A58" s="274"/>
      <c r="B58" s="275"/>
      <c r="C58" s="266"/>
      <c r="D58" s="238"/>
      <c r="E58" s="238"/>
      <c r="F58" s="233" t="s">
        <v>922</v>
      </c>
      <c r="G58" s="165"/>
      <c r="H58" s="165"/>
      <c r="I58" s="165"/>
      <c r="J58" s="165"/>
      <c r="K58" s="165"/>
      <c r="L58" s="165"/>
      <c r="M58" s="165"/>
      <c r="N58" s="165"/>
      <c r="O58" s="174" t="s">
        <v>800</v>
      </c>
    </row>
    <row r="59" spans="1:15">
      <c r="A59" s="274"/>
      <c r="B59" s="275"/>
      <c r="C59" s="266"/>
      <c r="D59" s="238"/>
      <c r="E59" s="238"/>
      <c r="F59" s="233" t="s">
        <v>923</v>
      </c>
      <c r="G59" s="165"/>
      <c r="H59" s="165"/>
      <c r="I59" s="165"/>
      <c r="J59" s="165"/>
      <c r="K59" s="165"/>
      <c r="L59" s="165"/>
      <c r="M59" s="165"/>
      <c r="N59" s="165"/>
      <c r="O59" s="165" t="s">
        <v>896</v>
      </c>
    </row>
    <row r="60" spans="1:15">
      <c r="A60" s="274"/>
      <c r="B60" s="275"/>
      <c r="C60" s="266"/>
      <c r="D60" s="238"/>
      <c r="E60" s="238"/>
      <c r="F60" s="233" t="s">
        <v>924</v>
      </c>
      <c r="G60" s="165"/>
      <c r="H60" s="165"/>
      <c r="I60" s="165"/>
      <c r="J60" s="165"/>
      <c r="K60" s="165"/>
      <c r="L60" s="165"/>
      <c r="M60" s="165"/>
      <c r="N60" s="165"/>
      <c r="O60" s="165" t="s">
        <v>918</v>
      </c>
    </row>
    <row r="61" spans="1:15" ht="30">
      <c r="A61" s="274"/>
      <c r="B61" s="275"/>
      <c r="C61" s="266"/>
      <c r="D61" s="238"/>
      <c r="E61" s="238"/>
      <c r="F61" s="233" t="s">
        <v>925</v>
      </c>
      <c r="G61" s="165"/>
      <c r="H61" s="165"/>
      <c r="I61" s="165"/>
      <c r="J61" s="165"/>
      <c r="K61" s="165"/>
      <c r="L61" s="165"/>
      <c r="M61" s="165"/>
      <c r="N61" s="165"/>
      <c r="O61" s="174" t="s">
        <v>800</v>
      </c>
    </row>
    <row r="62" spans="1:15" ht="30">
      <c r="A62" s="274"/>
      <c r="B62" s="275"/>
      <c r="C62" s="266"/>
      <c r="D62" s="238"/>
      <c r="E62" s="238"/>
      <c r="F62" s="233" t="s">
        <v>926</v>
      </c>
      <c r="G62" s="165"/>
      <c r="H62" s="165"/>
      <c r="I62" s="165"/>
      <c r="J62" s="165"/>
      <c r="K62" s="165"/>
      <c r="L62" s="165"/>
      <c r="M62" s="165"/>
      <c r="N62" s="165"/>
      <c r="O62" s="174" t="s">
        <v>800</v>
      </c>
    </row>
    <row r="63" spans="1:15">
      <c r="A63" s="274"/>
      <c r="B63" s="275"/>
      <c r="C63" s="266"/>
      <c r="D63" s="238"/>
      <c r="E63" s="238"/>
      <c r="F63" s="233" t="s">
        <v>927</v>
      </c>
      <c r="G63" s="165"/>
      <c r="H63" s="165"/>
      <c r="I63" s="165"/>
      <c r="J63" s="165"/>
      <c r="K63" s="165"/>
      <c r="L63" s="165"/>
      <c r="M63" s="165"/>
      <c r="N63" s="165"/>
      <c r="O63" s="165" t="s">
        <v>896</v>
      </c>
    </row>
    <row r="64" spans="1:15">
      <c r="A64" s="274"/>
      <c r="B64" s="275"/>
      <c r="C64" s="267"/>
      <c r="D64" s="238"/>
      <c r="E64" s="238"/>
      <c r="F64" s="233" t="s">
        <v>928</v>
      </c>
      <c r="G64" s="165"/>
      <c r="H64" s="165"/>
      <c r="I64" s="165"/>
      <c r="J64" s="165"/>
      <c r="K64" s="165"/>
      <c r="L64" s="165"/>
      <c r="M64" s="165"/>
      <c r="N64" s="165"/>
      <c r="O64" s="165" t="s">
        <v>918</v>
      </c>
    </row>
    <row r="65" spans="1:15">
      <c r="A65" s="274"/>
      <c r="B65" s="275"/>
      <c r="C65" s="268">
        <v>49</v>
      </c>
      <c r="D65" s="242"/>
      <c r="E65" s="242">
        <v>1</v>
      </c>
      <c r="F65" s="26" t="s">
        <v>929</v>
      </c>
      <c r="G65" s="216">
        <v>3</v>
      </c>
      <c r="H65" s="216">
        <v>11</v>
      </c>
      <c r="I65" s="216">
        <v>70</v>
      </c>
      <c r="J65" s="216">
        <v>0</v>
      </c>
      <c r="K65" s="216">
        <v>654</v>
      </c>
      <c r="L65" s="216">
        <v>0</v>
      </c>
      <c r="M65" s="216"/>
      <c r="N65" s="216"/>
      <c r="O65" s="216"/>
    </row>
    <row r="66" spans="1:15">
      <c r="A66" s="274"/>
      <c r="B66" s="275"/>
      <c r="C66" s="269"/>
      <c r="D66" s="242"/>
      <c r="E66" s="242"/>
      <c r="F66" s="233" t="s">
        <v>930</v>
      </c>
      <c r="G66" s="216"/>
      <c r="H66" s="216"/>
      <c r="I66" s="216"/>
      <c r="J66" s="216"/>
      <c r="K66" s="216"/>
      <c r="L66" s="216"/>
      <c r="M66" s="216"/>
      <c r="N66" s="216"/>
      <c r="O66" s="216" t="s">
        <v>902</v>
      </c>
    </row>
    <row r="67" spans="1:15">
      <c r="A67" s="274"/>
      <c r="B67" s="275"/>
      <c r="C67" s="269"/>
      <c r="D67" s="242"/>
      <c r="E67" s="242"/>
      <c r="F67" s="233" t="s">
        <v>931</v>
      </c>
      <c r="G67" s="216"/>
      <c r="H67" s="216"/>
      <c r="I67" s="216"/>
      <c r="J67" s="216"/>
      <c r="K67" s="216"/>
      <c r="L67" s="216"/>
      <c r="M67" s="216"/>
      <c r="N67" s="216"/>
      <c r="O67" s="216" t="s">
        <v>800</v>
      </c>
    </row>
    <row r="68" spans="1:15">
      <c r="A68" s="274"/>
      <c r="B68" s="275"/>
      <c r="C68" s="269"/>
      <c r="D68" s="242"/>
      <c r="E68" s="242"/>
      <c r="F68" s="233" t="s">
        <v>932</v>
      </c>
      <c r="G68" s="216"/>
      <c r="H68" s="216"/>
      <c r="I68" s="216"/>
      <c r="J68" s="216"/>
      <c r="K68" s="216"/>
      <c r="L68" s="216"/>
      <c r="M68" s="216"/>
      <c r="N68" s="216"/>
      <c r="O68" s="216" t="s">
        <v>800</v>
      </c>
    </row>
    <row r="69" spans="1:15">
      <c r="A69" s="274"/>
      <c r="B69" s="275"/>
      <c r="C69" s="269"/>
      <c r="D69" s="242"/>
      <c r="E69" s="242"/>
      <c r="F69" s="233" t="s">
        <v>933</v>
      </c>
      <c r="G69" s="216"/>
      <c r="H69" s="216"/>
      <c r="I69" s="216"/>
      <c r="J69" s="216"/>
      <c r="K69" s="216"/>
      <c r="L69" s="216"/>
      <c r="M69" s="216"/>
      <c r="N69" s="216"/>
      <c r="O69" s="216" t="s">
        <v>902</v>
      </c>
    </row>
    <row r="70" spans="1:15">
      <c r="A70" s="274"/>
      <c r="B70" s="275"/>
      <c r="C70" s="269"/>
      <c r="D70" s="242"/>
      <c r="E70" s="242"/>
      <c r="F70" s="233" t="s">
        <v>934</v>
      </c>
      <c r="G70" s="216"/>
      <c r="H70" s="216"/>
      <c r="I70" s="216"/>
      <c r="J70" s="216"/>
      <c r="K70" s="216"/>
      <c r="L70" s="216"/>
      <c r="M70" s="216"/>
      <c r="N70" s="216"/>
      <c r="O70" s="216" t="s">
        <v>896</v>
      </c>
    </row>
    <row r="71" spans="1:15">
      <c r="A71" s="274"/>
      <c r="B71" s="275"/>
      <c r="C71" s="270"/>
      <c r="D71" s="242"/>
      <c r="E71" s="242"/>
      <c r="F71" s="233" t="s">
        <v>935</v>
      </c>
      <c r="G71" s="216"/>
      <c r="H71" s="216"/>
      <c r="I71" s="216"/>
      <c r="J71" s="216"/>
      <c r="K71" s="216"/>
      <c r="L71" s="216"/>
      <c r="M71" s="216"/>
      <c r="N71" s="216"/>
      <c r="O71" s="216" t="s">
        <v>918</v>
      </c>
    </row>
    <row r="72" spans="1:15">
      <c r="A72" s="274"/>
      <c r="B72" s="275"/>
      <c r="C72" s="265">
        <v>50</v>
      </c>
      <c r="D72" s="238"/>
      <c r="E72" s="238">
        <v>1</v>
      </c>
      <c r="F72" s="16" t="s">
        <v>936</v>
      </c>
      <c r="G72" s="165">
        <v>3</v>
      </c>
      <c r="H72" s="165">
        <v>24</v>
      </c>
      <c r="I72" s="165">
        <v>185</v>
      </c>
      <c r="J72" s="165">
        <v>1</v>
      </c>
      <c r="K72" s="165">
        <v>4532</v>
      </c>
      <c r="L72" s="165">
        <v>1</v>
      </c>
      <c r="M72" s="165"/>
      <c r="N72" s="165"/>
      <c r="O72" s="165"/>
    </row>
    <row r="73" spans="1:15" ht="30">
      <c r="A73" s="274"/>
      <c r="B73" s="275"/>
      <c r="C73" s="266"/>
      <c r="D73" s="238">
        <v>8.7899999999999991</v>
      </c>
      <c r="E73" s="238">
        <v>2</v>
      </c>
      <c r="F73" s="16" t="s">
        <v>795</v>
      </c>
      <c r="G73" s="165">
        <v>0</v>
      </c>
      <c r="H73" s="165">
        <v>3</v>
      </c>
      <c r="I73" s="165">
        <v>32</v>
      </c>
      <c r="J73" s="165">
        <v>0</v>
      </c>
      <c r="K73" s="165">
        <v>1594</v>
      </c>
      <c r="L73" s="165">
        <v>0</v>
      </c>
      <c r="M73" s="165"/>
      <c r="N73" s="165"/>
      <c r="O73" s="174" t="s">
        <v>911</v>
      </c>
    </row>
    <row r="74" spans="1:15">
      <c r="A74" s="274"/>
      <c r="B74" s="275"/>
      <c r="C74" s="266"/>
      <c r="D74" s="238"/>
      <c r="E74" s="238">
        <v>2</v>
      </c>
      <c r="F74" s="4" t="s">
        <v>937</v>
      </c>
      <c r="G74" s="165">
        <v>0</v>
      </c>
      <c r="H74" s="165">
        <v>0</v>
      </c>
      <c r="I74" s="165">
        <v>6</v>
      </c>
      <c r="J74" s="174">
        <v>0</v>
      </c>
      <c r="K74" s="174">
        <v>22</v>
      </c>
      <c r="L74" s="174">
        <v>0</v>
      </c>
      <c r="M74" s="165"/>
      <c r="N74" s="165"/>
      <c r="O74" s="165" t="s">
        <v>938</v>
      </c>
    </row>
    <row r="75" spans="1:15" ht="30">
      <c r="A75" s="274"/>
      <c r="B75" s="275"/>
      <c r="C75" s="266"/>
      <c r="D75" s="238"/>
      <c r="E75" s="238"/>
      <c r="F75" s="55" t="s">
        <v>939</v>
      </c>
      <c r="G75" s="165"/>
      <c r="H75" s="165"/>
      <c r="I75" s="165"/>
      <c r="J75" s="174"/>
      <c r="K75" s="174"/>
      <c r="L75" s="174"/>
      <c r="M75" s="165"/>
      <c r="N75" s="165"/>
      <c r="O75" s="174" t="s">
        <v>940</v>
      </c>
    </row>
    <row r="76" spans="1:15" ht="30">
      <c r="A76" s="274"/>
      <c r="B76" s="275"/>
      <c r="C76" s="266"/>
      <c r="D76" s="238"/>
      <c r="E76" s="238"/>
      <c r="F76" s="233" t="s">
        <v>914</v>
      </c>
      <c r="G76" s="165"/>
      <c r="H76" s="165"/>
      <c r="I76" s="165"/>
      <c r="J76" s="174"/>
      <c r="K76" s="174"/>
      <c r="L76" s="174"/>
      <c r="M76" s="165"/>
      <c r="N76" s="165"/>
      <c r="O76" s="174" t="s">
        <v>800</v>
      </c>
    </row>
    <row r="77" spans="1:15">
      <c r="A77" s="274"/>
      <c r="B77" s="275"/>
      <c r="C77" s="266"/>
      <c r="D77" s="238"/>
      <c r="E77" s="238"/>
      <c r="F77" s="233" t="s">
        <v>916</v>
      </c>
      <c r="G77" s="165"/>
      <c r="H77" s="165"/>
      <c r="I77" s="165"/>
      <c r="J77" s="174"/>
      <c r="K77" s="174"/>
      <c r="L77" s="174"/>
      <c r="M77" s="165"/>
      <c r="N77" s="165"/>
      <c r="O77" s="165" t="s">
        <v>896</v>
      </c>
    </row>
    <row r="78" spans="1:15">
      <c r="A78" s="274"/>
      <c r="B78" s="275"/>
      <c r="C78" s="266"/>
      <c r="D78" s="238"/>
      <c r="E78" s="238"/>
      <c r="F78" s="233" t="s">
        <v>917</v>
      </c>
      <c r="G78" s="165"/>
      <c r="H78" s="165"/>
      <c r="I78" s="165"/>
      <c r="J78" s="174"/>
      <c r="K78" s="174"/>
      <c r="L78" s="174"/>
      <c r="M78" s="165"/>
      <c r="N78" s="165"/>
      <c r="O78" s="165" t="s">
        <v>918</v>
      </c>
    </row>
    <row r="79" spans="1:15" ht="30">
      <c r="A79" s="274"/>
      <c r="B79" s="275"/>
      <c r="C79" s="266"/>
      <c r="D79" s="238"/>
      <c r="E79" s="238"/>
      <c r="F79" s="233" t="s">
        <v>919</v>
      </c>
      <c r="G79" s="165"/>
      <c r="H79" s="165"/>
      <c r="I79" s="165"/>
      <c r="J79" s="165"/>
      <c r="K79" s="165"/>
      <c r="L79" s="165"/>
      <c r="M79" s="165"/>
      <c r="N79" s="165"/>
      <c r="O79" s="174" t="s">
        <v>941</v>
      </c>
    </row>
    <row r="80" spans="1:15" ht="30">
      <c r="A80" s="274"/>
      <c r="B80" s="275"/>
      <c r="C80" s="266"/>
      <c r="D80" s="238"/>
      <c r="E80" s="238"/>
      <c r="F80" s="233" t="s">
        <v>921</v>
      </c>
      <c r="G80" s="165"/>
      <c r="H80" s="165"/>
      <c r="I80" s="165"/>
      <c r="J80" s="165"/>
      <c r="K80" s="165"/>
      <c r="L80" s="165"/>
      <c r="M80" s="165"/>
      <c r="N80" s="165"/>
      <c r="O80" s="174" t="s">
        <v>800</v>
      </c>
    </row>
    <row r="81" spans="1:15" ht="30">
      <c r="A81" s="274"/>
      <c r="B81" s="275"/>
      <c r="C81" s="266"/>
      <c r="D81" s="238"/>
      <c r="E81" s="238"/>
      <c r="F81" s="233" t="s">
        <v>942</v>
      </c>
      <c r="G81" s="165"/>
      <c r="H81" s="165"/>
      <c r="I81" s="165"/>
      <c r="J81" s="165"/>
      <c r="K81" s="165"/>
      <c r="L81" s="165"/>
      <c r="M81" s="165"/>
      <c r="N81" s="165"/>
      <c r="O81" s="174" t="s">
        <v>800</v>
      </c>
    </row>
    <row r="82" spans="1:15" ht="30">
      <c r="A82" s="274"/>
      <c r="B82" s="275"/>
      <c r="C82" s="266"/>
      <c r="D82" s="238"/>
      <c r="E82" s="238"/>
      <c r="F82" s="233" t="s">
        <v>922</v>
      </c>
      <c r="G82" s="165"/>
      <c r="H82" s="165"/>
      <c r="I82" s="165"/>
      <c r="J82" s="165"/>
      <c r="K82" s="165"/>
      <c r="L82" s="165"/>
      <c r="M82" s="165"/>
      <c r="N82" s="165"/>
      <c r="O82" s="174" t="s">
        <v>800</v>
      </c>
    </row>
    <row r="83" spans="1:15">
      <c r="A83" s="274"/>
      <c r="B83" s="275"/>
      <c r="C83" s="266"/>
      <c r="D83" s="238"/>
      <c r="E83" s="238"/>
      <c r="F83" s="233" t="s">
        <v>923</v>
      </c>
      <c r="G83" s="165"/>
      <c r="H83" s="165"/>
      <c r="I83" s="165"/>
      <c r="J83" s="165"/>
      <c r="K83" s="165"/>
      <c r="L83" s="165"/>
      <c r="M83" s="165"/>
      <c r="N83" s="165"/>
      <c r="O83" s="165" t="s">
        <v>896</v>
      </c>
    </row>
    <row r="84" spans="1:15">
      <c r="A84" s="274"/>
      <c r="B84" s="275"/>
      <c r="C84" s="266"/>
      <c r="D84" s="238"/>
      <c r="E84" s="238"/>
      <c r="F84" s="233" t="s">
        <v>924</v>
      </c>
      <c r="G84" s="165"/>
      <c r="H84" s="165"/>
      <c r="I84" s="165"/>
      <c r="J84" s="165"/>
      <c r="K84" s="165"/>
      <c r="L84" s="165"/>
      <c r="M84" s="165"/>
      <c r="N84" s="165"/>
      <c r="O84" s="165" t="s">
        <v>918</v>
      </c>
    </row>
    <row r="85" spans="1:15" ht="30">
      <c r="A85" s="274"/>
      <c r="B85" s="275"/>
      <c r="C85" s="266"/>
      <c r="D85" s="238"/>
      <c r="E85" s="238"/>
      <c r="F85" s="233" t="s">
        <v>925</v>
      </c>
      <c r="G85" s="165"/>
      <c r="H85" s="165"/>
      <c r="I85" s="165"/>
      <c r="J85" s="165"/>
      <c r="K85" s="165"/>
      <c r="L85" s="165"/>
      <c r="M85" s="165"/>
      <c r="N85" s="165"/>
      <c r="O85" s="174" t="s">
        <v>800</v>
      </c>
    </row>
    <row r="86" spans="1:15" ht="30">
      <c r="A86" s="274"/>
      <c r="B86" s="275"/>
      <c r="C86" s="266"/>
      <c r="D86" s="238"/>
      <c r="E86" s="238"/>
      <c r="F86" s="233" t="s">
        <v>943</v>
      </c>
      <c r="G86" s="165"/>
      <c r="H86" s="165"/>
      <c r="I86" s="165"/>
      <c r="J86" s="165"/>
      <c r="K86" s="165"/>
      <c r="L86" s="165"/>
      <c r="M86" s="165"/>
      <c r="N86" s="165"/>
      <c r="O86" s="174" t="s">
        <v>800</v>
      </c>
    </row>
    <row r="87" spans="1:15" ht="30">
      <c r="A87" s="274"/>
      <c r="B87" s="275"/>
      <c r="C87" s="266"/>
      <c r="D87" s="238"/>
      <c r="E87" s="238"/>
      <c r="F87" s="233" t="s">
        <v>926</v>
      </c>
      <c r="G87" s="165"/>
      <c r="H87" s="165"/>
      <c r="I87" s="165"/>
      <c r="J87" s="165"/>
      <c r="K87" s="165"/>
      <c r="L87" s="165"/>
      <c r="M87" s="165"/>
      <c r="N87" s="165"/>
      <c r="O87" s="174" t="s">
        <v>800</v>
      </c>
    </row>
    <row r="88" spans="1:15">
      <c r="A88" s="274"/>
      <c r="B88" s="275"/>
      <c r="C88" s="266"/>
      <c r="D88" s="238"/>
      <c r="E88" s="238"/>
      <c r="F88" s="233" t="s">
        <v>927</v>
      </c>
      <c r="G88" s="165"/>
      <c r="H88" s="165"/>
      <c r="I88" s="165"/>
      <c r="J88" s="165"/>
      <c r="K88" s="165"/>
      <c r="L88" s="165"/>
      <c r="M88" s="165"/>
      <c r="N88" s="165"/>
      <c r="O88" s="165" t="s">
        <v>896</v>
      </c>
    </row>
    <row r="89" spans="1:15">
      <c r="A89" s="274"/>
      <c r="B89" s="275"/>
      <c r="C89" s="267"/>
      <c r="D89" s="238"/>
      <c r="E89" s="238"/>
      <c r="F89" s="233" t="s">
        <v>928</v>
      </c>
      <c r="G89" s="165"/>
      <c r="H89" s="165"/>
      <c r="I89" s="165"/>
      <c r="J89" s="165"/>
      <c r="K89" s="165"/>
      <c r="L89" s="165"/>
      <c r="M89" s="165"/>
      <c r="N89" s="165"/>
      <c r="O89" s="165" t="s">
        <v>918</v>
      </c>
    </row>
    <row r="90" spans="1:15">
      <c r="A90" s="274"/>
      <c r="B90" s="275"/>
      <c r="C90" s="268">
        <v>51</v>
      </c>
      <c r="D90" s="242"/>
      <c r="E90" s="242">
        <v>1</v>
      </c>
      <c r="F90" s="8" t="s">
        <v>944</v>
      </c>
      <c r="G90" s="216">
        <v>3</v>
      </c>
      <c r="H90" s="216">
        <v>26</v>
      </c>
      <c r="I90" s="216">
        <v>204</v>
      </c>
      <c r="J90" s="216">
        <v>0</v>
      </c>
      <c r="K90" s="216">
        <v>1164</v>
      </c>
      <c r="L90" s="216">
        <v>0</v>
      </c>
      <c r="M90" s="216"/>
      <c r="N90" s="216"/>
      <c r="O90" s="216"/>
    </row>
    <row r="91" spans="1:15" ht="30">
      <c r="A91" s="274"/>
      <c r="B91" s="275"/>
      <c r="C91" s="269"/>
      <c r="D91" s="242">
        <v>8.7899999999999991</v>
      </c>
      <c r="E91" s="242">
        <v>2</v>
      </c>
      <c r="F91" s="8" t="s">
        <v>795</v>
      </c>
      <c r="G91" s="216">
        <v>0</v>
      </c>
      <c r="H91" s="216">
        <v>3</v>
      </c>
      <c r="I91" s="216">
        <v>32</v>
      </c>
      <c r="J91" s="216">
        <v>0</v>
      </c>
      <c r="K91" s="216">
        <v>1594</v>
      </c>
      <c r="L91" s="216">
        <v>0</v>
      </c>
      <c r="M91" s="216"/>
      <c r="N91" s="216"/>
      <c r="O91" s="218" t="s">
        <v>911</v>
      </c>
    </row>
    <row r="92" spans="1:15">
      <c r="A92" s="274"/>
      <c r="B92" s="275"/>
      <c r="C92" s="269"/>
      <c r="D92" s="242"/>
      <c r="E92" s="242">
        <v>2</v>
      </c>
      <c r="F92" s="244" t="s">
        <v>681</v>
      </c>
      <c r="G92" s="216">
        <v>0</v>
      </c>
      <c r="H92" s="216">
        <v>0</v>
      </c>
      <c r="I92" s="216">
        <v>0</v>
      </c>
      <c r="J92" s="216">
        <v>0</v>
      </c>
      <c r="K92" s="216">
        <v>0</v>
      </c>
      <c r="L92" s="216">
        <v>0</v>
      </c>
      <c r="M92" s="216"/>
      <c r="N92" s="216"/>
      <c r="O92" s="216" t="s">
        <v>682</v>
      </c>
    </row>
    <row r="93" spans="1:15">
      <c r="A93" s="274"/>
      <c r="B93" s="275"/>
      <c r="C93" s="269"/>
      <c r="D93" s="242"/>
      <c r="E93" s="242"/>
      <c r="F93" s="233" t="s">
        <v>945</v>
      </c>
      <c r="G93" s="216"/>
      <c r="H93" s="216"/>
      <c r="I93" s="216"/>
      <c r="J93" s="216"/>
      <c r="K93" s="216"/>
      <c r="L93" s="216"/>
      <c r="M93" s="216"/>
      <c r="N93" s="216"/>
      <c r="O93" s="218" t="s">
        <v>902</v>
      </c>
    </row>
    <row r="94" spans="1:15">
      <c r="A94" s="274"/>
      <c r="B94" s="275"/>
      <c r="C94" s="269"/>
      <c r="D94" s="242"/>
      <c r="E94" s="242"/>
      <c r="F94" s="244" t="s">
        <v>946</v>
      </c>
      <c r="G94" s="216"/>
      <c r="H94" s="216"/>
      <c r="I94" s="216"/>
      <c r="J94" s="216"/>
      <c r="K94" s="216"/>
      <c r="L94" s="216"/>
      <c r="M94" s="216"/>
      <c r="N94" s="216"/>
      <c r="O94" s="216" t="s">
        <v>947</v>
      </c>
    </row>
    <row r="95" spans="1:15">
      <c r="A95" s="274"/>
      <c r="B95" s="275"/>
      <c r="C95" s="269"/>
      <c r="D95" s="242"/>
      <c r="E95" s="242"/>
      <c r="F95" s="233" t="s">
        <v>948</v>
      </c>
      <c r="G95" s="216"/>
      <c r="H95" s="216"/>
      <c r="I95" s="216"/>
      <c r="J95" s="216"/>
      <c r="K95" s="216"/>
      <c r="L95" s="216"/>
      <c r="M95" s="216"/>
      <c r="N95" s="216"/>
      <c r="O95" s="216" t="s">
        <v>896</v>
      </c>
    </row>
    <row r="96" spans="1:15">
      <c r="A96" s="274"/>
      <c r="B96" s="275"/>
      <c r="C96" s="269"/>
      <c r="D96" s="242"/>
      <c r="E96" s="242"/>
      <c r="F96" s="233" t="s">
        <v>949</v>
      </c>
      <c r="G96" s="216"/>
      <c r="H96" s="216"/>
      <c r="I96" s="216"/>
      <c r="J96" s="216"/>
      <c r="K96" s="216"/>
      <c r="L96" s="216"/>
      <c r="M96" s="216"/>
      <c r="N96" s="216"/>
      <c r="O96" s="216" t="s">
        <v>918</v>
      </c>
    </row>
    <row r="97" spans="1:15">
      <c r="A97" s="274"/>
      <c r="B97" s="275"/>
      <c r="C97" s="269"/>
      <c r="D97" s="242"/>
      <c r="E97" s="242"/>
      <c r="F97" s="244" t="s">
        <v>950</v>
      </c>
      <c r="G97" s="216"/>
      <c r="H97" s="216"/>
      <c r="I97" s="216"/>
      <c r="J97" s="216"/>
      <c r="K97" s="216"/>
      <c r="L97" s="216"/>
      <c r="M97" s="216"/>
      <c r="N97" s="216"/>
      <c r="O97" s="216" t="s">
        <v>800</v>
      </c>
    </row>
    <row r="98" spans="1:15">
      <c r="A98" s="274"/>
      <c r="B98" s="275"/>
      <c r="C98" s="269"/>
      <c r="D98" s="242"/>
      <c r="E98" s="242"/>
      <c r="F98" s="244" t="s">
        <v>951</v>
      </c>
      <c r="G98" s="216"/>
      <c r="H98" s="216"/>
      <c r="I98" s="216"/>
      <c r="J98" s="216"/>
      <c r="K98" s="216"/>
      <c r="L98" s="216"/>
      <c r="M98" s="216"/>
      <c r="N98" s="216"/>
      <c r="O98" s="216" t="s">
        <v>800</v>
      </c>
    </row>
    <row r="99" spans="1:15">
      <c r="A99" s="274"/>
      <c r="B99" s="275"/>
      <c r="C99" s="269"/>
      <c r="D99" s="242"/>
      <c r="E99" s="242"/>
      <c r="F99" s="244" t="s">
        <v>952</v>
      </c>
      <c r="G99" s="216"/>
      <c r="H99" s="216"/>
      <c r="I99" s="216"/>
      <c r="J99" s="216"/>
      <c r="K99" s="216"/>
      <c r="L99" s="216"/>
      <c r="M99" s="216"/>
      <c r="N99" s="216"/>
      <c r="O99" s="216" t="s">
        <v>800</v>
      </c>
    </row>
    <row r="100" spans="1:15">
      <c r="A100" s="274"/>
      <c r="B100" s="275"/>
      <c r="C100" s="269"/>
      <c r="D100" s="242"/>
      <c r="E100" s="242"/>
      <c r="F100" s="244" t="s">
        <v>953</v>
      </c>
      <c r="G100" s="216"/>
      <c r="H100" s="216"/>
      <c r="I100" s="216"/>
      <c r="J100" s="216"/>
      <c r="K100" s="216"/>
      <c r="L100" s="216"/>
      <c r="M100" s="216"/>
      <c r="N100" s="216"/>
      <c r="O100" s="216" t="s">
        <v>896</v>
      </c>
    </row>
    <row r="101" spans="1:15">
      <c r="A101" s="274"/>
      <c r="B101" s="275"/>
      <c r="C101" s="269"/>
      <c r="D101" s="242"/>
      <c r="E101" s="242"/>
      <c r="F101" s="244" t="s">
        <v>954</v>
      </c>
      <c r="G101" s="216"/>
      <c r="H101" s="216"/>
      <c r="I101" s="216"/>
      <c r="J101" s="216"/>
      <c r="K101" s="216"/>
      <c r="L101" s="216"/>
      <c r="M101" s="216"/>
      <c r="N101" s="216"/>
      <c r="O101" s="216" t="s">
        <v>918</v>
      </c>
    </row>
    <row r="102" spans="1:15">
      <c r="A102" s="274"/>
      <c r="B102" s="275"/>
      <c r="C102" s="269"/>
      <c r="D102" s="242"/>
      <c r="E102" s="242"/>
      <c r="F102" s="244" t="s">
        <v>955</v>
      </c>
      <c r="G102" s="216"/>
      <c r="H102" s="216"/>
      <c r="I102" s="216"/>
      <c r="J102" s="216"/>
      <c r="K102" s="216"/>
      <c r="L102" s="216"/>
      <c r="M102" s="216"/>
      <c r="N102" s="216"/>
      <c r="O102" s="216" t="s">
        <v>800</v>
      </c>
    </row>
    <row r="103" spans="1:15">
      <c r="A103" s="274"/>
      <c r="B103" s="275"/>
      <c r="C103" s="269"/>
      <c r="D103" s="242"/>
      <c r="E103" s="242"/>
      <c r="F103" s="244" t="s">
        <v>956</v>
      </c>
      <c r="G103" s="216"/>
      <c r="H103" s="216"/>
      <c r="I103" s="216"/>
      <c r="J103" s="216"/>
      <c r="K103" s="216"/>
      <c r="L103" s="216"/>
      <c r="M103" s="216"/>
      <c r="N103" s="216"/>
      <c r="O103" s="216" t="s">
        <v>800</v>
      </c>
    </row>
    <row r="104" spans="1:15">
      <c r="A104" s="274"/>
      <c r="B104" s="275"/>
      <c r="C104" s="269"/>
      <c r="D104" s="242"/>
      <c r="E104" s="242"/>
      <c r="F104" s="244" t="s">
        <v>957</v>
      </c>
      <c r="G104" s="216"/>
      <c r="H104" s="216"/>
      <c r="I104" s="216"/>
      <c r="J104" s="216"/>
      <c r="K104" s="216"/>
      <c r="L104" s="216"/>
      <c r="M104" s="216"/>
      <c r="N104" s="216"/>
      <c r="O104" s="216" t="s">
        <v>800</v>
      </c>
    </row>
    <row r="105" spans="1:15">
      <c r="A105" s="274"/>
      <c r="B105" s="275"/>
      <c r="C105" s="269"/>
      <c r="D105" s="242"/>
      <c r="E105" s="242"/>
      <c r="F105" s="244" t="s">
        <v>958</v>
      </c>
      <c r="G105" s="216"/>
      <c r="H105" s="216"/>
      <c r="I105" s="216"/>
      <c r="J105" s="216"/>
      <c r="K105" s="216"/>
      <c r="L105" s="216"/>
      <c r="M105" s="216"/>
      <c r="N105" s="216"/>
      <c r="O105" s="216" t="s">
        <v>896</v>
      </c>
    </row>
    <row r="106" spans="1:15">
      <c r="A106" s="274"/>
      <c r="B106" s="275"/>
      <c r="C106" s="270"/>
      <c r="D106" s="242"/>
      <c r="E106" s="242"/>
      <c r="F106" s="244" t="s">
        <v>959</v>
      </c>
      <c r="G106" s="216"/>
      <c r="H106" s="216"/>
      <c r="I106" s="216"/>
      <c r="J106" s="216"/>
      <c r="K106" s="216"/>
      <c r="L106" s="216"/>
      <c r="M106" s="216"/>
      <c r="N106" s="216"/>
      <c r="O106" s="216" t="s">
        <v>918</v>
      </c>
    </row>
    <row r="107" spans="1:15">
      <c r="A107" s="274"/>
      <c r="B107" s="275"/>
      <c r="C107" s="265">
        <v>52</v>
      </c>
      <c r="D107" s="238"/>
      <c r="E107" s="238">
        <v>1</v>
      </c>
      <c r="F107" s="17" t="s">
        <v>960</v>
      </c>
      <c r="G107" s="165">
        <v>2</v>
      </c>
      <c r="H107" s="165">
        <v>4</v>
      </c>
      <c r="I107" s="165">
        <v>13</v>
      </c>
      <c r="J107" s="165">
        <v>0</v>
      </c>
      <c r="K107" s="165">
        <v>1484</v>
      </c>
      <c r="L107" s="165">
        <v>0</v>
      </c>
      <c r="M107" s="165"/>
      <c r="N107" s="165"/>
      <c r="O107" s="165"/>
    </row>
    <row r="108" spans="1:15" ht="30">
      <c r="A108" s="274"/>
      <c r="B108" s="275"/>
      <c r="C108" s="266"/>
      <c r="D108" s="238">
        <v>8.7899999999999991</v>
      </c>
      <c r="E108" s="238">
        <v>2</v>
      </c>
      <c r="F108" s="31" t="s">
        <v>795</v>
      </c>
      <c r="G108" s="165">
        <v>0</v>
      </c>
      <c r="H108" s="165">
        <v>3</v>
      </c>
      <c r="I108" s="165">
        <v>32</v>
      </c>
      <c r="J108" s="165">
        <v>0</v>
      </c>
      <c r="K108" s="165">
        <v>1594</v>
      </c>
      <c r="L108" s="165">
        <v>0</v>
      </c>
      <c r="M108" s="165"/>
      <c r="N108" s="165"/>
      <c r="O108" s="174" t="s">
        <v>961</v>
      </c>
    </row>
    <row r="109" spans="1:15">
      <c r="A109" s="274"/>
      <c r="B109" s="275"/>
      <c r="C109" s="266"/>
      <c r="D109" s="238"/>
      <c r="E109" s="238"/>
      <c r="F109" s="53" t="s">
        <v>962</v>
      </c>
      <c r="G109" s="165"/>
      <c r="H109" s="165"/>
      <c r="I109" s="165"/>
      <c r="J109" s="165"/>
      <c r="K109" s="165"/>
      <c r="L109" s="165"/>
      <c r="M109" s="165"/>
      <c r="N109" s="165"/>
      <c r="O109" s="165" t="s">
        <v>963</v>
      </c>
    </row>
    <row r="110" spans="1:15">
      <c r="A110" s="274"/>
      <c r="B110" s="275"/>
      <c r="C110" s="266"/>
      <c r="D110" s="238"/>
      <c r="E110" s="238"/>
      <c r="F110" s="53" t="s">
        <v>964</v>
      </c>
      <c r="G110" s="165"/>
      <c r="H110" s="165"/>
      <c r="I110" s="165"/>
      <c r="J110" s="165"/>
      <c r="K110" s="165"/>
      <c r="L110" s="165"/>
      <c r="M110" s="165"/>
      <c r="N110" s="165"/>
      <c r="O110" s="165" t="s">
        <v>800</v>
      </c>
    </row>
    <row r="111" spans="1:15">
      <c r="A111" s="274"/>
      <c r="B111" s="275"/>
      <c r="C111" s="266"/>
      <c r="D111" s="238"/>
      <c r="E111" s="238"/>
      <c r="F111" s="53" t="s">
        <v>965</v>
      </c>
      <c r="G111" s="165"/>
      <c r="H111" s="165"/>
      <c r="I111" s="165"/>
      <c r="J111" s="165"/>
      <c r="K111" s="165"/>
      <c r="L111" s="165"/>
      <c r="M111" s="165"/>
      <c r="N111" s="165"/>
      <c r="O111" s="165" t="s">
        <v>800</v>
      </c>
    </row>
    <row r="112" spans="1:15">
      <c r="A112" s="274"/>
      <c r="B112" s="275"/>
      <c r="C112" s="266"/>
      <c r="D112" s="238"/>
      <c r="E112" s="238"/>
      <c r="F112" s="53" t="s">
        <v>966</v>
      </c>
      <c r="G112" s="165"/>
      <c r="H112" s="165"/>
      <c r="I112" s="165"/>
      <c r="J112" s="165"/>
      <c r="K112" s="165"/>
      <c r="L112" s="165"/>
      <c r="M112" s="165"/>
      <c r="N112" s="165"/>
      <c r="O112" s="165" t="s">
        <v>800</v>
      </c>
    </row>
    <row r="113" spans="1:15">
      <c r="A113" s="274"/>
      <c r="B113" s="275"/>
      <c r="C113" s="266"/>
      <c r="D113" s="238"/>
      <c r="E113" s="238"/>
      <c r="F113" s="53" t="s">
        <v>967</v>
      </c>
      <c r="G113" s="165"/>
      <c r="H113" s="165"/>
      <c r="I113" s="165"/>
      <c r="J113" s="165"/>
      <c r="K113" s="165"/>
      <c r="L113" s="165"/>
      <c r="M113" s="165"/>
      <c r="N113" s="165"/>
      <c r="O113" s="165" t="s">
        <v>800</v>
      </c>
    </row>
    <row r="114" spans="1:15">
      <c r="A114" s="274"/>
      <c r="B114" s="275"/>
      <c r="C114" s="267"/>
      <c r="D114" s="238"/>
      <c r="E114" s="238"/>
      <c r="F114" s="53" t="s">
        <v>968</v>
      </c>
      <c r="G114" s="165"/>
      <c r="H114" s="165"/>
      <c r="I114" s="165"/>
      <c r="J114" s="165"/>
      <c r="K114" s="165"/>
      <c r="L114" s="165"/>
      <c r="M114" s="165"/>
      <c r="N114" s="165"/>
      <c r="O114" s="165" t="s">
        <v>800</v>
      </c>
    </row>
    <row r="115" spans="1:15">
      <c r="A115" s="240"/>
      <c r="B115" s="240"/>
      <c r="C115" s="240"/>
      <c r="D115" s="240"/>
      <c r="E115" s="240"/>
      <c r="F115"/>
      <c r="G115" s="240"/>
      <c r="H115" s="240"/>
      <c r="I115" s="240"/>
      <c r="J115" s="240"/>
      <c r="K115" s="240"/>
      <c r="L115" s="240"/>
      <c r="M115" s="240"/>
      <c r="N115" s="240"/>
      <c r="O115" s="240"/>
    </row>
    <row r="116" spans="1:15">
      <c r="A116" s="240"/>
      <c r="B116" s="240"/>
      <c r="C116" s="240"/>
      <c r="D116" s="240"/>
      <c r="E116" s="240"/>
      <c r="F116"/>
      <c r="G116" s="240"/>
      <c r="H116" s="240"/>
      <c r="I116" s="240"/>
      <c r="J116" s="240"/>
      <c r="K116" s="240"/>
      <c r="L116" s="240"/>
      <c r="M116" s="240"/>
      <c r="N116" s="240"/>
      <c r="O116" s="240"/>
    </row>
    <row r="117" spans="1:15">
      <c r="A117" s="240"/>
      <c r="B117" s="240"/>
      <c r="C117" s="240"/>
      <c r="D117" s="240"/>
      <c r="E117" s="240"/>
      <c r="F117"/>
      <c r="G117" s="240"/>
      <c r="H117" s="240"/>
      <c r="I117" s="240"/>
      <c r="J117" s="240"/>
      <c r="K117" s="240"/>
      <c r="L117" s="240"/>
      <c r="M117" s="240"/>
      <c r="N117" s="240"/>
      <c r="O117" s="240"/>
    </row>
    <row r="118" spans="1:15">
      <c r="A118" s="240"/>
      <c r="B118" s="240"/>
      <c r="C118" s="240"/>
      <c r="D118" s="240"/>
      <c r="E118" s="240"/>
      <c r="F118"/>
      <c r="G118" s="240"/>
      <c r="H118" s="240"/>
      <c r="I118" s="240"/>
      <c r="J118" s="240"/>
      <c r="K118" s="240"/>
      <c r="L118" s="240"/>
      <c r="M118" s="240"/>
      <c r="N118" s="240"/>
      <c r="O118" s="240"/>
    </row>
    <row r="119" spans="1:15">
      <c r="A119" s="240"/>
      <c r="B119" s="240"/>
      <c r="C119" s="240"/>
      <c r="D119"/>
      <c r="E119"/>
      <c r="F119"/>
      <c r="G119"/>
      <c r="H119" s="240"/>
      <c r="I119" s="240"/>
      <c r="J119" s="240"/>
      <c r="K119" s="240"/>
      <c r="L119" s="240"/>
      <c r="M119" s="240"/>
      <c r="N119" s="240"/>
      <c r="O119" s="240"/>
    </row>
    <row r="120" spans="1:15">
      <c r="A120" s="240"/>
      <c r="B120" s="240"/>
      <c r="C120" s="240"/>
      <c r="D120"/>
      <c r="E120"/>
      <c r="F120"/>
      <c r="G120"/>
      <c r="H120" s="240"/>
      <c r="I120" s="240"/>
      <c r="J120" s="240"/>
      <c r="K120" s="240"/>
      <c r="L120" s="240"/>
      <c r="M120" s="240"/>
      <c r="N120" s="240"/>
      <c r="O120" s="240"/>
    </row>
    <row r="121" spans="1:15">
      <c r="A121" s="240"/>
      <c r="B121" s="240"/>
      <c r="C121" s="240"/>
      <c r="D121"/>
      <c r="E121"/>
      <c r="F121"/>
      <c r="G121"/>
      <c r="H121" s="240"/>
      <c r="I121" s="240"/>
      <c r="J121" s="240"/>
      <c r="K121" s="240"/>
      <c r="L121" s="240"/>
      <c r="M121" s="240"/>
      <c r="N121" s="240"/>
      <c r="O121" s="240"/>
    </row>
    <row r="122" spans="1:15">
      <c r="A122" s="240"/>
      <c r="B122" s="240"/>
      <c r="C122" s="240"/>
      <c r="D122"/>
      <c r="E122"/>
      <c r="F122"/>
      <c r="G122"/>
      <c r="H122" s="240"/>
      <c r="I122" s="240"/>
      <c r="J122" s="240"/>
      <c r="K122" s="240"/>
      <c r="L122" s="240"/>
      <c r="M122" s="240"/>
      <c r="N122" s="240"/>
      <c r="O122" s="240"/>
    </row>
    <row r="123" spans="1:15">
      <c r="A123" s="240"/>
      <c r="B123" s="240"/>
      <c r="C123" s="240"/>
      <c r="D123"/>
      <c r="E123"/>
      <c r="F123"/>
      <c r="G123"/>
      <c r="H123" s="240"/>
      <c r="I123" s="240"/>
      <c r="J123" s="240"/>
      <c r="K123" s="240"/>
      <c r="L123" s="240"/>
      <c r="M123" s="240"/>
      <c r="N123" s="240"/>
      <c r="O123" s="240"/>
    </row>
    <row r="124" spans="1:15">
      <c r="A124" s="240"/>
      <c r="B124" s="240"/>
      <c r="C124" s="240"/>
      <c r="D124"/>
      <c r="E124"/>
      <c r="F124"/>
      <c r="G124"/>
      <c r="H124" s="240"/>
      <c r="I124" s="240"/>
      <c r="J124" s="240"/>
      <c r="K124" s="240"/>
      <c r="L124" s="240"/>
      <c r="M124" s="240"/>
      <c r="N124" s="240"/>
      <c r="O124" s="240"/>
    </row>
    <row r="125" spans="1:15">
      <c r="A125" s="240"/>
      <c r="B125" s="240"/>
      <c r="C125" s="240"/>
      <c r="D125"/>
      <c r="E125"/>
      <c r="F125"/>
      <c r="G125"/>
      <c r="H125" s="240"/>
      <c r="I125" s="240"/>
      <c r="J125" s="240"/>
      <c r="K125" s="240"/>
      <c r="L125" s="240"/>
      <c r="M125" s="240"/>
      <c r="N125" s="240"/>
      <c r="O125" s="240"/>
    </row>
    <row r="126" spans="1:15">
      <c r="A126" s="240"/>
      <c r="B126" s="240"/>
      <c r="C126" s="240"/>
      <c r="D126"/>
      <c r="E126"/>
      <c r="F126"/>
      <c r="G126"/>
      <c r="H126" s="240"/>
      <c r="I126" s="240"/>
      <c r="J126" s="240"/>
      <c r="K126" s="240"/>
      <c r="L126" s="240"/>
      <c r="M126" s="240"/>
      <c r="N126" s="240"/>
      <c r="O126" s="240"/>
    </row>
    <row r="127" spans="1:15">
      <c r="A127" s="240"/>
      <c r="B127" s="240"/>
      <c r="C127" s="240"/>
      <c r="D127"/>
      <c r="E127"/>
      <c r="F127"/>
      <c r="G127"/>
      <c r="H127" s="240"/>
      <c r="I127" s="240"/>
      <c r="J127" s="240"/>
      <c r="K127" s="240"/>
      <c r="L127" s="240"/>
      <c r="M127" s="240"/>
      <c r="N127" s="240"/>
      <c r="O127" s="240"/>
    </row>
    <row r="128" spans="1:15">
      <c r="A128" s="240"/>
      <c r="B128" s="240"/>
      <c r="C128" s="240"/>
      <c r="D128"/>
      <c r="E128"/>
      <c r="F128"/>
      <c r="G128"/>
      <c r="H128" s="240"/>
      <c r="I128" s="240"/>
      <c r="J128" s="240"/>
      <c r="K128" s="240"/>
      <c r="L128" s="240"/>
      <c r="M128" s="240"/>
      <c r="N128" s="240"/>
      <c r="O128" s="240"/>
    </row>
    <row r="129" spans="4:7">
      <c r="D129"/>
      <c r="E129"/>
      <c r="F129"/>
      <c r="G129"/>
    </row>
    <row r="130" spans="4:7">
      <c r="D130"/>
      <c r="E130"/>
      <c r="F130"/>
      <c r="G130"/>
    </row>
    <row r="131" spans="4:7">
      <c r="D131"/>
      <c r="E131"/>
      <c r="F131"/>
      <c r="G131"/>
    </row>
    <row r="132" spans="4:7">
      <c r="D132"/>
      <c r="E132"/>
      <c r="F132"/>
      <c r="G132"/>
    </row>
    <row r="133" spans="4:7">
      <c r="D133"/>
      <c r="E133"/>
      <c r="F133"/>
      <c r="G133"/>
    </row>
    <row r="134" spans="4:7">
      <c r="D134"/>
      <c r="E134"/>
      <c r="F134"/>
      <c r="G134"/>
    </row>
    <row r="135" spans="4:7">
      <c r="D135"/>
      <c r="E135"/>
      <c r="F135"/>
      <c r="G135"/>
    </row>
    <row r="136" spans="4:7">
      <c r="D136"/>
      <c r="E136"/>
      <c r="F136"/>
      <c r="G136"/>
    </row>
  </sheetData>
  <mergeCells count="13">
    <mergeCell ref="C72:C89"/>
    <mergeCell ref="C107:C114"/>
    <mergeCell ref="A2:A114"/>
    <mergeCell ref="B2:B114"/>
    <mergeCell ref="C5:C15"/>
    <mergeCell ref="C34:C49"/>
    <mergeCell ref="C16:C19"/>
    <mergeCell ref="C20:C27"/>
    <mergeCell ref="C28:C29"/>
    <mergeCell ref="C50:C64"/>
    <mergeCell ref="C31:C33"/>
    <mergeCell ref="C65:C71"/>
    <mergeCell ref="C90:C10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BCC6-5DF8-4A18-A406-0F3C9E1153E5}">
  <dimension ref="A1:O53"/>
  <sheetViews>
    <sheetView zoomScaleNormal="100" workbookViewId="0">
      <pane ySplit="1" topLeftCell="A2" activePane="bottomLeft" state="frozen"/>
      <selection pane="bottomLeft" activeCell="F18" sqref="F18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3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6</v>
      </c>
      <c r="B2" s="277" t="s">
        <v>969</v>
      </c>
      <c r="C2" s="265">
        <v>53</v>
      </c>
      <c r="D2" s="238"/>
      <c r="E2" s="238">
        <v>1</v>
      </c>
      <c r="F2" s="15" t="s">
        <v>970</v>
      </c>
      <c r="G2" s="221">
        <v>2</v>
      </c>
      <c r="H2" s="221">
        <v>3</v>
      </c>
      <c r="I2" s="221">
        <v>12</v>
      </c>
      <c r="J2" s="220">
        <v>1</v>
      </c>
      <c r="K2" s="220">
        <v>311</v>
      </c>
      <c r="L2" s="220">
        <v>0</v>
      </c>
      <c r="M2" s="238"/>
      <c r="N2" s="238"/>
      <c r="O2" s="165" t="s">
        <v>971</v>
      </c>
    </row>
    <row r="3" spans="1:15">
      <c r="A3" s="274"/>
      <c r="B3" s="277"/>
      <c r="C3" s="266"/>
      <c r="D3" s="238"/>
      <c r="E3" s="238">
        <v>2</v>
      </c>
      <c r="F3" s="15" t="s">
        <v>678</v>
      </c>
      <c r="G3" s="221">
        <v>0</v>
      </c>
      <c r="H3" s="221">
        <v>2</v>
      </c>
      <c r="I3" s="221">
        <v>12</v>
      </c>
      <c r="J3" s="220">
        <v>0</v>
      </c>
      <c r="K3" s="220">
        <v>563</v>
      </c>
      <c r="L3" s="220">
        <v>0</v>
      </c>
      <c r="M3" s="238"/>
      <c r="N3" s="238"/>
      <c r="O3" s="165"/>
    </row>
    <row r="4" spans="1:15">
      <c r="A4" s="274"/>
      <c r="B4" s="277"/>
      <c r="C4" s="267"/>
      <c r="D4" s="238"/>
      <c r="E4" s="238">
        <v>2</v>
      </c>
      <c r="F4" s="15" t="s">
        <v>679</v>
      </c>
      <c r="G4" s="221">
        <v>3</v>
      </c>
      <c r="H4" s="221">
        <v>4</v>
      </c>
      <c r="I4" s="221">
        <v>51</v>
      </c>
      <c r="J4" s="220">
        <v>0</v>
      </c>
      <c r="K4" s="220">
        <v>2188</v>
      </c>
      <c r="L4" s="220">
        <v>0</v>
      </c>
      <c r="M4" s="238"/>
      <c r="N4" s="238"/>
      <c r="O4" s="165"/>
    </row>
    <row r="5" spans="1:15">
      <c r="A5" s="274"/>
      <c r="B5" s="277"/>
      <c r="C5" s="242">
        <v>54</v>
      </c>
      <c r="D5" s="242"/>
      <c r="E5" s="242">
        <v>1</v>
      </c>
      <c r="F5" s="23" t="s">
        <v>972</v>
      </c>
      <c r="G5" s="216">
        <v>2</v>
      </c>
      <c r="H5" s="216">
        <v>3</v>
      </c>
      <c r="I5" s="216">
        <v>12</v>
      </c>
      <c r="J5" s="216">
        <v>1</v>
      </c>
      <c r="K5" s="216">
        <v>60</v>
      </c>
      <c r="L5" s="216">
        <v>0</v>
      </c>
      <c r="M5" s="242"/>
      <c r="N5" s="242"/>
      <c r="O5" s="216"/>
    </row>
    <row r="6" spans="1:15">
      <c r="A6" s="274"/>
      <c r="B6" s="277"/>
      <c r="C6" s="265">
        <v>55</v>
      </c>
      <c r="D6" s="238"/>
      <c r="E6" s="238">
        <v>1</v>
      </c>
      <c r="F6" s="15" t="s">
        <v>973</v>
      </c>
      <c r="G6" s="165">
        <v>7</v>
      </c>
      <c r="H6" s="165">
        <v>12</v>
      </c>
      <c r="I6" s="165">
        <v>36</v>
      </c>
      <c r="J6" s="174">
        <v>1</v>
      </c>
      <c r="K6" s="174">
        <v>321</v>
      </c>
      <c r="L6" s="174">
        <v>0</v>
      </c>
      <c r="M6" s="163"/>
      <c r="N6" s="238"/>
      <c r="O6" s="165"/>
    </row>
    <row r="7" spans="1:15">
      <c r="A7" s="274"/>
      <c r="B7" s="277"/>
      <c r="C7" s="266"/>
      <c r="D7" s="238"/>
      <c r="E7" s="238">
        <v>2</v>
      </c>
      <c r="F7" s="15" t="s">
        <v>678</v>
      </c>
      <c r="G7" s="165">
        <v>0</v>
      </c>
      <c r="H7" s="165">
        <v>2</v>
      </c>
      <c r="I7" s="165">
        <v>12</v>
      </c>
      <c r="J7" s="174">
        <v>0</v>
      </c>
      <c r="K7" s="174">
        <v>563</v>
      </c>
      <c r="L7" s="174">
        <v>0</v>
      </c>
      <c r="M7" s="163"/>
      <c r="N7" s="238"/>
      <c r="O7" s="165"/>
    </row>
    <row r="8" spans="1:15">
      <c r="A8" s="274"/>
      <c r="B8" s="277"/>
      <c r="C8" s="267"/>
      <c r="D8" s="238"/>
      <c r="E8" s="238">
        <v>2</v>
      </c>
      <c r="F8" s="15" t="s">
        <v>679</v>
      </c>
      <c r="G8" s="165">
        <v>3</v>
      </c>
      <c r="H8" s="165">
        <v>4</v>
      </c>
      <c r="I8" s="165">
        <v>51</v>
      </c>
      <c r="J8" s="174">
        <v>0</v>
      </c>
      <c r="K8" s="174">
        <v>2188</v>
      </c>
      <c r="L8" s="174">
        <v>0</v>
      </c>
      <c r="M8" s="163"/>
      <c r="N8" s="238"/>
      <c r="O8" s="165"/>
    </row>
    <row r="9" spans="1:15">
      <c r="A9" s="274"/>
      <c r="B9" s="277"/>
      <c r="C9" s="268">
        <v>56</v>
      </c>
      <c r="D9" s="242"/>
      <c r="E9" s="242">
        <v>1</v>
      </c>
      <c r="F9" s="23" t="s">
        <v>974</v>
      </c>
      <c r="G9" s="217">
        <v>0</v>
      </c>
      <c r="H9" s="217">
        <v>2</v>
      </c>
      <c r="I9" s="217">
        <v>6</v>
      </c>
      <c r="J9" s="217">
        <v>0</v>
      </c>
      <c r="K9" s="217">
        <v>22</v>
      </c>
      <c r="L9" s="217">
        <v>0</v>
      </c>
      <c r="M9" s="242"/>
      <c r="N9" s="216"/>
      <c r="O9" s="216"/>
    </row>
    <row r="10" spans="1:15">
      <c r="A10" s="274"/>
      <c r="B10" s="277"/>
      <c r="C10" s="270"/>
      <c r="D10" s="242"/>
      <c r="E10" s="242">
        <v>2</v>
      </c>
      <c r="F10" s="23" t="s">
        <v>975</v>
      </c>
      <c r="G10" s="217">
        <v>2</v>
      </c>
      <c r="H10" s="217">
        <v>2</v>
      </c>
      <c r="I10" s="217">
        <v>24</v>
      </c>
      <c r="J10" s="217">
        <v>1</v>
      </c>
      <c r="K10" s="217">
        <v>799</v>
      </c>
      <c r="L10" s="217">
        <v>0</v>
      </c>
      <c r="M10" s="242"/>
      <c r="N10" s="216"/>
      <c r="O10" s="216"/>
    </row>
    <row r="11" spans="1:15">
      <c r="A11" s="274"/>
      <c r="B11" s="277"/>
      <c r="C11" s="238">
        <v>57</v>
      </c>
      <c r="D11" s="238"/>
      <c r="E11" s="238">
        <v>1</v>
      </c>
      <c r="F11" s="15" t="s">
        <v>976</v>
      </c>
      <c r="G11" s="220">
        <v>2</v>
      </c>
      <c r="H11" s="220">
        <v>8</v>
      </c>
      <c r="I11" s="220">
        <v>33</v>
      </c>
      <c r="J11" s="220">
        <v>1</v>
      </c>
      <c r="K11" s="220">
        <v>574</v>
      </c>
      <c r="L11" s="220">
        <v>0</v>
      </c>
      <c r="M11" s="163"/>
      <c r="N11" s="238"/>
      <c r="O11" s="165"/>
    </row>
    <row r="12" spans="1:15">
      <c r="A12" s="274"/>
      <c r="B12" s="277"/>
      <c r="C12" s="268">
        <v>58</v>
      </c>
      <c r="D12" s="242"/>
      <c r="E12" s="242">
        <v>1</v>
      </c>
      <c r="F12" s="23" t="s">
        <v>634</v>
      </c>
      <c r="G12" s="216">
        <v>0</v>
      </c>
      <c r="H12" s="216">
        <v>1</v>
      </c>
      <c r="I12" s="216">
        <v>5</v>
      </c>
      <c r="J12" s="216">
        <v>0</v>
      </c>
      <c r="K12" s="216">
        <v>0</v>
      </c>
      <c r="L12" s="216">
        <v>0</v>
      </c>
      <c r="M12" s="242"/>
      <c r="N12" s="242"/>
      <c r="O12" s="216"/>
    </row>
    <row r="13" spans="1:15">
      <c r="A13" s="274"/>
      <c r="B13" s="277"/>
      <c r="C13" s="270"/>
      <c r="D13" s="242"/>
      <c r="E13" s="242">
        <v>2</v>
      </c>
      <c r="F13" s="23" t="s">
        <v>975</v>
      </c>
      <c r="G13" s="216">
        <v>2</v>
      </c>
      <c r="H13" s="216">
        <v>2</v>
      </c>
      <c r="I13" s="216">
        <v>24</v>
      </c>
      <c r="J13" s="216">
        <v>1</v>
      </c>
      <c r="K13" s="216">
        <v>799</v>
      </c>
      <c r="L13" s="216">
        <v>0</v>
      </c>
      <c r="M13" s="242"/>
      <c r="N13" s="242"/>
      <c r="O13" s="216"/>
    </row>
    <row r="14" spans="1:15">
      <c r="A14" s="274"/>
      <c r="B14" s="277"/>
      <c r="C14" s="265">
        <v>59</v>
      </c>
      <c r="D14" s="238"/>
      <c r="E14" s="238">
        <v>1</v>
      </c>
      <c r="F14" s="15" t="s">
        <v>635</v>
      </c>
      <c r="G14" s="165">
        <v>3</v>
      </c>
      <c r="H14" s="165">
        <v>6</v>
      </c>
      <c r="I14" s="165">
        <v>20</v>
      </c>
      <c r="J14" s="165">
        <v>1</v>
      </c>
      <c r="K14" s="165">
        <v>541</v>
      </c>
      <c r="L14" s="165">
        <v>0</v>
      </c>
      <c r="M14" s="238"/>
      <c r="N14" s="238"/>
      <c r="O14" s="165"/>
    </row>
    <row r="15" spans="1:15">
      <c r="A15" s="274"/>
      <c r="B15" s="277"/>
      <c r="C15" s="266"/>
      <c r="D15" s="238"/>
      <c r="E15" s="238">
        <v>2</v>
      </c>
      <c r="F15" s="15" t="s">
        <v>678</v>
      </c>
      <c r="G15" s="165">
        <v>0</v>
      </c>
      <c r="H15" s="165">
        <v>2</v>
      </c>
      <c r="I15" s="165">
        <v>12</v>
      </c>
      <c r="J15" s="174">
        <v>0</v>
      </c>
      <c r="K15" s="174">
        <v>563</v>
      </c>
      <c r="L15" s="174">
        <v>0</v>
      </c>
      <c r="M15" s="238"/>
      <c r="N15" s="238"/>
      <c r="O15" s="165"/>
    </row>
    <row r="16" spans="1:15">
      <c r="A16" s="274"/>
      <c r="B16" s="277"/>
      <c r="C16" s="267"/>
      <c r="D16" s="238"/>
      <c r="E16" s="238">
        <v>2</v>
      </c>
      <c r="F16" s="15" t="s">
        <v>679</v>
      </c>
      <c r="G16" s="165">
        <v>3</v>
      </c>
      <c r="H16" s="165">
        <v>4</v>
      </c>
      <c r="I16" s="165">
        <v>51</v>
      </c>
      <c r="J16" s="174">
        <v>0</v>
      </c>
      <c r="K16" s="174">
        <v>2188</v>
      </c>
      <c r="L16" s="174">
        <v>0</v>
      </c>
      <c r="M16" s="238"/>
      <c r="N16" s="238"/>
      <c r="O16" s="165"/>
    </row>
    <row r="17" spans="1:15">
      <c r="A17" s="274"/>
      <c r="B17" s="277"/>
      <c r="C17" s="242">
        <v>60</v>
      </c>
      <c r="D17" s="242"/>
      <c r="E17" s="242">
        <v>1</v>
      </c>
      <c r="F17" s="23" t="s">
        <v>977</v>
      </c>
      <c r="G17" s="216">
        <v>2</v>
      </c>
      <c r="H17" s="216">
        <v>8</v>
      </c>
      <c r="I17" s="216">
        <v>33</v>
      </c>
      <c r="J17" s="216">
        <v>1</v>
      </c>
      <c r="K17" s="216">
        <v>1502</v>
      </c>
      <c r="L17" s="216">
        <v>0</v>
      </c>
      <c r="M17" s="216"/>
      <c r="N17" s="216"/>
      <c r="O17" s="216"/>
    </row>
    <row r="18" spans="1:15" ht="30">
      <c r="A18" s="274"/>
      <c r="B18" s="277"/>
      <c r="C18" s="238">
        <v>61</v>
      </c>
      <c r="D18" s="238"/>
      <c r="E18" s="238">
        <v>1</v>
      </c>
      <c r="F18" s="43" t="s">
        <v>978</v>
      </c>
      <c r="G18" s="165">
        <v>2</v>
      </c>
      <c r="H18" s="165">
        <v>5</v>
      </c>
      <c r="I18" s="165">
        <v>25</v>
      </c>
      <c r="J18" s="165">
        <v>1</v>
      </c>
      <c r="K18" s="165">
        <v>579</v>
      </c>
      <c r="L18" s="165">
        <v>0</v>
      </c>
      <c r="M18" s="165"/>
      <c r="N18" s="165"/>
      <c r="O18" s="165"/>
    </row>
    <row r="19" spans="1:15" ht="30">
      <c r="A19" s="274"/>
      <c r="B19" s="277"/>
      <c r="C19" s="268">
        <v>62</v>
      </c>
      <c r="D19" s="242"/>
      <c r="E19" s="242">
        <v>1</v>
      </c>
      <c r="F19" s="44" t="s">
        <v>979</v>
      </c>
      <c r="G19" s="216">
        <v>8</v>
      </c>
      <c r="H19" s="216">
        <v>17</v>
      </c>
      <c r="I19" s="216">
        <v>157</v>
      </c>
      <c r="J19" s="216">
        <v>1</v>
      </c>
      <c r="K19" s="216">
        <v>5549</v>
      </c>
      <c r="L19" s="216">
        <v>1</v>
      </c>
      <c r="M19" s="216"/>
      <c r="N19" s="216"/>
      <c r="O19" s="216"/>
    </row>
    <row r="20" spans="1:15">
      <c r="A20" s="274"/>
      <c r="B20" s="277"/>
      <c r="C20" s="269"/>
      <c r="D20" s="242"/>
      <c r="E20" s="242">
        <v>2</v>
      </c>
      <c r="F20" s="44" t="s">
        <v>719</v>
      </c>
      <c r="G20" s="216">
        <v>2</v>
      </c>
      <c r="H20" s="216">
        <v>4</v>
      </c>
      <c r="I20" s="216">
        <v>48</v>
      </c>
      <c r="J20" s="216">
        <v>0</v>
      </c>
      <c r="K20" s="216">
        <v>1931</v>
      </c>
      <c r="L20" s="216">
        <v>0</v>
      </c>
      <c r="M20" s="216"/>
      <c r="N20" s="216"/>
      <c r="O20" s="216"/>
    </row>
    <row r="21" spans="1:15">
      <c r="A21" s="274"/>
      <c r="B21" s="277"/>
      <c r="C21" s="269"/>
      <c r="D21" s="242">
        <v>7.64</v>
      </c>
      <c r="E21" s="242">
        <v>2</v>
      </c>
      <c r="F21" s="44" t="s">
        <v>980</v>
      </c>
      <c r="G21" s="216">
        <v>0</v>
      </c>
      <c r="H21" s="216">
        <v>4</v>
      </c>
      <c r="I21" s="216">
        <v>59</v>
      </c>
      <c r="J21" s="216">
        <v>1</v>
      </c>
      <c r="K21" s="216">
        <v>3430</v>
      </c>
      <c r="L21" s="216">
        <v>2</v>
      </c>
      <c r="M21" s="216"/>
      <c r="N21" s="216"/>
      <c r="O21" s="216"/>
    </row>
    <row r="22" spans="1:15">
      <c r="A22" s="274"/>
      <c r="B22" s="277"/>
      <c r="C22" s="269"/>
      <c r="D22" s="242">
        <v>4.3499999999999996</v>
      </c>
      <c r="E22" s="242">
        <v>2</v>
      </c>
      <c r="F22" s="44" t="s">
        <v>981</v>
      </c>
      <c r="G22" s="216">
        <v>8</v>
      </c>
      <c r="H22" s="216">
        <v>17</v>
      </c>
      <c r="I22" s="216">
        <v>158</v>
      </c>
      <c r="J22" s="216">
        <v>1</v>
      </c>
      <c r="K22" s="216">
        <v>5675</v>
      </c>
      <c r="L22" s="216">
        <v>1</v>
      </c>
      <c r="M22" s="216"/>
      <c r="N22" s="216"/>
      <c r="O22" s="216"/>
    </row>
    <row r="23" spans="1:15">
      <c r="A23" s="274"/>
      <c r="B23" s="277"/>
      <c r="C23" s="269"/>
      <c r="D23" s="242">
        <v>15.138</v>
      </c>
      <c r="E23" s="242">
        <v>2</v>
      </c>
      <c r="F23" s="44" t="s">
        <v>982</v>
      </c>
      <c r="G23" s="216">
        <v>10</v>
      </c>
      <c r="H23" s="216">
        <v>17</v>
      </c>
      <c r="I23" s="216">
        <v>136</v>
      </c>
      <c r="J23" s="216">
        <v>1</v>
      </c>
      <c r="K23" s="216">
        <v>4274</v>
      </c>
      <c r="L23" s="216">
        <v>0</v>
      </c>
      <c r="M23" s="216"/>
      <c r="N23" s="216"/>
      <c r="O23" s="216"/>
    </row>
    <row r="24" spans="1:15">
      <c r="A24" s="274"/>
      <c r="B24" s="277"/>
      <c r="C24" s="265">
        <v>63</v>
      </c>
      <c r="D24" s="238"/>
      <c r="E24" s="238">
        <v>1</v>
      </c>
      <c r="F24" s="15" t="s">
        <v>983</v>
      </c>
      <c r="G24" s="165">
        <v>10</v>
      </c>
      <c r="H24" s="165">
        <v>17</v>
      </c>
      <c r="I24" s="165">
        <v>144</v>
      </c>
      <c r="J24" s="165">
        <v>1</v>
      </c>
      <c r="K24" s="165">
        <v>5777</v>
      </c>
      <c r="L24" s="165">
        <v>0</v>
      </c>
      <c r="M24" s="165"/>
      <c r="N24" s="165"/>
      <c r="O24" s="165"/>
    </row>
    <row r="25" spans="1:15">
      <c r="A25" s="274"/>
      <c r="B25" s="277"/>
      <c r="C25" s="266"/>
      <c r="D25" s="238">
        <v>7.64</v>
      </c>
      <c r="E25" s="238">
        <v>2</v>
      </c>
      <c r="F25" s="15" t="s">
        <v>818</v>
      </c>
      <c r="G25" s="165">
        <v>0</v>
      </c>
      <c r="H25" s="165">
        <v>4</v>
      </c>
      <c r="I25" s="165">
        <v>59</v>
      </c>
      <c r="J25" s="165">
        <v>1</v>
      </c>
      <c r="K25" s="165">
        <v>3430</v>
      </c>
      <c r="L25" s="165">
        <v>2</v>
      </c>
      <c r="M25" s="165"/>
      <c r="N25" s="165"/>
      <c r="O25" s="165"/>
    </row>
    <row r="26" spans="1:15">
      <c r="A26" s="274"/>
      <c r="B26" s="277"/>
      <c r="C26" s="266"/>
      <c r="D26" s="238">
        <v>10.84</v>
      </c>
      <c r="E26" s="238">
        <v>2</v>
      </c>
      <c r="F26" s="15" t="s">
        <v>984</v>
      </c>
      <c r="G26" s="165">
        <v>3</v>
      </c>
      <c r="H26" s="165">
        <v>12</v>
      </c>
      <c r="I26" s="165">
        <v>85</v>
      </c>
      <c r="J26" s="165">
        <v>1</v>
      </c>
      <c r="K26" s="165">
        <v>2750</v>
      </c>
      <c r="L26" s="165">
        <v>0</v>
      </c>
      <c r="M26" s="165"/>
      <c r="N26" s="165"/>
      <c r="O26" s="165"/>
    </row>
    <row r="27" spans="1:15">
      <c r="A27" s="274"/>
      <c r="B27" s="277"/>
      <c r="C27" s="266"/>
      <c r="D27" s="238">
        <v>4.25</v>
      </c>
      <c r="E27" s="238">
        <v>2</v>
      </c>
      <c r="F27" s="15" t="s">
        <v>766</v>
      </c>
      <c r="G27" s="165">
        <v>11</v>
      </c>
      <c r="H27" s="165">
        <v>24</v>
      </c>
      <c r="I27" s="165">
        <v>220</v>
      </c>
      <c r="J27" s="165">
        <v>1</v>
      </c>
      <c r="K27" s="165">
        <v>12238</v>
      </c>
      <c r="L27" s="165">
        <v>3</v>
      </c>
      <c r="M27" s="165"/>
      <c r="N27" s="165"/>
      <c r="O27" s="165"/>
    </row>
    <row r="28" spans="1:15">
      <c r="A28" s="274"/>
      <c r="B28" s="277"/>
      <c r="C28" s="266"/>
      <c r="D28" s="238">
        <v>4.3499999999999996</v>
      </c>
      <c r="E28" s="238">
        <v>2</v>
      </c>
      <c r="F28" s="15" t="s">
        <v>981</v>
      </c>
      <c r="G28" s="165">
        <v>8</v>
      </c>
      <c r="H28" s="165">
        <v>17</v>
      </c>
      <c r="I28" s="165">
        <v>158</v>
      </c>
      <c r="J28" s="165">
        <v>1</v>
      </c>
      <c r="K28" s="165">
        <v>5675</v>
      </c>
      <c r="L28" s="165">
        <v>1</v>
      </c>
      <c r="M28" s="165"/>
      <c r="N28" s="165"/>
      <c r="O28" s="165"/>
    </row>
    <row r="29" spans="1:15">
      <c r="A29" s="274"/>
      <c r="B29" s="277"/>
      <c r="C29" s="266"/>
      <c r="D29" s="238">
        <v>15.137</v>
      </c>
      <c r="E29" s="238">
        <v>2</v>
      </c>
      <c r="F29" s="15" t="s">
        <v>985</v>
      </c>
      <c r="G29" s="165">
        <v>0</v>
      </c>
      <c r="H29" s="165">
        <v>4</v>
      </c>
      <c r="I29" s="165">
        <v>25</v>
      </c>
      <c r="J29" s="165">
        <v>1</v>
      </c>
      <c r="K29" s="165">
        <v>555</v>
      </c>
      <c r="L29" s="165">
        <v>0</v>
      </c>
      <c r="M29" s="165"/>
      <c r="N29" s="165"/>
      <c r="O29" s="165"/>
    </row>
    <row r="30" spans="1:15">
      <c r="A30" s="274"/>
      <c r="B30" s="277"/>
      <c r="C30" s="267"/>
      <c r="D30" s="238">
        <v>15.138</v>
      </c>
      <c r="E30" s="238">
        <v>2</v>
      </c>
      <c r="F30" s="15" t="s">
        <v>860</v>
      </c>
      <c r="G30" s="165">
        <v>5</v>
      </c>
      <c r="H30" s="165">
        <v>5</v>
      </c>
      <c r="I30" s="165">
        <v>32</v>
      </c>
      <c r="J30" s="165">
        <v>0</v>
      </c>
      <c r="K30" s="165">
        <v>984</v>
      </c>
      <c r="L30" s="165">
        <v>0</v>
      </c>
      <c r="M30" s="165"/>
      <c r="N30" s="165"/>
      <c r="O30" s="165"/>
    </row>
    <row r="31" spans="1:15">
      <c r="A31" s="274"/>
      <c r="B31" s="277"/>
      <c r="C31" s="268">
        <v>64</v>
      </c>
      <c r="D31" s="216"/>
      <c r="E31" s="242">
        <v>1</v>
      </c>
      <c r="F31" s="23" t="s">
        <v>986</v>
      </c>
      <c r="G31" s="216">
        <v>7</v>
      </c>
      <c r="H31" s="216">
        <v>9</v>
      </c>
      <c r="I31" s="216">
        <v>31</v>
      </c>
      <c r="J31" s="216">
        <v>1</v>
      </c>
      <c r="K31" s="216">
        <v>340</v>
      </c>
      <c r="L31" s="216">
        <v>0</v>
      </c>
      <c r="M31" s="216"/>
      <c r="N31" s="216"/>
      <c r="O31" s="216"/>
    </row>
    <row r="32" spans="1:15">
      <c r="A32" s="274"/>
      <c r="B32" s="277"/>
      <c r="C32" s="269"/>
      <c r="D32" s="216"/>
      <c r="E32" s="242">
        <v>2</v>
      </c>
      <c r="F32" s="23" t="s">
        <v>855</v>
      </c>
      <c r="G32" s="216">
        <v>0</v>
      </c>
      <c r="H32" s="216">
        <v>2</v>
      </c>
      <c r="I32" s="216">
        <v>12</v>
      </c>
      <c r="J32" s="216">
        <v>0</v>
      </c>
      <c r="K32" s="216">
        <v>563</v>
      </c>
      <c r="L32" s="216">
        <v>0</v>
      </c>
      <c r="M32" s="216"/>
      <c r="N32" s="216"/>
      <c r="O32" s="216"/>
    </row>
    <row r="33" spans="1:15">
      <c r="A33" s="274"/>
      <c r="B33" s="277"/>
      <c r="C33" s="270"/>
      <c r="D33" s="216"/>
      <c r="E33" s="242">
        <v>2</v>
      </c>
      <c r="F33" s="23" t="s">
        <v>721</v>
      </c>
      <c r="G33" s="216">
        <v>3</v>
      </c>
      <c r="H33" s="216">
        <v>4</v>
      </c>
      <c r="I33" s="216">
        <v>51</v>
      </c>
      <c r="J33" s="216">
        <v>0</v>
      </c>
      <c r="K33" s="216">
        <v>2188</v>
      </c>
      <c r="L33" s="216">
        <v>0</v>
      </c>
      <c r="M33" s="216"/>
      <c r="N33" s="216"/>
      <c r="O33" s="216"/>
    </row>
    <row r="34" spans="1:15">
      <c r="A34" s="240"/>
      <c r="B34" s="240"/>
      <c r="C34" s="240"/>
      <c r="D34" s="240"/>
      <c r="E34" s="240"/>
      <c r="F34"/>
      <c r="G34" s="240"/>
      <c r="H34" s="240"/>
      <c r="I34" s="240"/>
      <c r="J34" s="240"/>
      <c r="K34" s="240"/>
      <c r="L34" s="240"/>
      <c r="M34" s="240"/>
      <c r="N34" s="240"/>
      <c r="O34" s="240"/>
    </row>
    <row r="35" spans="1:15">
      <c r="A35" s="240"/>
      <c r="B35" s="240"/>
      <c r="C35" s="240"/>
      <c r="D35" s="240"/>
      <c r="E35"/>
      <c r="F35"/>
      <c r="G35" s="240"/>
      <c r="H35" s="240"/>
      <c r="I35" s="240"/>
      <c r="J35" s="240"/>
      <c r="K35" s="240"/>
      <c r="L35" s="240"/>
      <c r="M35" s="240"/>
      <c r="N35" s="240"/>
      <c r="O35" s="240"/>
    </row>
    <row r="36" spans="1:15">
      <c r="A36" s="240"/>
      <c r="B36" s="240"/>
      <c r="C36" s="240"/>
      <c r="D36"/>
      <c r="E36"/>
      <c r="F36"/>
      <c r="G36"/>
      <c r="H36" s="240"/>
      <c r="I36" s="240"/>
      <c r="J36" s="240"/>
      <c r="K36" s="240"/>
      <c r="L36" s="240"/>
      <c r="M36" s="240"/>
      <c r="N36" s="240"/>
      <c r="O36" s="240"/>
    </row>
    <row r="37" spans="1:15">
      <c r="A37" s="240"/>
      <c r="B37" s="240"/>
      <c r="C37" s="240"/>
      <c r="D37"/>
      <c r="E37"/>
      <c r="F37"/>
      <c r="G37"/>
      <c r="H37" s="240"/>
      <c r="I37" s="240"/>
      <c r="J37" s="240"/>
      <c r="K37" s="240"/>
      <c r="L37" s="240"/>
      <c r="M37" s="240"/>
      <c r="N37" s="240"/>
      <c r="O37" s="240"/>
    </row>
    <row r="38" spans="1:15">
      <c r="A38" s="240"/>
      <c r="B38" s="240"/>
      <c r="C38" s="240"/>
      <c r="D38"/>
      <c r="E38"/>
      <c r="F38"/>
      <c r="G38"/>
      <c r="H38" s="240"/>
      <c r="I38" s="240"/>
      <c r="J38" s="240"/>
      <c r="K38" s="240"/>
      <c r="L38" s="240"/>
      <c r="M38" s="240"/>
      <c r="N38" s="240"/>
      <c r="O38" s="240"/>
    </row>
    <row r="39" spans="1:15">
      <c r="A39" s="240"/>
      <c r="B39" s="240"/>
      <c r="C39" s="240"/>
      <c r="D39"/>
      <c r="E39"/>
      <c r="F39"/>
      <c r="G39"/>
      <c r="H39" s="240"/>
      <c r="I39" s="240"/>
      <c r="J39" s="240"/>
      <c r="K39" s="240"/>
      <c r="L39" s="240"/>
      <c r="M39" s="240"/>
      <c r="N39" s="240"/>
      <c r="O39" s="240"/>
    </row>
    <row r="40" spans="1:15">
      <c r="A40" s="240"/>
      <c r="B40" s="240"/>
      <c r="C40" s="240"/>
      <c r="D40"/>
      <c r="E40"/>
      <c r="F40"/>
      <c r="G40"/>
      <c r="H40" s="240"/>
      <c r="I40" s="240"/>
      <c r="J40" s="240"/>
      <c r="K40" s="240"/>
      <c r="L40" s="240"/>
      <c r="M40" s="240"/>
      <c r="N40" s="240"/>
      <c r="O40" s="240"/>
    </row>
    <row r="41" spans="1:15">
      <c r="A41" s="240"/>
      <c r="B41" s="240"/>
      <c r="C41" s="240"/>
      <c r="D41"/>
      <c r="E41"/>
      <c r="F41"/>
      <c r="G41"/>
      <c r="H41" s="240"/>
      <c r="I41" s="240"/>
      <c r="J41" s="240"/>
      <c r="K41" s="240"/>
      <c r="L41" s="240"/>
      <c r="M41" s="240"/>
      <c r="N41" s="240"/>
      <c r="O41" s="240"/>
    </row>
    <row r="42" spans="1:15">
      <c r="A42" s="240"/>
      <c r="B42" s="240"/>
      <c r="C42" s="240"/>
      <c r="D42"/>
      <c r="E42"/>
      <c r="F42"/>
      <c r="G42"/>
      <c r="H42" s="240"/>
      <c r="I42" s="240"/>
      <c r="J42" s="240"/>
      <c r="K42" s="240"/>
      <c r="L42" s="240"/>
      <c r="M42" s="240"/>
      <c r="N42" s="240"/>
      <c r="O42" s="240"/>
    </row>
    <row r="43" spans="1:15">
      <c r="A43" s="240"/>
      <c r="B43" s="240"/>
      <c r="C43" s="240"/>
      <c r="D43"/>
      <c r="E43"/>
      <c r="F43"/>
      <c r="G43"/>
      <c r="H43" s="240"/>
      <c r="I43" s="240"/>
      <c r="J43" s="240"/>
      <c r="K43" s="240"/>
      <c r="L43" s="240"/>
      <c r="M43" s="240"/>
      <c r="N43" s="240"/>
      <c r="O43" s="240"/>
    </row>
    <row r="44" spans="1:15">
      <c r="A44" s="240"/>
      <c r="B44" s="240"/>
      <c r="C44" s="240"/>
      <c r="D44"/>
      <c r="E44"/>
      <c r="F44"/>
      <c r="G44"/>
      <c r="H44" s="240"/>
      <c r="I44" s="240"/>
      <c r="J44" s="240"/>
      <c r="K44" s="240"/>
      <c r="L44" s="240"/>
      <c r="M44" s="240"/>
      <c r="N44" s="240"/>
      <c r="O44" s="240"/>
    </row>
    <row r="45" spans="1:15">
      <c r="A45" s="240"/>
      <c r="B45" s="240"/>
      <c r="C45" s="240"/>
      <c r="D45"/>
      <c r="E45"/>
      <c r="F45"/>
      <c r="G45"/>
      <c r="H45" s="240"/>
      <c r="I45" s="240"/>
      <c r="J45" s="240"/>
      <c r="K45" s="240"/>
      <c r="L45" s="240"/>
      <c r="M45" s="240"/>
      <c r="N45" s="240"/>
      <c r="O45" s="240"/>
    </row>
    <row r="46" spans="1:15">
      <c r="A46" s="240"/>
      <c r="B46" s="240"/>
      <c r="C46" s="240"/>
      <c r="D46"/>
      <c r="E46"/>
      <c r="F46"/>
      <c r="G46"/>
      <c r="H46" s="240"/>
      <c r="I46" s="240"/>
      <c r="J46" s="240"/>
      <c r="K46" s="240"/>
      <c r="L46" s="240"/>
      <c r="M46" s="240"/>
      <c r="N46" s="240"/>
      <c r="O46" s="240"/>
    </row>
    <row r="47" spans="1:15">
      <c r="A47" s="240"/>
      <c r="B47" s="240"/>
      <c r="C47" s="240"/>
      <c r="D47"/>
      <c r="E47"/>
      <c r="F47"/>
      <c r="G47"/>
      <c r="H47" s="240"/>
      <c r="I47" s="240"/>
      <c r="J47" s="240"/>
      <c r="K47" s="240"/>
      <c r="L47" s="240"/>
      <c r="M47" s="240"/>
      <c r="N47" s="240"/>
      <c r="O47" s="240"/>
    </row>
    <row r="48" spans="1:15">
      <c r="A48" s="240"/>
      <c r="B48" s="240"/>
      <c r="C48" s="240"/>
      <c r="D48"/>
      <c r="E48"/>
      <c r="F48"/>
      <c r="G48"/>
      <c r="H48" s="240"/>
      <c r="I48" s="240"/>
      <c r="J48" s="240"/>
      <c r="K48" s="240"/>
      <c r="L48" s="240"/>
      <c r="M48" s="240"/>
      <c r="N48" s="240"/>
      <c r="O48" s="240"/>
    </row>
    <row r="49" spans="4:7">
      <c r="D49"/>
      <c r="E49"/>
      <c r="F49"/>
      <c r="G49"/>
    </row>
    <row r="50" spans="4:7">
      <c r="D50"/>
      <c r="E50"/>
      <c r="F50"/>
      <c r="G50"/>
    </row>
    <row r="51" spans="4:7">
      <c r="D51"/>
      <c r="E51"/>
      <c r="F51"/>
      <c r="G51"/>
    </row>
    <row r="52" spans="4:7">
      <c r="D52"/>
      <c r="E52"/>
      <c r="F52"/>
      <c r="G52"/>
    </row>
    <row r="53" spans="4:7">
      <c r="D53"/>
      <c r="E53"/>
      <c r="F53"/>
      <c r="G53"/>
    </row>
  </sheetData>
  <mergeCells count="10">
    <mergeCell ref="C19:C23"/>
    <mergeCell ref="A2:A33"/>
    <mergeCell ref="B2:B33"/>
    <mergeCell ref="C31:C33"/>
    <mergeCell ref="C24:C30"/>
    <mergeCell ref="C2:C4"/>
    <mergeCell ref="C6:C8"/>
    <mergeCell ref="C9:C10"/>
    <mergeCell ref="C12:C13"/>
    <mergeCell ref="C14:C1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394C-3418-41CB-8E94-34E2AC3BD051}">
  <dimension ref="A1:P85"/>
  <sheetViews>
    <sheetView zoomScaleNormal="100" workbookViewId="0">
      <pane ySplit="1" topLeftCell="A21" activePane="bottomLeft" state="frozen"/>
      <selection pane="bottomLeft" activeCell="F25" sqref="F25:F27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3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7</v>
      </c>
      <c r="B2" s="275" t="s">
        <v>987</v>
      </c>
      <c r="C2" s="265">
        <v>65</v>
      </c>
      <c r="D2" s="238"/>
      <c r="E2" s="238">
        <v>1</v>
      </c>
      <c r="F2" s="17" t="s">
        <v>818</v>
      </c>
      <c r="G2" s="221">
        <v>0</v>
      </c>
      <c r="H2" s="221">
        <v>4</v>
      </c>
      <c r="I2" s="221">
        <v>59</v>
      </c>
      <c r="J2" s="220">
        <v>1</v>
      </c>
      <c r="K2" s="220">
        <v>3430</v>
      </c>
      <c r="L2" s="220">
        <v>2</v>
      </c>
      <c r="M2" s="222"/>
      <c r="N2" s="222"/>
      <c r="O2" s="165"/>
    </row>
    <row r="3" spans="1:15">
      <c r="A3" s="274"/>
      <c r="B3" s="275"/>
      <c r="C3" s="266"/>
      <c r="D3" s="238"/>
      <c r="E3" s="238">
        <v>2</v>
      </c>
      <c r="F3" s="17" t="s">
        <v>988</v>
      </c>
      <c r="G3" s="221">
        <v>0</v>
      </c>
      <c r="H3" s="221">
        <v>1</v>
      </c>
      <c r="I3" s="221">
        <v>4</v>
      </c>
      <c r="J3" s="220">
        <v>0</v>
      </c>
      <c r="K3" s="220">
        <v>0</v>
      </c>
      <c r="L3" s="220">
        <v>0</v>
      </c>
      <c r="M3" s="222"/>
      <c r="N3" s="222"/>
      <c r="O3" s="57" t="s">
        <v>989</v>
      </c>
    </row>
    <row r="4" spans="1:15">
      <c r="A4" s="274"/>
      <c r="B4" s="275"/>
      <c r="C4" s="266"/>
      <c r="D4" s="238"/>
      <c r="E4" s="238">
        <v>2</v>
      </c>
      <c r="F4" s="17" t="s">
        <v>721</v>
      </c>
      <c r="G4" s="221">
        <v>3</v>
      </c>
      <c r="H4" s="221">
        <v>4</v>
      </c>
      <c r="I4" s="221">
        <v>51</v>
      </c>
      <c r="J4" s="220">
        <v>0</v>
      </c>
      <c r="K4" s="220">
        <v>2188</v>
      </c>
      <c r="L4" s="220">
        <v>0</v>
      </c>
      <c r="M4" s="222"/>
      <c r="N4" s="222"/>
      <c r="O4" s="165" t="s">
        <v>990</v>
      </c>
    </row>
    <row r="5" spans="1:15">
      <c r="A5" s="274"/>
      <c r="B5" s="275"/>
      <c r="C5" s="266"/>
      <c r="D5" s="238"/>
      <c r="E5" s="238">
        <v>2</v>
      </c>
      <c r="F5" s="17" t="s">
        <v>991</v>
      </c>
      <c r="G5" s="165">
        <v>2</v>
      </c>
      <c r="H5" s="165">
        <v>4</v>
      </c>
      <c r="I5" s="165">
        <v>48</v>
      </c>
      <c r="J5" s="174">
        <v>0</v>
      </c>
      <c r="K5" s="174">
        <v>1931</v>
      </c>
      <c r="L5" s="174">
        <v>0</v>
      </c>
      <c r="M5" s="222"/>
      <c r="N5" s="222"/>
      <c r="O5" s="165" t="s">
        <v>992</v>
      </c>
    </row>
    <row r="6" spans="1:15">
      <c r="A6" s="274"/>
      <c r="B6" s="275"/>
      <c r="C6" s="266"/>
      <c r="D6" s="238">
        <v>4.3499999999999996</v>
      </c>
      <c r="E6" s="238">
        <v>2</v>
      </c>
      <c r="F6" s="17" t="s">
        <v>109</v>
      </c>
      <c r="G6" s="221">
        <v>8</v>
      </c>
      <c r="H6" s="221">
        <v>17</v>
      </c>
      <c r="I6" s="221">
        <v>158</v>
      </c>
      <c r="J6" s="220">
        <v>1</v>
      </c>
      <c r="K6" s="220">
        <v>5675</v>
      </c>
      <c r="L6" s="220">
        <v>1</v>
      </c>
      <c r="M6" s="222"/>
      <c r="N6" s="222"/>
      <c r="O6" s="165"/>
    </row>
    <row r="7" spans="1:15" ht="45">
      <c r="A7" s="274"/>
      <c r="B7" s="275"/>
      <c r="C7" s="266"/>
      <c r="D7" s="238"/>
      <c r="E7" s="238"/>
      <c r="F7" s="243" t="s">
        <v>993</v>
      </c>
      <c r="G7" s="165"/>
      <c r="H7" s="165"/>
      <c r="I7" s="165"/>
      <c r="J7" s="174"/>
      <c r="K7" s="245"/>
      <c r="L7" s="245"/>
      <c r="M7" s="225"/>
      <c r="N7" s="222"/>
      <c r="O7" s="174" t="s">
        <v>994</v>
      </c>
    </row>
    <row r="8" spans="1:15" ht="30">
      <c r="A8" s="274"/>
      <c r="B8" s="275"/>
      <c r="C8" s="266"/>
      <c r="D8" s="238"/>
      <c r="E8" s="238"/>
      <c r="F8" s="243" t="s">
        <v>995</v>
      </c>
      <c r="G8" s="165"/>
      <c r="H8" s="165"/>
      <c r="I8" s="165"/>
      <c r="J8" s="174"/>
      <c r="K8" s="245"/>
      <c r="L8" s="245"/>
      <c r="M8" s="225"/>
      <c r="N8" s="222"/>
      <c r="O8" s="174" t="s">
        <v>996</v>
      </c>
    </row>
    <row r="9" spans="1:15" ht="30">
      <c r="A9" s="274"/>
      <c r="B9" s="275"/>
      <c r="C9" s="267"/>
      <c r="D9" s="238"/>
      <c r="E9" s="238"/>
      <c r="F9" s="243" t="s">
        <v>997</v>
      </c>
      <c r="G9" s="165"/>
      <c r="H9" s="165"/>
      <c r="I9" s="165"/>
      <c r="J9" s="174"/>
      <c r="K9" s="245"/>
      <c r="L9" s="245"/>
      <c r="M9" s="225"/>
      <c r="N9" s="222"/>
      <c r="O9" s="174" t="s">
        <v>998</v>
      </c>
    </row>
    <row r="10" spans="1:15">
      <c r="A10" s="274"/>
      <c r="B10" s="275"/>
      <c r="C10" s="268">
        <v>66</v>
      </c>
      <c r="D10" s="242"/>
      <c r="E10" s="242">
        <v>1</v>
      </c>
      <c r="F10" s="11" t="s">
        <v>999</v>
      </c>
      <c r="G10" s="216">
        <v>0</v>
      </c>
      <c r="H10" s="216">
        <v>2</v>
      </c>
      <c r="I10" s="216">
        <v>22</v>
      </c>
      <c r="J10" s="216">
        <v>1</v>
      </c>
      <c r="K10" s="216">
        <v>2224</v>
      </c>
      <c r="L10" s="216">
        <v>0</v>
      </c>
      <c r="M10" s="234"/>
      <c r="N10" s="234"/>
      <c r="O10" s="216"/>
    </row>
    <row r="11" spans="1:15">
      <c r="A11" s="274"/>
      <c r="B11" s="275"/>
      <c r="C11" s="269"/>
      <c r="D11" s="242">
        <v>8.7899999999999991</v>
      </c>
      <c r="E11" s="242">
        <v>2</v>
      </c>
      <c r="F11" s="26" t="s">
        <v>795</v>
      </c>
      <c r="G11" s="216">
        <v>0</v>
      </c>
      <c r="H11" s="216">
        <v>3</v>
      </c>
      <c r="I11" s="216">
        <v>32</v>
      </c>
      <c r="J11" s="216">
        <v>0</v>
      </c>
      <c r="K11" s="216">
        <v>1594</v>
      </c>
      <c r="L11" s="216">
        <v>0</v>
      </c>
      <c r="M11" s="234"/>
      <c r="N11" s="234"/>
      <c r="O11" s="216" t="s">
        <v>1000</v>
      </c>
    </row>
    <row r="12" spans="1:15">
      <c r="A12" s="274"/>
      <c r="B12" s="275"/>
      <c r="C12" s="269"/>
      <c r="D12" s="242"/>
      <c r="E12" s="242"/>
      <c r="F12" s="233" t="s">
        <v>1001</v>
      </c>
      <c r="G12" s="216"/>
      <c r="H12" s="216"/>
      <c r="I12" s="216"/>
      <c r="J12" s="216"/>
      <c r="K12" s="216"/>
      <c r="L12" s="216"/>
      <c r="M12" s="234"/>
      <c r="N12" s="234"/>
      <c r="O12" s="216" t="s">
        <v>1002</v>
      </c>
    </row>
    <row r="13" spans="1:15" ht="30">
      <c r="A13" s="274"/>
      <c r="B13" s="275"/>
      <c r="C13" s="269"/>
      <c r="D13" s="242"/>
      <c r="E13" s="242"/>
      <c r="F13" s="233" t="s">
        <v>1003</v>
      </c>
      <c r="G13" s="216"/>
      <c r="H13" s="216"/>
      <c r="I13" s="216"/>
      <c r="J13" s="216"/>
      <c r="K13" s="216"/>
      <c r="L13" s="216"/>
      <c r="M13" s="234"/>
      <c r="N13" s="234"/>
      <c r="O13" s="218" t="s">
        <v>1004</v>
      </c>
    </row>
    <row r="14" spans="1:15">
      <c r="A14" s="274"/>
      <c r="B14" s="275"/>
      <c r="C14" s="270"/>
      <c r="D14" s="242"/>
      <c r="E14" s="242"/>
      <c r="F14" s="233" t="s">
        <v>740</v>
      </c>
      <c r="G14" s="216"/>
      <c r="H14" s="216"/>
      <c r="I14" s="216"/>
      <c r="J14" s="216"/>
      <c r="K14" s="216"/>
      <c r="L14" s="216"/>
      <c r="M14" s="234"/>
      <c r="N14" s="234"/>
      <c r="O14" s="218" t="s">
        <v>1005</v>
      </c>
    </row>
    <row r="15" spans="1:15">
      <c r="A15" s="274"/>
      <c r="B15" s="275"/>
      <c r="C15" s="265">
        <v>67</v>
      </c>
      <c r="D15" s="238"/>
      <c r="E15" s="238">
        <v>1</v>
      </c>
      <c r="F15" s="17" t="s">
        <v>1006</v>
      </c>
      <c r="G15" s="165">
        <v>3</v>
      </c>
      <c r="H15" s="165">
        <v>12</v>
      </c>
      <c r="I15" s="165">
        <v>85</v>
      </c>
      <c r="J15" s="174">
        <v>1</v>
      </c>
      <c r="K15" s="174">
        <v>2750</v>
      </c>
      <c r="L15" s="174">
        <v>0</v>
      </c>
      <c r="M15" s="225"/>
      <c r="N15" s="238" t="s">
        <v>1007</v>
      </c>
      <c r="O15" s="165"/>
    </row>
    <row r="16" spans="1:15" ht="30">
      <c r="A16" s="274"/>
      <c r="B16" s="275"/>
      <c r="C16" s="266"/>
      <c r="D16" s="238"/>
      <c r="E16" s="238">
        <v>2</v>
      </c>
      <c r="F16" s="20" t="s">
        <v>855</v>
      </c>
      <c r="G16" s="165">
        <v>0</v>
      </c>
      <c r="H16" s="165">
        <v>2</v>
      </c>
      <c r="I16" s="165">
        <v>12</v>
      </c>
      <c r="J16" s="174">
        <v>0</v>
      </c>
      <c r="K16" s="174">
        <v>563</v>
      </c>
      <c r="L16" s="174">
        <v>0</v>
      </c>
      <c r="M16" s="225"/>
      <c r="N16" s="238"/>
      <c r="O16" s="174" t="s">
        <v>1008</v>
      </c>
    </row>
    <row r="17" spans="1:16" ht="45">
      <c r="A17" s="274"/>
      <c r="B17" s="275"/>
      <c r="C17" s="266"/>
      <c r="D17" s="238"/>
      <c r="E17" s="238">
        <v>2</v>
      </c>
      <c r="F17" s="20" t="s">
        <v>721</v>
      </c>
      <c r="G17" s="165">
        <v>3</v>
      </c>
      <c r="H17" s="165">
        <v>4</v>
      </c>
      <c r="I17" s="165">
        <v>51</v>
      </c>
      <c r="J17" s="174">
        <v>0</v>
      </c>
      <c r="K17" s="174">
        <v>2188</v>
      </c>
      <c r="L17" s="174">
        <v>0</v>
      </c>
      <c r="M17" s="225"/>
      <c r="N17" s="238"/>
      <c r="O17" s="174" t="s">
        <v>1009</v>
      </c>
      <c r="P17" s="240"/>
    </row>
    <row r="18" spans="1:16" ht="30">
      <c r="A18" s="274"/>
      <c r="B18" s="275"/>
      <c r="C18" s="266"/>
      <c r="D18" s="238"/>
      <c r="E18" s="238">
        <v>2</v>
      </c>
      <c r="F18" s="243" t="s">
        <v>826</v>
      </c>
      <c r="G18" s="165">
        <v>2</v>
      </c>
      <c r="H18" s="165">
        <v>4</v>
      </c>
      <c r="I18" s="165">
        <v>48</v>
      </c>
      <c r="J18" s="174">
        <v>0</v>
      </c>
      <c r="K18" s="174">
        <v>1931</v>
      </c>
      <c r="L18" s="174">
        <v>0</v>
      </c>
      <c r="M18" s="225"/>
      <c r="N18" s="238"/>
      <c r="O18" s="174" t="s">
        <v>1010</v>
      </c>
      <c r="P18" s="240"/>
    </row>
    <row r="19" spans="1:16" ht="30">
      <c r="A19" s="274"/>
      <c r="B19" s="275"/>
      <c r="C19" s="266"/>
      <c r="D19" s="238"/>
      <c r="E19" s="238">
        <v>2</v>
      </c>
      <c r="F19" s="47" t="s">
        <v>1011</v>
      </c>
      <c r="G19" s="165">
        <v>2</v>
      </c>
      <c r="H19" s="165">
        <v>3</v>
      </c>
      <c r="I19" s="165">
        <v>25</v>
      </c>
      <c r="J19" s="165">
        <v>0</v>
      </c>
      <c r="K19" s="165">
        <v>699</v>
      </c>
      <c r="L19" s="165">
        <v>0</v>
      </c>
      <c r="M19" s="238"/>
      <c r="N19" s="238"/>
      <c r="O19" s="174" t="s">
        <v>1012</v>
      </c>
      <c r="P19" s="240"/>
    </row>
    <row r="20" spans="1:16" ht="30">
      <c r="A20" s="274"/>
      <c r="B20" s="275"/>
      <c r="C20" s="266"/>
      <c r="D20" s="238"/>
      <c r="E20" s="238">
        <v>3</v>
      </c>
      <c r="F20" s="47" t="s">
        <v>1013</v>
      </c>
      <c r="G20" s="165">
        <v>0</v>
      </c>
      <c r="H20" s="165">
        <v>1</v>
      </c>
      <c r="I20" s="165">
        <v>11</v>
      </c>
      <c r="J20" s="165">
        <v>1</v>
      </c>
      <c r="K20" s="165">
        <v>52</v>
      </c>
      <c r="L20" s="165">
        <v>0</v>
      </c>
      <c r="M20" s="238"/>
      <c r="N20" s="238"/>
      <c r="O20" s="174" t="s">
        <v>1012</v>
      </c>
      <c r="P20" s="240"/>
    </row>
    <row r="21" spans="1:16" ht="30">
      <c r="A21" s="274"/>
      <c r="B21" s="275"/>
      <c r="C21" s="266"/>
      <c r="D21" s="238"/>
      <c r="E21" s="238"/>
      <c r="F21" s="243" t="s">
        <v>1014</v>
      </c>
      <c r="G21" s="165" t="s">
        <v>1015</v>
      </c>
      <c r="H21" s="165"/>
      <c r="I21" s="165"/>
      <c r="J21" s="174"/>
      <c r="K21" s="174"/>
      <c r="L21" s="174"/>
      <c r="M21" s="225"/>
      <c r="N21" s="238"/>
      <c r="O21" s="174" t="s">
        <v>1016</v>
      </c>
      <c r="P21" s="240"/>
    </row>
    <row r="22" spans="1:16" ht="30">
      <c r="A22" s="274"/>
      <c r="B22" s="275"/>
      <c r="C22" s="266"/>
      <c r="D22" s="238"/>
      <c r="E22" s="238"/>
      <c r="F22" s="243" t="s">
        <v>1017</v>
      </c>
      <c r="G22" s="165"/>
      <c r="H22" s="165"/>
      <c r="I22" s="165"/>
      <c r="J22" s="174"/>
      <c r="K22" s="174"/>
      <c r="L22" s="174"/>
      <c r="M22" s="225"/>
      <c r="N22" s="238"/>
      <c r="O22" s="174" t="s">
        <v>1018</v>
      </c>
      <c r="P22" s="240"/>
    </row>
    <row r="23" spans="1:16" ht="30">
      <c r="A23" s="274"/>
      <c r="B23" s="275"/>
      <c r="C23" s="267"/>
      <c r="D23" s="238"/>
      <c r="E23" s="238"/>
      <c r="F23" s="243" t="s">
        <v>1019</v>
      </c>
      <c r="G23" s="165"/>
      <c r="H23" s="165"/>
      <c r="I23" s="165"/>
      <c r="J23" s="174"/>
      <c r="K23" s="174"/>
      <c r="L23" s="174"/>
      <c r="M23" s="225"/>
      <c r="N23" s="238"/>
      <c r="O23" s="174" t="s">
        <v>1018</v>
      </c>
      <c r="P23" s="240" t="s">
        <v>1015</v>
      </c>
    </row>
    <row r="24" spans="1:16">
      <c r="A24" s="274"/>
      <c r="B24" s="275"/>
      <c r="C24" s="268">
        <v>68</v>
      </c>
      <c r="D24" s="242"/>
      <c r="E24" s="242">
        <v>1</v>
      </c>
      <c r="F24" s="11" t="s">
        <v>1020</v>
      </c>
      <c r="G24" s="217">
        <v>0</v>
      </c>
      <c r="H24" s="217">
        <v>2</v>
      </c>
      <c r="I24" s="217">
        <v>39</v>
      </c>
      <c r="J24" s="217">
        <v>1</v>
      </c>
      <c r="K24" s="217">
        <v>3041</v>
      </c>
      <c r="L24" s="217">
        <v>2</v>
      </c>
      <c r="M24" s="242"/>
      <c r="N24" s="216"/>
      <c r="O24" s="216"/>
      <c r="P24" s="240"/>
    </row>
    <row r="25" spans="1:16">
      <c r="A25" s="274"/>
      <c r="B25" s="275"/>
      <c r="C25" s="269"/>
      <c r="D25" s="242"/>
      <c r="E25" s="242">
        <v>2</v>
      </c>
      <c r="F25" s="11" t="s">
        <v>1021</v>
      </c>
      <c r="G25" s="217">
        <v>0</v>
      </c>
      <c r="H25" s="217">
        <v>1</v>
      </c>
      <c r="I25" s="217">
        <v>5</v>
      </c>
      <c r="J25" s="217">
        <v>0</v>
      </c>
      <c r="K25" s="217">
        <v>140</v>
      </c>
      <c r="L25" s="217">
        <v>1</v>
      </c>
      <c r="M25" s="234"/>
      <c r="N25" s="246"/>
      <c r="O25" s="216" t="s">
        <v>1022</v>
      </c>
      <c r="P25" s="240"/>
    </row>
    <row r="26" spans="1:16" ht="30">
      <c r="A26" s="274"/>
      <c r="B26" s="275"/>
      <c r="C26" s="269"/>
      <c r="D26" s="242"/>
      <c r="E26" s="242">
        <v>2</v>
      </c>
      <c r="F26" s="11" t="s">
        <v>1023</v>
      </c>
      <c r="G26" s="217">
        <v>0</v>
      </c>
      <c r="H26" s="217">
        <v>1</v>
      </c>
      <c r="I26" s="217">
        <v>5</v>
      </c>
      <c r="J26" s="217">
        <v>0</v>
      </c>
      <c r="K26" s="217">
        <v>140</v>
      </c>
      <c r="L26" s="217">
        <v>1</v>
      </c>
      <c r="M26" s="234"/>
      <c r="N26" s="246"/>
      <c r="O26" s="216" t="s">
        <v>1024</v>
      </c>
      <c r="P26" s="240"/>
    </row>
    <row r="27" spans="1:16">
      <c r="A27" s="274"/>
      <c r="B27" s="275"/>
      <c r="C27" s="270"/>
      <c r="D27" s="242"/>
      <c r="E27" s="242">
        <v>2</v>
      </c>
      <c r="F27" s="11" t="s">
        <v>1025</v>
      </c>
      <c r="G27" s="217">
        <v>0</v>
      </c>
      <c r="H27" s="217">
        <v>2</v>
      </c>
      <c r="I27" s="217">
        <v>4</v>
      </c>
      <c r="J27" s="217">
        <v>0</v>
      </c>
      <c r="K27" s="217">
        <v>140</v>
      </c>
      <c r="L27" s="217">
        <v>2</v>
      </c>
      <c r="M27" s="234"/>
      <c r="N27" s="246"/>
      <c r="O27" s="216" t="s">
        <v>1026</v>
      </c>
      <c r="P27" s="240"/>
    </row>
    <row r="28" spans="1:16">
      <c r="A28" s="274"/>
      <c r="B28" s="275"/>
      <c r="C28" s="265">
        <v>69</v>
      </c>
      <c r="D28" s="238"/>
      <c r="E28" s="238">
        <v>1</v>
      </c>
      <c r="F28" s="17" t="s">
        <v>1027</v>
      </c>
      <c r="G28" s="220">
        <v>0</v>
      </c>
      <c r="H28" s="220">
        <v>2</v>
      </c>
      <c r="I28" s="220">
        <v>20</v>
      </c>
      <c r="J28" s="220">
        <v>1</v>
      </c>
      <c r="K28" s="220">
        <v>517</v>
      </c>
      <c r="L28" s="220">
        <v>0</v>
      </c>
      <c r="M28" s="225"/>
      <c r="N28" s="222" t="s">
        <v>1028</v>
      </c>
      <c r="O28" s="165"/>
      <c r="P28" s="240"/>
    </row>
    <row r="29" spans="1:16">
      <c r="A29" s="274"/>
      <c r="B29" s="275"/>
      <c r="C29" s="266"/>
      <c r="D29" s="238"/>
      <c r="E29" s="238"/>
      <c r="F29" s="243" t="s">
        <v>752</v>
      </c>
      <c r="G29" s="220"/>
      <c r="H29" s="220"/>
      <c r="I29" s="220"/>
      <c r="J29" s="220"/>
      <c r="K29" s="220"/>
      <c r="L29" s="220"/>
      <c r="M29" s="225"/>
      <c r="N29" s="222"/>
      <c r="O29" s="165" t="s">
        <v>1029</v>
      </c>
      <c r="P29" s="240"/>
    </row>
    <row r="30" spans="1:16" ht="45">
      <c r="A30" s="274"/>
      <c r="B30" s="275"/>
      <c r="C30" s="266"/>
      <c r="D30" s="238"/>
      <c r="E30" s="238"/>
      <c r="F30" s="243" t="s">
        <v>1030</v>
      </c>
      <c r="G30" s="220"/>
      <c r="H30" s="220"/>
      <c r="I30" s="220"/>
      <c r="J30" s="220"/>
      <c r="K30" s="220"/>
      <c r="L30" s="220"/>
      <c r="M30" s="225"/>
      <c r="N30" s="222"/>
      <c r="O30" s="174" t="s">
        <v>1031</v>
      </c>
      <c r="P30" s="240"/>
    </row>
    <row r="31" spans="1:16">
      <c r="A31" s="274"/>
      <c r="B31" s="275"/>
      <c r="C31" s="267"/>
      <c r="D31" s="238"/>
      <c r="E31" s="238"/>
      <c r="F31" s="243" t="s">
        <v>1032</v>
      </c>
      <c r="G31" s="220"/>
      <c r="H31" s="220"/>
      <c r="I31" s="220"/>
      <c r="J31" s="220"/>
      <c r="K31" s="220"/>
      <c r="L31" s="220"/>
      <c r="M31" s="225"/>
      <c r="N31" s="222"/>
      <c r="O31" s="165" t="s">
        <v>1033</v>
      </c>
      <c r="P31" s="240"/>
    </row>
    <row r="32" spans="1:16">
      <c r="A32" s="274"/>
      <c r="B32" s="275"/>
      <c r="C32" s="268">
        <v>70</v>
      </c>
      <c r="D32" s="242"/>
      <c r="E32" s="242">
        <v>1</v>
      </c>
      <c r="F32" s="11" t="s">
        <v>1034</v>
      </c>
      <c r="G32" s="216">
        <v>8</v>
      </c>
      <c r="H32" s="216">
        <v>24</v>
      </c>
      <c r="I32" s="216">
        <v>255</v>
      </c>
      <c r="J32" s="216">
        <v>1</v>
      </c>
      <c r="K32" s="216">
        <v>13442</v>
      </c>
      <c r="L32" s="216">
        <v>1</v>
      </c>
      <c r="M32" s="242"/>
      <c r="N32" s="242" t="s">
        <v>1035</v>
      </c>
      <c r="O32" s="216"/>
      <c r="P32" s="240"/>
    </row>
    <row r="33" spans="1:15">
      <c r="A33" s="274"/>
      <c r="B33" s="275"/>
      <c r="C33" s="269"/>
      <c r="D33" s="32"/>
      <c r="E33" s="242">
        <v>2</v>
      </c>
      <c r="F33" s="243" t="s">
        <v>770</v>
      </c>
      <c r="G33" s="217">
        <v>0</v>
      </c>
      <c r="H33" s="217">
        <v>2</v>
      </c>
      <c r="I33" s="217">
        <v>12</v>
      </c>
      <c r="J33" s="227">
        <v>0</v>
      </c>
      <c r="K33" s="227">
        <v>563</v>
      </c>
      <c r="L33" s="227">
        <v>0</v>
      </c>
      <c r="M33" s="242"/>
      <c r="N33" s="242"/>
      <c r="O33" s="216" t="s">
        <v>1036</v>
      </c>
    </row>
    <row r="34" spans="1:15">
      <c r="A34" s="274"/>
      <c r="B34" s="275"/>
      <c r="C34" s="269"/>
      <c r="D34" s="242"/>
      <c r="E34" s="242">
        <v>2</v>
      </c>
      <c r="F34" s="243" t="s">
        <v>771</v>
      </c>
      <c r="G34" s="217">
        <v>3</v>
      </c>
      <c r="H34" s="217">
        <v>4</v>
      </c>
      <c r="I34" s="217">
        <v>51</v>
      </c>
      <c r="J34" s="227">
        <v>0</v>
      </c>
      <c r="K34" s="227">
        <v>2188</v>
      </c>
      <c r="L34" s="227">
        <v>0</v>
      </c>
      <c r="M34" s="242"/>
      <c r="N34" s="242"/>
      <c r="O34" s="216" t="s">
        <v>1036</v>
      </c>
    </row>
    <row r="35" spans="1:15">
      <c r="A35" s="274"/>
      <c r="B35" s="275"/>
      <c r="C35" s="269"/>
      <c r="D35" s="242">
        <v>15.138</v>
      </c>
      <c r="E35" s="242">
        <v>2</v>
      </c>
      <c r="F35" s="11" t="s">
        <v>860</v>
      </c>
      <c r="G35" s="216">
        <v>5</v>
      </c>
      <c r="H35" s="216">
        <v>5</v>
      </c>
      <c r="I35" s="216">
        <v>32</v>
      </c>
      <c r="J35" s="216">
        <v>0</v>
      </c>
      <c r="K35" s="216">
        <v>984</v>
      </c>
      <c r="L35" s="216">
        <v>0</v>
      </c>
      <c r="M35" s="242"/>
      <c r="N35" s="242"/>
      <c r="O35" s="216" t="s">
        <v>1037</v>
      </c>
    </row>
    <row r="36" spans="1:15" ht="30">
      <c r="A36" s="274"/>
      <c r="B36" s="275"/>
      <c r="C36" s="269"/>
      <c r="D36" s="242"/>
      <c r="E36" s="242">
        <v>2</v>
      </c>
      <c r="F36" s="243" t="s">
        <v>1038</v>
      </c>
      <c r="G36" s="216">
        <v>0</v>
      </c>
      <c r="H36" s="216">
        <v>1</v>
      </c>
      <c r="I36" s="216">
        <v>6</v>
      </c>
      <c r="J36" s="216">
        <v>0</v>
      </c>
      <c r="K36" s="216">
        <v>6</v>
      </c>
      <c r="L36" s="216">
        <v>0</v>
      </c>
      <c r="M36" s="242"/>
      <c r="N36" s="242"/>
      <c r="O36" s="216" t="s">
        <v>1039</v>
      </c>
    </row>
    <row r="37" spans="1:15">
      <c r="A37" s="274"/>
      <c r="B37" s="275"/>
      <c r="C37" s="269"/>
      <c r="D37" s="32"/>
      <c r="E37" s="242">
        <v>2</v>
      </c>
      <c r="F37" s="20" t="s">
        <v>1040</v>
      </c>
      <c r="G37" s="216">
        <v>0</v>
      </c>
      <c r="H37" s="216">
        <v>1</v>
      </c>
      <c r="I37" s="216">
        <v>2</v>
      </c>
      <c r="J37" s="216">
        <v>0</v>
      </c>
      <c r="K37" s="216">
        <v>27</v>
      </c>
      <c r="L37" s="216">
        <v>0</v>
      </c>
      <c r="M37" s="242"/>
      <c r="N37" s="242"/>
      <c r="O37" s="216" t="s">
        <v>682</v>
      </c>
    </row>
    <row r="38" spans="1:15">
      <c r="A38" s="274"/>
      <c r="B38" s="275"/>
      <c r="C38" s="269"/>
      <c r="D38" s="32"/>
      <c r="E38" s="242">
        <v>2</v>
      </c>
      <c r="F38" s="20" t="s">
        <v>1041</v>
      </c>
      <c r="G38" s="216">
        <v>0</v>
      </c>
      <c r="H38" s="216">
        <v>1</v>
      </c>
      <c r="I38" s="216">
        <v>4</v>
      </c>
      <c r="J38" s="216">
        <v>0</v>
      </c>
      <c r="K38" s="216">
        <v>81</v>
      </c>
      <c r="L38" s="216">
        <v>0</v>
      </c>
      <c r="M38" s="242"/>
      <c r="N38" s="242"/>
      <c r="O38" s="216" t="s">
        <v>682</v>
      </c>
    </row>
    <row r="39" spans="1:15" ht="30">
      <c r="A39" s="274"/>
      <c r="B39" s="275"/>
      <c r="C39" s="269"/>
      <c r="D39" s="69">
        <v>20.175000000000001</v>
      </c>
      <c r="E39" s="242">
        <v>2</v>
      </c>
      <c r="F39" s="11" t="s">
        <v>774</v>
      </c>
      <c r="G39" s="216">
        <v>0</v>
      </c>
      <c r="H39" s="216">
        <v>5</v>
      </c>
      <c r="I39" s="216">
        <v>37</v>
      </c>
      <c r="J39" s="216">
        <v>1</v>
      </c>
      <c r="K39" s="216">
        <v>1447</v>
      </c>
      <c r="L39" s="216">
        <v>5</v>
      </c>
      <c r="M39" s="242"/>
      <c r="N39" s="242"/>
      <c r="O39" s="216"/>
    </row>
    <row r="40" spans="1:15" ht="30">
      <c r="A40" s="274"/>
      <c r="B40" s="275"/>
      <c r="C40" s="269"/>
      <c r="D40" s="69">
        <v>20.175000000000001</v>
      </c>
      <c r="E40" s="242">
        <v>3</v>
      </c>
      <c r="F40" s="11" t="s">
        <v>775</v>
      </c>
      <c r="G40" s="216">
        <v>0</v>
      </c>
      <c r="H40" s="216">
        <v>2</v>
      </c>
      <c r="I40" s="216">
        <v>3</v>
      </c>
      <c r="J40" s="216">
        <v>0</v>
      </c>
      <c r="K40" s="216">
        <v>33</v>
      </c>
      <c r="L40" s="216">
        <v>0</v>
      </c>
      <c r="M40" s="242"/>
      <c r="N40" s="242"/>
      <c r="O40" s="216"/>
    </row>
    <row r="41" spans="1:15" ht="45">
      <c r="A41" s="274"/>
      <c r="B41" s="275"/>
      <c r="C41" s="269"/>
      <c r="D41" s="32"/>
      <c r="E41" s="242"/>
      <c r="F41" s="243" t="s">
        <v>1042</v>
      </c>
      <c r="G41" s="216"/>
      <c r="H41" s="216"/>
      <c r="I41" s="216"/>
      <c r="J41" s="216"/>
      <c r="K41" s="216"/>
      <c r="L41" s="216"/>
      <c r="M41" s="242"/>
      <c r="N41" s="242"/>
      <c r="O41" s="218" t="s">
        <v>994</v>
      </c>
    </row>
    <row r="42" spans="1:15" ht="30">
      <c r="A42" s="274"/>
      <c r="B42" s="275"/>
      <c r="C42" s="269"/>
      <c r="D42" s="32"/>
      <c r="E42" s="242"/>
      <c r="F42" s="243" t="s">
        <v>1043</v>
      </c>
      <c r="G42" s="216"/>
      <c r="H42" s="216"/>
      <c r="I42" s="216"/>
      <c r="J42" s="216"/>
      <c r="K42" s="216"/>
      <c r="L42" s="216"/>
      <c r="M42" s="242"/>
      <c r="N42" s="242"/>
      <c r="O42" s="218" t="s">
        <v>996</v>
      </c>
    </row>
    <row r="43" spans="1:15" ht="30">
      <c r="A43" s="274"/>
      <c r="B43" s="275"/>
      <c r="C43" s="269"/>
      <c r="D43" s="32"/>
      <c r="E43" s="242"/>
      <c r="F43" s="243" t="s">
        <v>1044</v>
      </c>
      <c r="G43" s="216"/>
      <c r="H43" s="216"/>
      <c r="I43" s="216"/>
      <c r="J43" s="216"/>
      <c r="K43" s="216"/>
      <c r="L43" s="216"/>
      <c r="M43" s="242"/>
      <c r="N43" s="242"/>
      <c r="O43" s="218" t="s">
        <v>998</v>
      </c>
    </row>
    <row r="44" spans="1:15" ht="30">
      <c r="A44" s="274"/>
      <c r="B44" s="275"/>
      <c r="C44" s="269"/>
      <c r="D44" s="32"/>
      <c r="E44" s="242"/>
      <c r="F44" s="243" t="s">
        <v>1045</v>
      </c>
      <c r="G44" s="216"/>
      <c r="H44" s="216"/>
      <c r="I44" s="216"/>
      <c r="J44" s="216"/>
      <c r="K44" s="216"/>
      <c r="L44" s="216"/>
      <c r="M44" s="242"/>
      <c r="N44" s="242"/>
      <c r="O44" s="218" t="s">
        <v>998</v>
      </c>
    </row>
    <row r="45" spans="1:15">
      <c r="A45" s="274"/>
      <c r="B45" s="275"/>
      <c r="C45" s="269"/>
      <c r="D45" s="56">
        <v>5.4</v>
      </c>
      <c r="E45" s="242">
        <v>2</v>
      </c>
      <c r="F45" s="20" t="s">
        <v>854</v>
      </c>
      <c r="G45" s="217">
        <v>14</v>
      </c>
      <c r="H45" s="217">
        <v>54</v>
      </c>
      <c r="I45" s="217">
        <v>344</v>
      </c>
      <c r="J45" s="217">
        <v>1</v>
      </c>
      <c r="K45" s="217">
        <v>11426</v>
      </c>
      <c r="L45" s="217">
        <v>1</v>
      </c>
      <c r="M45" s="242"/>
      <c r="N45" s="242"/>
      <c r="O45" s="216" t="s">
        <v>1046</v>
      </c>
    </row>
    <row r="46" spans="1:15">
      <c r="A46" s="274"/>
      <c r="B46" s="275"/>
      <c r="C46" s="269"/>
      <c r="D46" s="56"/>
      <c r="E46" s="242">
        <v>2</v>
      </c>
      <c r="F46" s="47" t="s">
        <v>1011</v>
      </c>
      <c r="G46" s="216">
        <v>2</v>
      </c>
      <c r="H46" s="216">
        <v>3</v>
      </c>
      <c r="I46" s="216">
        <v>25</v>
      </c>
      <c r="J46" s="216">
        <v>0</v>
      </c>
      <c r="K46" s="216">
        <v>699</v>
      </c>
      <c r="L46" s="216">
        <v>0</v>
      </c>
      <c r="M46" s="242"/>
      <c r="N46" s="242" t="s">
        <v>1047</v>
      </c>
      <c r="O46" s="216" t="s">
        <v>1046</v>
      </c>
    </row>
    <row r="47" spans="1:15">
      <c r="A47" s="274"/>
      <c r="B47" s="275"/>
      <c r="C47" s="270"/>
      <c r="D47" s="56"/>
      <c r="E47" s="242">
        <v>3</v>
      </c>
      <c r="F47" s="47" t="s">
        <v>1013</v>
      </c>
      <c r="G47" s="216">
        <v>0</v>
      </c>
      <c r="H47" s="216">
        <v>1</v>
      </c>
      <c r="I47" s="216">
        <v>11</v>
      </c>
      <c r="J47" s="216">
        <v>1</v>
      </c>
      <c r="K47" s="216">
        <v>52</v>
      </c>
      <c r="L47" s="216">
        <v>0</v>
      </c>
      <c r="M47" s="242"/>
      <c r="N47" s="242"/>
      <c r="O47" s="216"/>
    </row>
    <row r="48" spans="1:15" ht="30">
      <c r="A48" s="274"/>
      <c r="B48" s="275"/>
      <c r="C48" s="265">
        <v>71</v>
      </c>
      <c r="D48" s="238"/>
      <c r="E48" s="238">
        <v>1</v>
      </c>
      <c r="F48" s="5" t="s">
        <v>1048</v>
      </c>
      <c r="G48" s="165">
        <v>0</v>
      </c>
      <c r="H48" s="165">
        <v>3</v>
      </c>
      <c r="I48" s="165">
        <v>35</v>
      </c>
      <c r="J48" s="165">
        <v>1</v>
      </c>
      <c r="K48" s="165">
        <v>1447</v>
      </c>
      <c r="L48" s="165">
        <v>2</v>
      </c>
      <c r="M48" s="238"/>
      <c r="N48" s="238" t="s">
        <v>1049</v>
      </c>
      <c r="O48" s="165"/>
    </row>
    <row r="49" spans="1:15" ht="30">
      <c r="A49" s="274"/>
      <c r="B49" s="275"/>
      <c r="C49" s="266"/>
      <c r="D49" s="238"/>
      <c r="E49" s="238">
        <v>2</v>
      </c>
      <c r="F49" s="5" t="s">
        <v>1048</v>
      </c>
      <c r="G49" s="165">
        <v>0</v>
      </c>
      <c r="H49" s="165">
        <v>3</v>
      </c>
      <c r="I49" s="165">
        <v>35</v>
      </c>
      <c r="J49" s="165">
        <v>1</v>
      </c>
      <c r="K49" s="165">
        <v>1447</v>
      </c>
      <c r="L49" s="165">
        <v>2</v>
      </c>
      <c r="M49" s="238"/>
      <c r="N49" s="238"/>
      <c r="O49" s="165"/>
    </row>
    <row r="50" spans="1:15" ht="30">
      <c r="A50" s="274"/>
      <c r="B50" s="275"/>
      <c r="C50" s="266"/>
      <c r="D50" s="238"/>
      <c r="E50" s="238">
        <v>2</v>
      </c>
      <c r="F50" s="243" t="s">
        <v>770</v>
      </c>
      <c r="G50" s="220">
        <v>0</v>
      </c>
      <c r="H50" s="220">
        <v>2</v>
      </c>
      <c r="I50" s="220">
        <v>12</v>
      </c>
      <c r="J50" s="221">
        <v>0</v>
      </c>
      <c r="K50" s="221">
        <v>563</v>
      </c>
      <c r="L50" s="221">
        <v>0</v>
      </c>
      <c r="M50" s="238"/>
      <c r="N50" s="238"/>
      <c r="O50" s="174" t="s">
        <v>1050</v>
      </c>
    </row>
    <row r="51" spans="1:15" ht="45">
      <c r="A51" s="274"/>
      <c r="B51" s="275"/>
      <c r="C51" s="266"/>
      <c r="D51" s="238"/>
      <c r="E51" s="238">
        <v>2</v>
      </c>
      <c r="F51" s="243" t="s">
        <v>771</v>
      </c>
      <c r="G51" s="220">
        <v>3</v>
      </c>
      <c r="H51" s="220">
        <v>4</v>
      </c>
      <c r="I51" s="220">
        <v>51</v>
      </c>
      <c r="J51" s="221">
        <v>0</v>
      </c>
      <c r="K51" s="221">
        <v>2188</v>
      </c>
      <c r="L51" s="221">
        <v>0</v>
      </c>
      <c r="M51" s="238"/>
      <c r="N51" s="238"/>
      <c r="O51" s="174" t="s">
        <v>1009</v>
      </c>
    </row>
    <row r="52" spans="1:15">
      <c r="A52" s="274"/>
      <c r="B52" s="275"/>
      <c r="C52" s="266"/>
      <c r="D52" s="238">
        <v>7.69</v>
      </c>
      <c r="E52" s="238">
        <v>2</v>
      </c>
      <c r="F52" s="5" t="s">
        <v>1051</v>
      </c>
      <c r="G52" s="165">
        <v>8</v>
      </c>
      <c r="H52" s="165">
        <v>24</v>
      </c>
      <c r="I52" s="165">
        <v>255</v>
      </c>
      <c r="J52" s="165">
        <v>1</v>
      </c>
      <c r="K52" s="165">
        <v>13442</v>
      </c>
      <c r="L52" s="165">
        <v>1</v>
      </c>
      <c r="M52" s="238"/>
      <c r="N52" s="238"/>
      <c r="O52" s="165" t="s">
        <v>1052</v>
      </c>
    </row>
    <row r="53" spans="1:15">
      <c r="A53" s="274"/>
      <c r="B53" s="275"/>
      <c r="C53" s="266"/>
      <c r="D53" s="238"/>
      <c r="E53" s="238">
        <v>2</v>
      </c>
      <c r="F53" s="5" t="s">
        <v>1011</v>
      </c>
      <c r="G53" s="165">
        <v>2</v>
      </c>
      <c r="H53" s="165">
        <v>3</v>
      </c>
      <c r="I53" s="165">
        <v>25</v>
      </c>
      <c r="J53" s="165">
        <v>0</v>
      </c>
      <c r="K53" s="165">
        <v>699</v>
      </c>
      <c r="L53" s="165">
        <v>0</v>
      </c>
      <c r="M53" s="238"/>
      <c r="N53" s="238"/>
      <c r="O53" s="165" t="s">
        <v>1053</v>
      </c>
    </row>
    <row r="54" spans="1:15">
      <c r="A54" s="274"/>
      <c r="B54" s="275"/>
      <c r="C54" s="267"/>
      <c r="D54" s="238"/>
      <c r="E54" s="238">
        <v>3</v>
      </c>
      <c r="F54" s="5" t="s">
        <v>1013</v>
      </c>
      <c r="G54" s="165">
        <v>0</v>
      </c>
      <c r="H54" s="165">
        <v>1</v>
      </c>
      <c r="I54" s="165">
        <v>11</v>
      </c>
      <c r="J54" s="165">
        <v>1</v>
      </c>
      <c r="K54" s="165">
        <v>52</v>
      </c>
      <c r="L54" s="165">
        <v>0</v>
      </c>
      <c r="M54" s="238"/>
      <c r="N54" s="238"/>
      <c r="O54" s="165"/>
    </row>
    <row r="55" spans="1:15">
      <c r="A55" s="274"/>
      <c r="B55" s="275"/>
      <c r="C55" s="268">
        <v>72</v>
      </c>
      <c r="D55" s="242"/>
      <c r="E55" s="242">
        <v>1</v>
      </c>
      <c r="F55" s="11" t="s">
        <v>1054</v>
      </c>
      <c r="G55" s="216">
        <v>0</v>
      </c>
      <c r="H55" s="216">
        <v>1</v>
      </c>
      <c r="I55" s="216">
        <v>13</v>
      </c>
      <c r="J55" s="216">
        <v>1</v>
      </c>
      <c r="K55" s="216">
        <v>562</v>
      </c>
      <c r="L55" s="216">
        <v>0</v>
      </c>
      <c r="M55" s="216"/>
      <c r="N55" s="216" t="s">
        <v>1055</v>
      </c>
      <c r="O55" s="216"/>
    </row>
    <row r="56" spans="1:15">
      <c r="A56" s="274"/>
      <c r="B56" s="275"/>
      <c r="C56" s="269"/>
      <c r="D56" s="242"/>
      <c r="E56" s="242">
        <v>2</v>
      </c>
      <c r="F56" s="11" t="s">
        <v>1056</v>
      </c>
      <c r="G56" s="216">
        <v>2</v>
      </c>
      <c r="H56" s="216">
        <v>3</v>
      </c>
      <c r="I56" s="216">
        <v>25</v>
      </c>
      <c r="J56" s="216">
        <v>0</v>
      </c>
      <c r="K56" s="216">
        <v>699</v>
      </c>
      <c r="L56" s="216">
        <v>0</v>
      </c>
      <c r="M56" s="216"/>
      <c r="N56" s="216"/>
      <c r="O56" s="216"/>
    </row>
    <row r="57" spans="1:15">
      <c r="A57" s="274"/>
      <c r="B57" s="275"/>
      <c r="C57" s="270"/>
      <c r="D57" s="242"/>
      <c r="E57" s="242">
        <v>3</v>
      </c>
      <c r="F57" s="11" t="s">
        <v>1013</v>
      </c>
      <c r="G57" s="216">
        <v>0</v>
      </c>
      <c r="H57" s="216">
        <v>1</v>
      </c>
      <c r="I57" s="216">
        <v>11</v>
      </c>
      <c r="J57" s="216">
        <v>1</v>
      </c>
      <c r="K57" s="216">
        <v>52</v>
      </c>
      <c r="L57" s="216">
        <v>0</v>
      </c>
      <c r="M57" s="216"/>
      <c r="N57" s="216"/>
      <c r="O57" s="216"/>
    </row>
    <row r="58" spans="1:15">
      <c r="A58" s="274"/>
      <c r="B58" s="275"/>
      <c r="C58" s="222">
        <v>73</v>
      </c>
      <c r="D58" s="238"/>
      <c r="E58" s="238">
        <v>1</v>
      </c>
      <c r="F58" s="16" t="s">
        <v>1057</v>
      </c>
      <c r="G58" s="165">
        <v>0</v>
      </c>
      <c r="H58" s="165">
        <v>1</v>
      </c>
      <c r="I58" s="165">
        <v>10</v>
      </c>
      <c r="J58" s="165">
        <v>0</v>
      </c>
      <c r="K58" s="165">
        <v>0</v>
      </c>
      <c r="L58" s="165">
        <v>0</v>
      </c>
      <c r="M58" s="165"/>
      <c r="N58" s="165" t="s">
        <v>1058</v>
      </c>
      <c r="O58" s="165"/>
    </row>
    <row r="59" spans="1:15">
      <c r="A59" s="274"/>
      <c r="B59" s="275"/>
      <c r="C59" s="268">
        <v>74</v>
      </c>
      <c r="D59" s="242"/>
      <c r="E59" s="242">
        <v>1</v>
      </c>
      <c r="F59" s="26" t="s">
        <v>1059</v>
      </c>
      <c r="G59" s="216">
        <v>0</v>
      </c>
      <c r="H59" s="216">
        <v>1</v>
      </c>
      <c r="I59" s="216">
        <v>10</v>
      </c>
      <c r="J59" s="216">
        <v>0</v>
      </c>
      <c r="K59" s="216">
        <v>1120</v>
      </c>
      <c r="L59" s="216">
        <v>0</v>
      </c>
      <c r="M59" s="216"/>
      <c r="N59" s="216"/>
      <c r="O59" s="216"/>
    </row>
    <row r="60" spans="1:15">
      <c r="A60" s="274"/>
      <c r="B60" s="275"/>
      <c r="C60" s="269"/>
      <c r="D60" s="242"/>
      <c r="E60" s="242">
        <v>2</v>
      </c>
      <c r="F60" s="26" t="s">
        <v>1060</v>
      </c>
      <c r="G60" s="216">
        <v>0</v>
      </c>
      <c r="H60" s="216">
        <v>1</v>
      </c>
      <c r="I60" s="216">
        <v>4</v>
      </c>
      <c r="J60" s="216">
        <v>0</v>
      </c>
      <c r="K60" s="216">
        <v>0</v>
      </c>
      <c r="L60" s="216">
        <v>0</v>
      </c>
      <c r="M60" s="216"/>
      <c r="N60" s="216"/>
      <c r="O60" s="216" t="s">
        <v>1061</v>
      </c>
    </row>
    <row r="61" spans="1:15">
      <c r="A61" s="274"/>
      <c r="B61" s="275"/>
      <c r="C61" s="265">
        <v>75</v>
      </c>
      <c r="D61" s="238"/>
      <c r="E61" s="238">
        <v>1</v>
      </c>
      <c r="F61" s="31" t="s">
        <v>1062</v>
      </c>
      <c r="G61" s="165">
        <v>0</v>
      </c>
      <c r="H61" s="165">
        <v>2</v>
      </c>
      <c r="I61" s="165">
        <v>15</v>
      </c>
      <c r="J61" s="165">
        <v>1</v>
      </c>
      <c r="K61" s="165">
        <v>459</v>
      </c>
      <c r="L61" s="165">
        <v>0</v>
      </c>
      <c r="M61" s="165"/>
      <c r="N61" s="165"/>
      <c r="O61" s="165"/>
    </row>
    <row r="62" spans="1:15">
      <c r="A62" s="274"/>
      <c r="B62" s="275"/>
      <c r="C62" s="266"/>
      <c r="D62" s="238">
        <v>7.69</v>
      </c>
      <c r="E62" s="238">
        <v>2</v>
      </c>
      <c r="F62" s="31" t="s">
        <v>1051</v>
      </c>
      <c r="G62" s="165">
        <v>8</v>
      </c>
      <c r="H62" s="165">
        <v>24</v>
      </c>
      <c r="I62" s="165">
        <v>255</v>
      </c>
      <c r="J62" s="165">
        <v>1</v>
      </c>
      <c r="K62" s="165">
        <v>13442</v>
      </c>
      <c r="L62" s="165">
        <v>1</v>
      </c>
      <c r="M62" s="165"/>
      <c r="N62" s="165"/>
      <c r="O62" s="165" t="s">
        <v>888</v>
      </c>
    </row>
    <row r="63" spans="1:15">
      <c r="A63" s="274"/>
      <c r="B63" s="275"/>
      <c r="C63" s="267"/>
      <c r="D63" s="238">
        <v>8.7899999999999991</v>
      </c>
      <c r="E63" s="238">
        <v>2</v>
      </c>
      <c r="F63" s="31" t="s">
        <v>795</v>
      </c>
      <c r="G63" s="165">
        <v>0</v>
      </c>
      <c r="H63" s="165">
        <v>3</v>
      </c>
      <c r="I63" s="165">
        <v>32</v>
      </c>
      <c r="J63" s="165">
        <v>0</v>
      </c>
      <c r="K63" s="165">
        <v>1594</v>
      </c>
      <c r="L63" s="165">
        <v>0</v>
      </c>
      <c r="M63" s="165"/>
      <c r="N63" s="165"/>
      <c r="O63" s="165" t="s">
        <v>1024</v>
      </c>
    </row>
    <row r="64" spans="1:15">
      <c r="A64" s="240"/>
      <c r="B64" s="240"/>
      <c r="C64" s="240"/>
      <c r="D64" s="240"/>
      <c r="E64" s="240"/>
      <c r="F64"/>
      <c r="G64" s="240"/>
      <c r="H64" s="240"/>
      <c r="I64" s="240"/>
      <c r="J64" s="240"/>
      <c r="K64" s="240"/>
      <c r="L64" s="240"/>
      <c r="M64" s="240"/>
      <c r="N64" s="240"/>
      <c r="O64" s="240"/>
    </row>
    <row r="65" spans="4:7">
      <c r="D65" s="240"/>
      <c r="E65" s="240"/>
      <c r="F65"/>
      <c r="G65" s="240"/>
    </row>
    <row r="66" spans="4:7">
      <c r="D66" s="240"/>
      <c r="E66" s="240"/>
      <c r="F66"/>
      <c r="G66" s="240"/>
    </row>
    <row r="67" spans="4:7">
      <c r="D67" s="240"/>
      <c r="E67" s="240"/>
      <c r="F67"/>
      <c r="G67" s="240"/>
    </row>
    <row r="68" spans="4:7">
      <c r="D68"/>
      <c r="E68"/>
      <c r="F68"/>
      <c r="G68"/>
    </row>
    <row r="69" spans="4:7">
      <c r="D69"/>
      <c r="E69"/>
      <c r="F69"/>
      <c r="G69"/>
    </row>
    <row r="70" spans="4:7">
      <c r="D70"/>
      <c r="E70"/>
      <c r="F70"/>
      <c r="G70"/>
    </row>
    <row r="71" spans="4:7">
      <c r="D71"/>
      <c r="E71"/>
      <c r="F71"/>
      <c r="G71"/>
    </row>
    <row r="72" spans="4:7">
      <c r="D72"/>
      <c r="E72"/>
      <c r="F72"/>
      <c r="G72"/>
    </row>
    <row r="73" spans="4:7">
      <c r="D73"/>
      <c r="E73"/>
      <c r="F73"/>
      <c r="G73"/>
    </row>
    <row r="74" spans="4:7">
      <c r="D74"/>
      <c r="E74"/>
      <c r="F74"/>
      <c r="G74"/>
    </row>
    <row r="75" spans="4:7">
      <c r="D75"/>
      <c r="E75"/>
      <c r="F75"/>
      <c r="G75"/>
    </row>
    <row r="76" spans="4:7">
      <c r="D76"/>
      <c r="E76"/>
      <c r="F76"/>
      <c r="G76"/>
    </row>
    <row r="77" spans="4:7">
      <c r="D77"/>
      <c r="E77"/>
      <c r="F77"/>
      <c r="G77"/>
    </row>
    <row r="78" spans="4:7">
      <c r="D78"/>
      <c r="E78"/>
      <c r="F78"/>
      <c r="G78"/>
    </row>
    <row r="79" spans="4:7">
      <c r="D79"/>
      <c r="E79"/>
      <c r="F79"/>
      <c r="G79"/>
    </row>
    <row r="80" spans="4:7">
      <c r="D80"/>
      <c r="E80"/>
      <c r="F80"/>
      <c r="G80"/>
    </row>
    <row r="81" spans="4:7">
      <c r="D81"/>
      <c r="E81"/>
      <c r="F81"/>
      <c r="G81"/>
    </row>
    <row r="82" spans="4:7">
      <c r="D82"/>
      <c r="E82"/>
      <c r="F82"/>
      <c r="G82"/>
    </row>
    <row r="83" spans="4:7">
      <c r="D83"/>
      <c r="E83"/>
      <c r="F83"/>
      <c r="G83"/>
    </row>
    <row r="84" spans="4:7">
      <c r="D84"/>
      <c r="E84"/>
      <c r="F84"/>
      <c r="G84"/>
    </row>
    <row r="85" spans="4:7">
      <c r="D85"/>
      <c r="E85"/>
      <c r="F85"/>
      <c r="G85"/>
    </row>
  </sheetData>
  <mergeCells count="12">
    <mergeCell ref="C24:C27"/>
    <mergeCell ref="C48:C54"/>
    <mergeCell ref="C55:C57"/>
    <mergeCell ref="A2:A63"/>
    <mergeCell ref="B2:B63"/>
    <mergeCell ref="C59:C60"/>
    <mergeCell ref="C61:C63"/>
    <mergeCell ref="C2:C9"/>
    <mergeCell ref="C10:C14"/>
    <mergeCell ref="C15:C23"/>
    <mergeCell ref="C28:C31"/>
    <mergeCell ref="C32:C4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8FD7-C749-47D2-BD15-D8738C54F15C}">
  <dimension ref="A1:O44"/>
  <sheetViews>
    <sheetView zoomScaleNormal="100" workbookViewId="0">
      <pane ySplit="1" topLeftCell="A19" activePane="bottomLeft" state="frozen"/>
      <selection pane="bottomLeft" activeCell="F34" sqref="F34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12" customWidth="1"/>
    <col min="4" max="4" width="10.7109375" style="12" customWidth="1"/>
    <col min="5" max="5" width="7.7109375" style="12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3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714</v>
      </c>
      <c r="O1" s="162" t="s">
        <v>672</v>
      </c>
    </row>
    <row r="2" spans="1:15">
      <c r="A2" s="274">
        <v>8</v>
      </c>
      <c r="B2" s="275" t="s">
        <v>1063</v>
      </c>
      <c r="C2" s="274">
        <v>76</v>
      </c>
      <c r="D2" s="238"/>
      <c r="E2" s="238">
        <v>1</v>
      </c>
      <c r="F2" s="17" t="s">
        <v>1064</v>
      </c>
      <c r="G2" s="220">
        <v>0</v>
      </c>
      <c r="H2" s="220">
        <v>0</v>
      </c>
      <c r="I2" s="220">
        <v>46</v>
      </c>
      <c r="J2" s="220">
        <v>0</v>
      </c>
      <c r="K2" s="220">
        <v>529</v>
      </c>
      <c r="L2" s="220">
        <v>0</v>
      </c>
      <c r="M2" s="165"/>
      <c r="N2" s="165" t="s">
        <v>1065</v>
      </c>
      <c r="O2" s="165"/>
    </row>
    <row r="3" spans="1:15">
      <c r="A3" s="274"/>
      <c r="B3" s="275"/>
      <c r="C3" s="274"/>
      <c r="D3" s="238"/>
      <c r="E3" s="238">
        <v>2</v>
      </c>
      <c r="F3" s="174" t="s">
        <v>770</v>
      </c>
      <c r="G3" s="220">
        <v>0</v>
      </c>
      <c r="H3" s="220">
        <v>2</v>
      </c>
      <c r="I3" s="220">
        <v>12</v>
      </c>
      <c r="J3" s="220">
        <v>0</v>
      </c>
      <c r="K3" s="220">
        <v>563</v>
      </c>
      <c r="L3" s="220">
        <v>0</v>
      </c>
      <c r="M3" s="165"/>
      <c r="N3" s="165"/>
      <c r="O3" s="60" t="s">
        <v>1066</v>
      </c>
    </row>
    <row r="4" spans="1:15">
      <c r="A4" s="274"/>
      <c r="B4" s="275"/>
      <c r="C4" s="274"/>
      <c r="D4" s="238"/>
      <c r="E4" s="238">
        <v>2</v>
      </c>
      <c r="F4" s="174" t="s">
        <v>771</v>
      </c>
      <c r="G4" s="220">
        <v>3</v>
      </c>
      <c r="H4" s="220">
        <v>4</v>
      </c>
      <c r="I4" s="220">
        <v>51</v>
      </c>
      <c r="J4" s="220">
        <v>0</v>
      </c>
      <c r="K4" s="220">
        <v>2188</v>
      </c>
      <c r="L4" s="220">
        <v>0</v>
      </c>
      <c r="M4" s="165"/>
      <c r="N4" s="165"/>
      <c r="O4" s="165"/>
    </row>
    <row r="5" spans="1:15">
      <c r="A5" s="274"/>
      <c r="B5" s="275"/>
      <c r="C5" s="274"/>
      <c r="D5" s="238"/>
      <c r="E5" s="238">
        <v>2</v>
      </c>
      <c r="F5" s="174" t="s">
        <v>1067</v>
      </c>
      <c r="G5" s="220">
        <v>0</v>
      </c>
      <c r="H5" s="220">
        <v>4</v>
      </c>
      <c r="I5" s="220">
        <v>19</v>
      </c>
      <c r="J5" s="220">
        <v>0</v>
      </c>
      <c r="K5" s="220">
        <v>116</v>
      </c>
      <c r="L5" s="220">
        <v>0</v>
      </c>
      <c r="M5" s="165"/>
      <c r="N5" s="165"/>
      <c r="O5" s="58" t="s">
        <v>1068</v>
      </c>
    </row>
    <row r="6" spans="1:15">
      <c r="A6" s="274"/>
      <c r="B6" s="275"/>
      <c r="C6" s="274"/>
      <c r="D6" s="238"/>
      <c r="E6" s="238">
        <v>2</v>
      </c>
      <c r="F6" s="174" t="s">
        <v>805</v>
      </c>
      <c r="G6" s="220">
        <v>0</v>
      </c>
      <c r="H6" s="220">
        <v>2</v>
      </c>
      <c r="I6" s="220">
        <v>23</v>
      </c>
      <c r="J6" s="220">
        <v>1</v>
      </c>
      <c r="K6" s="220">
        <v>1328</v>
      </c>
      <c r="L6" s="220">
        <v>0</v>
      </c>
      <c r="M6" s="165"/>
      <c r="N6" s="165"/>
      <c r="O6" s="58" t="s">
        <v>1069</v>
      </c>
    </row>
    <row r="7" spans="1:15" ht="30">
      <c r="A7" s="274"/>
      <c r="B7" s="275"/>
      <c r="C7" s="274"/>
      <c r="D7" s="238"/>
      <c r="E7" s="238"/>
      <c r="F7" s="59" t="s">
        <v>1070</v>
      </c>
      <c r="G7" s="165"/>
      <c r="H7" s="165"/>
      <c r="I7" s="165"/>
      <c r="J7" s="220"/>
      <c r="K7" s="220"/>
      <c r="L7" s="165"/>
      <c r="M7" s="165"/>
      <c r="N7" s="165" t="s">
        <v>1071</v>
      </c>
      <c r="O7" s="174" t="s">
        <v>1072</v>
      </c>
    </row>
    <row r="8" spans="1:15" ht="60">
      <c r="A8" s="274"/>
      <c r="B8" s="275"/>
      <c r="C8" s="274"/>
      <c r="D8" s="238"/>
      <c r="E8" s="238"/>
      <c r="F8" s="59" t="s">
        <v>1073</v>
      </c>
      <c r="G8" s="165"/>
      <c r="H8" s="165"/>
      <c r="I8" s="165"/>
      <c r="J8" s="220"/>
      <c r="K8" s="220"/>
      <c r="L8" s="165"/>
      <c r="M8" s="165"/>
      <c r="N8" s="165" t="s">
        <v>1074</v>
      </c>
      <c r="O8" s="174" t="s">
        <v>1075</v>
      </c>
    </row>
    <row r="9" spans="1:15" ht="30">
      <c r="A9" s="274"/>
      <c r="B9" s="275"/>
      <c r="C9" s="274"/>
      <c r="D9" s="238"/>
      <c r="E9" s="238"/>
      <c r="F9" s="59" t="s">
        <v>1076</v>
      </c>
      <c r="G9" s="165"/>
      <c r="H9" s="165"/>
      <c r="I9" s="165"/>
      <c r="J9" s="220"/>
      <c r="K9" s="220"/>
      <c r="L9" s="165"/>
      <c r="M9" s="165"/>
      <c r="N9" s="165"/>
      <c r="O9" s="174" t="s">
        <v>1077</v>
      </c>
    </row>
    <row r="10" spans="1:15" ht="30">
      <c r="A10" s="274"/>
      <c r="B10" s="275"/>
      <c r="C10" s="274"/>
      <c r="D10" s="238"/>
      <c r="E10" s="238"/>
      <c r="F10" s="243" t="s">
        <v>1078</v>
      </c>
      <c r="G10" s="165"/>
      <c r="H10" s="165"/>
      <c r="I10" s="165"/>
      <c r="J10" s="220"/>
      <c r="K10" s="220"/>
      <c r="L10" s="165"/>
      <c r="M10" s="165"/>
      <c r="N10" s="165"/>
      <c r="O10" s="174" t="s">
        <v>1079</v>
      </c>
    </row>
    <row r="11" spans="1:15">
      <c r="A11" s="274"/>
      <c r="B11" s="275"/>
      <c r="C11" s="274"/>
      <c r="D11" s="238"/>
      <c r="E11" s="238"/>
      <c r="F11" s="53" t="s">
        <v>1080</v>
      </c>
      <c r="G11" s="165"/>
      <c r="H11" s="165"/>
      <c r="I11" s="165"/>
      <c r="J11" s="220"/>
      <c r="K11" s="220"/>
      <c r="L11" s="165"/>
      <c r="M11" s="165"/>
      <c r="N11" s="165"/>
      <c r="O11" s="174" t="s">
        <v>1081</v>
      </c>
    </row>
    <row r="12" spans="1:15" ht="30">
      <c r="A12" s="274"/>
      <c r="B12" s="275"/>
      <c r="C12" s="274"/>
      <c r="D12" s="238"/>
      <c r="E12" s="238"/>
      <c r="F12" s="244" t="s">
        <v>1082</v>
      </c>
      <c r="G12" s="165"/>
      <c r="H12" s="165"/>
      <c r="I12" s="165"/>
      <c r="J12" s="220"/>
      <c r="K12" s="220"/>
      <c r="L12" s="165"/>
      <c r="M12" s="165"/>
      <c r="N12" s="165" t="s">
        <v>1083</v>
      </c>
      <c r="O12" s="174" t="s">
        <v>1084</v>
      </c>
    </row>
    <row r="13" spans="1:15">
      <c r="A13" s="274"/>
      <c r="B13" s="275"/>
      <c r="C13" s="276">
        <v>77</v>
      </c>
      <c r="D13" s="242"/>
      <c r="E13" s="242">
        <v>1</v>
      </c>
      <c r="F13" s="11" t="s">
        <v>734</v>
      </c>
      <c r="G13" s="216">
        <v>0</v>
      </c>
      <c r="H13" s="216">
        <v>0</v>
      </c>
      <c r="I13" s="216">
        <v>46</v>
      </c>
      <c r="J13" s="217">
        <v>0</v>
      </c>
      <c r="K13" s="217">
        <v>529</v>
      </c>
      <c r="L13" s="216">
        <v>0</v>
      </c>
      <c r="M13" s="216"/>
      <c r="N13" s="216"/>
      <c r="O13" s="216"/>
    </row>
    <row r="14" spans="1:15">
      <c r="A14" s="274"/>
      <c r="B14" s="275"/>
      <c r="C14" s="276"/>
      <c r="D14" s="242"/>
      <c r="E14" s="242">
        <v>2</v>
      </c>
      <c r="F14" s="218" t="s">
        <v>770</v>
      </c>
      <c r="G14" s="216">
        <v>0</v>
      </c>
      <c r="H14" s="216">
        <v>2</v>
      </c>
      <c r="I14" s="216">
        <v>12</v>
      </c>
      <c r="J14" s="217">
        <v>0</v>
      </c>
      <c r="K14" s="217">
        <v>563</v>
      </c>
      <c r="L14" s="216">
        <v>0</v>
      </c>
      <c r="M14" s="216"/>
      <c r="N14" s="216"/>
      <c r="O14" s="61" t="s">
        <v>1066</v>
      </c>
    </row>
    <row r="15" spans="1:15">
      <c r="A15" s="274"/>
      <c r="B15" s="275"/>
      <c r="C15" s="276"/>
      <c r="D15" s="242"/>
      <c r="E15" s="242">
        <v>2</v>
      </c>
      <c r="F15" s="218" t="s">
        <v>771</v>
      </c>
      <c r="G15" s="216">
        <v>3</v>
      </c>
      <c r="H15" s="216">
        <v>4</v>
      </c>
      <c r="I15" s="216">
        <v>51</v>
      </c>
      <c r="J15" s="217">
        <v>0</v>
      </c>
      <c r="K15" s="217">
        <v>2188</v>
      </c>
      <c r="L15" s="216">
        <v>0</v>
      </c>
      <c r="M15" s="216"/>
      <c r="N15" s="216"/>
      <c r="O15" s="61"/>
    </row>
    <row r="16" spans="1:15">
      <c r="A16" s="274"/>
      <c r="B16" s="275"/>
      <c r="C16" s="276"/>
      <c r="D16" s="242"/>
      <c r="E16" s="242">
        <v>2</v>
      </c>
      <c r="F16" s="218" t="s">
        <v>1067</v>
      </c>
      <c r="G16" s="216">
        <v>0</v>
      </c>
      <c r="H16" s="216">
        <v>4</v>
      </c>
      <c r="I16" s="216">
        <v>19</v>
      </c>
      <c r="J16" s="217">
        <v>0</v>
      </c>
      <c r="K16" s="217">
        <v>116</v>
      </c>
      <c r="L16" s="216">
        <v>0</v>
      </c>
      <c r="M16" s="216"/>
      <c r="N16" s="216"/>
      <c r="O16" s="62" t="s">
        <v>1068</v>
      </c>
    </row>
    <row r="17" spans="1:15">
      <c r="A17" s="274"/>
      <c r="B17" s="275"/>
      <c r="C17" s="276"/>
      <c r="D17" s="242"/>
      <c r="E17" s="242">
        <v>2</v>
      </c>
      <c r="F17" s="218" t="s">
        <v>805</v>
      </c>
      <c r="G17" s="216">
        <v>0</v>
      </c>
      <c r="H17" s="216">
        <v>2</v>
      </c>
      <c r="I17" s="216">
        <v>23</v>
      </c>
      <c r="J17" s="217">
        <v>1</v>
      </c>
      <c r="K17" s="217">
        <v>1328</v>
      </c>
      <c r="L17" s="216">
        <v>0</v>
      </c>
      <c r="M17" s="216"/>
      <c r="N17" s="216"/>
      <c r="O17" s="62" t="s">
        <v>1069</v>
      </c>
    </row>
    <row r="18" spans="1:15" ht="30">
      <c r="A18" s="274"/>
      <c r="B18" s="275"/>
      <c r="C18" s="276"/>
      <c r="D18" s="242"/>
      <c r="E18" s="242"/>
      <c r="F18" s="59" t="s">
        <v>1070</v>
      </c>
      <c r="G18" s="216"/>
      <c r="H18" s="216"/>
      <c r="I18" s="216"/>
      <c r="J18" s="217"/>
      <c r="K18" s="217"/>
      <c r="L18" s="216"/>
      <c r="M18" s="216"/>
      <c r="N18" s="216" t="s">
        <v>1071</v>
      </c>
      <c r="O18" s="218" t="s">
        <v>1085</v>
      </c>
    </row>
    <row r="19" spans="1:15" ht="60">
      <c r="A19" s="274"/>
      <c r="B19" s="275"/>
      <c r="C19" s="276"/>
      <c r="D19" s="242"/>
      <c r="E19" s="242"/>
      <c r="F19" s="59" t="s">
        <v>1073</v>
      </c>
      <c r="G19" s="216"/>
      <c r="H19" s="216"/>
      <c r="I19" s="216"/>
      <c r="J19" s="217"/>
      <c r="K19" s="217"/>
      <c r="L19" s="216"/>
      <c r="M19" s="216"/>
      <c r="N19" s="216" t="s">
        <v>1074</v>
      </c>
      <c r="O19" s="218" t="s">
        <v>1086</v>
      </c>
    </row>
    <row r="20" spans="1:15" ht="30">
      <c r="A20" s="274"/>
      <c r="B20" s="275"/>
      <c r="C20" s="276"/>
      <c r="D20" s="242"/>
      <c r="E20" s="242"/>
      <c r="F20" s="59" t="s">
        <v>1076</v>
      </c>
      <c r="G20" s="216"/>
      <c r="H20" s="216"/>
      <c r="I20" s="216"/>
      <c r="J20" s="217"/>
      <c r="K20" s="217"/>
      <c r="L20" s="216"/>
      <c r="M20" s="216"/>
      <c r="N20" s="216"/>
      <c r="O20" s="218" t="s">
        <v>1077</v>
      </c>
    </row>
    <row r="21" spans="1:15">
      <c r="A21" s="274"/>
      <c r="B21" s="275"/>
      <c r="C21" s="276"/>
      <c r="D21" s="242"/>
      <c r="E21" s="242"/>
      <c r="F21" s="59" t="s">
        <v>1087</v>
      </c>
      <c r="G21" s="216"/>
      <c r="H21" s="216"/>
      <c r="I21" s="216"/>
      <c r="J21" s="217"/>
      <c r="K21" s="217"/>
      <c r="L21" s="216"/>
      <c r="M21" s="216"/>
      <c r="N21" s="216"/>
      <c r="O21" s="218" t="s">
        <v>1088</v>
      </c>
    </row>
    <row r="22" spans="1:15" ht="30">
      <c r="A22" s="274"/>
      <c r="B22" s="275"/>
      <c r="C22" s="276"/>
      <c r="D22" s="242"/>
      <c r="E22" s="242"/>
      <c r="F22" s="243" t="s">
        <v>1089</v>
      </c>
      <c r="G22" s="216"/>
      <c r="H22" s="216"/>
      <c r="I22" s="216"/>
      <c r="J22" s="217"/>
      <c r="K22" s="217"/>
      <c r="L22" s="216"/>
      <c r="M22" s="216"/>
      <c r="N22" s="216"/>
      <c r="O22" s="218" t="s">
        <v>1079</v>
      </c>
    </row>
    <row r="23" spans="1:15">
      <c r="A23" s="274"/>
      <c r="B23" s="275"/>
      <c r="C23" s="276"/>
      <c r="D23" s="242"/>
      <c r="E23" s="242"/>
      <c r="F23" s="53" t="s">
        <v>1080</v>
      </c>
      <c r="G23" s="216"/>
      <c r="H23" s="216"/>
      <c r="I23" s="216"/>
      <c r="J23" s="217"/>
      <c r="K23" s="217"/>
      <c r="L23" s="216"/>
      <c r="M23" s="216"/>
      <c r="N23" s="216"/>
      <c r="O23" s="218" t="s">
        <v>1081</v>
      </c>
    </row>
    <row r="24" spans="1:15">
      <c r="A24" s="274"/>
      <c r="B24" s="275"/>
      <c r="C24" s="276"/>
      <c r="D24" s="242"/>
      <c r="E24" s="242"/>
      <c r="F24" s="244" t="s">
        <v>1082</v>
      </c>
      <c r="G24" s="216"/>
      <c r="H24" s="216"/>
      <c r="I24" s="216"/>
      <c r="J24" s="217"/>
      <c r="K24" s="217"/>
      <c r="L24" s="216"/>
      <c r="M24" s="216"/>
      <c r="N24" s="216" t="s">
        <v>1083</v>
      </c>
      <c r="O24" s="216" t="s">
        <v>1090</v>
      </c>
    </row>
    <row r="25" spans="1:15">
      <c r="A25" s="274"/>
      <c r="B25" s="275"/>
      <c r="C25" s="238">
        <v>78</v>
      </c>
      <c r="D25" s="238"/>
      <c r="E25" s="238">
        <v>1</v>
      </c>
      <c r="F25" s="5" t="s">
        <v>1091</v>
      </c>
      <c r="G25" s="220">
        <v>0</v>
      </c>
      <c r="H25" s="220">
        <v>2</v>
      </c>
      <c r="I25" s="220">
        <v>19</v>
      </c>
      <c r="J25" s="220">
        <v>1</v>
      </c>
      <c r="K25" s="220">
        <v>832</v>
      </c>
      <c r="L25" s="220">
        <v>0</v>
      </c>
      <c r="M25" s="165"/>
      <c r="N25" s="165"/>
      <c r="O25" s="165"/>
    </row>
    <row r="26" spans="1:15" ht="30">
      <c r="A26" s="274"/>
      <c r="B26" s="275"/>
      <c r="C26" s="276">
        <v>79</v>
      </c>
      <c r="D26" s="242">
        <v>8.7899999999999991</v>
      </c>
      <c r="E26" s="242">
        <v>1</v>
      </c>
      <c r="F26" s="11" t="s">
        <v>1092</v>
      </c>
      <c r="G26" s="216">
        <v>0</v>
      </c>
      <c r="H26" s="216">
        <v>3</v>
      </c>
      <c r="I26" s="216">
        <v>32</v>
      </c>
      <c r="J26" s="217">
        <v>0</v>
      </c>
      <c r="K26" s="217">
        <v>1594</v>
      </c>
      <c r="L26" s="216">
        <v>0</v>
      </c>
      <c r="M26" s="216"/>
      <c r="N26" s="216"/>
      <c r="O26" s="218"/>
    </row>
    <row r="27" spans="1:15">
      <c r="A27" s="274"/>
      <c r="B27" s="275"/>
      <c r="C27" s="276"/>
      <c r="D27" s="242"/>
      <c r="E27" s="242">
        <v>2</v>
      </c>
      <c r="F27" s="218" t="s">
        <v>770</v>
      </c>
      <c r="G27" s="216">
        <v>0</v>
      </c>
      <c r="H27" s="216">
        <v>2</v>
      </c>
      <c r="I27" s="216">
        <v>12</v>
      </c>
      <c r="J27" s="217">
        <v>0</v>
      </c>
      <c r="K27" s="217">
        <v>563</v>
      </c>
      <c r="L27" s="216">
        <v>0</v>
      </c>
      <c r="M27" s="216"/>
      <c r="N27" s="216"/>
      <c r="O27" s="218"/>
    </row>
    <row r="28" spans="1:15">
      <c r="A28" s="274"/>
      <c r="B28" s="275"/>
      <c r="C28" s="276"/>
      <c r="D28" s="242"/>
      <c r="E28" s="242">
        <v>2</v>
      </c>
      <c r="F28" s="218" t="s">
        <v>771</v>
      </c>
      <c r="G28" s="216">
        <v>3</v>
      </c>
      <c r="H28" s="216">
        <v>4</v>
      </c>
      <c r="I28" s="216">
        <v>51</v>
      </c>
      <c r="J28" s="217">
        <v>0</v>
      </c>
      <c r="K28" s="217">
        <v>2188</v>
      </c>
      <c r="L28" s="216">
        <v>0</v>
      </c>
      <c r="M28" s="216"/>
      <c r="N28" s="216"/>
      <c r="O28" s="218"/>
    </row>
    <row r="29" spans="1:15">
      <c r="A29" s="274"/>
      <c r="B29" s="275"/>
      <c r="C29" s="274">
        <v>80</v>
      </c>
      <c r="D29" s="238"/>
      <c r="E29" s="238">
        <v>1</v>
      </c>
      <c r="F29" s="17" t="s">
        <v>795</v>
      </c>
      <c r="G29" s="165">
        <v>0</v>
      </c>
      <c r="H29" s="165">
        <v>3</v>
      </c>
      <c r="I29" s="165">
        <v>32</v>
      </c>
      <c r="J29" s="220">
        <v>0</v>
      </c>
      <c r="K29" s="220">
        <v>1594</v>
      </c>
      <c r="L29" s="165">
        <v>0</v>
      </c>
      <c r="M29" s="165"/>
      <c r="N29" s="165" t="s">
        <v>1093</v>
      </c>
      <c r="O29" s="165"/>
    </row>
    <row r="30" spans="1:15">
      <c r="A30" s="274"/>
      <c r="B30" s="275"/>
      <c r="C30" s="274"/>
      <c r="D30" s="238"/>
      <c r="E30" s="238">
        <v>2</v>
      </c>
      <c r="F30" s="174" t="s">
        <v>770</v>
      </c>
      <c r="G30" s="220">
        <v>0</v>
      </c>
      <c r="H30" s="220">
        <v>2</v>
      </c>
      <c r="I30" s="220">
        <v>12</v>
      </c>
      <c r="J30" s="220">
        <v>0</v>
      </c>
      <c r="K30" s="220">
        <v>563</v>
      </c>
      <c r="L30" s="220">
        <v>0</v>
      </c>
      <c r="M30" s="165"/>
      <c r="N30" s="165"/>
      <c r="O30" s="165"/>
    </row>
    <row r="31" spans="1:15">
      <c r="A31" s="274"/>
      <c r="B31" s="275"/>
      <c r="C31" s="274"/>
      <c r="D31" s="238"/>
      <c r="E31" s="238">
        <v>2</v>
      </c>
      <c r="F31" s="174" t="s">
        <v>771</v>
      </c>
      <c r="G31" s="220">
        <v>3</v>
      </c>
      <c r="H31" s="220">
        <v>4</v>
      </c>
      <c r="I31" s="220">
        <v>51</v>
      </c>
      <c r="J31" s="220">
        <v>0</v>
      </c>
      <c r="K31" s="220">
        <v>2188</v>
      </c>
      <c r="L31" s="220">
        <v>0</v>
      </c>
      <c r="M31" s="165"/>
      <c r="N31" s="165"/>
      <c r="O31" s="165"/>
    </row>
    <row r="32" spans="1:15" ht="30">
      <c r="A32" s="274"/>
      <c r="B32" s="275"/>
      <c r="C32" s="274"/>
      <c r="D32" s="238">
        <v>20.187000000000001</v>
      </c>
      <c r="E32" s="238">
        <v>2</v>
      </c>
      <c r="F32" s="17" t="s">
        <v>1094</v>
      </c>
      <c r="G32" s="165">
        <v>11</v>
      </c>
      <c r="H32" s="165">
        <v>26</v>
      </c>
      <c r="I32" s="165">
        <v>279</v>
      </c>
      <c r="J32" s="220">
        <v>1</v>
      </c>
      <c r="K32" s="220">
        <v>10864</v>
      </c>
      <c r="L32" s="165">
        <v>0</v>
      </c>
      <c r="M32" s="165"/>
      <c r="N32" s="165"/>
      <c r="O32" s="165"/>
    </row>
    <row r="33" spans="1:15">
      <c r="A33" s="274"/>
      <c r="B33" s="275"/>
      <c r="C33" s="274"/>
      <c r="D33" s="238"/>
      <c r="E33" s="238">
        <v>2</v>
      </c>
      <c r="F33" s="165" t="s">
        <v>1095</v>
      </c>
      <c r="G33" s="165">
        <v>0</v>
      </c>
      <c r="H33" s="165">
        <v>0</v>
      </c>
      <c r="I33" s="165">
        <v>5</v>
      </c>
      <c r="J33" s="220">
        <v>0</v>
      </c>
      <c r="K33" s="220">
        <v>293</v>
      </c>
      <c r="L33" s="165">
        <v>0</v>
      </c>
      <c r="M33" s="165"/>
      <c r="N33" s="165"/>
      <c r="O33" s="174" t="s">
        <v>1096</v>
      </c>
    </row>
    <row r="34" spans="1:15">
      <c r="A34" s="274"/>
      <c r="B34" s="275"/>
      <c r="C34" s="274"/>
      <c r="D34" s="238"/>
      <c r="E34" s="238">
        <v>2</v>
      </c>
      <c r="F34" s="165" t="s">
        <v>1097</v>
      </c>
      <c r="G34" s="165">
        <v>0</v>
      </c>
      <c r="H34" s="165">
        <v>3</v>
      </c>
      <c r="I34" s="165">
        <v>29</v>
      </c>
      <c r="J34" s="220">
        <v>1</v>
      </c>
      <c r="K34" s="220">
        <v>3253</v>
      </c>
      <c r="L34" s="165">
        <v>0</v>
      </c>
      <c r="M34" s="165"/>
      <c r="N34" s="165"/>
      <c r="O34" s="174"/>
    </row>
    <row r="35" spans="1:15">
      <c r="A35" s="274"/>
      <c r="B35" s="275"/>
      <c r="C35" s="274"/>
      <c r="D35" s="238"/>
      <c r="E35" s="238">
        <v>2</v>
      </c>
      <c r="F35" s="244" t="s">
        <v>1040</v>
      </c>
      <c r="G35" s="165"/>
      <c r="H35" s="165"/>
      <c r="I35" s="165"/>
      <c r="J35" s="220"/>
      <c r="K35" s="220"/>
      <c r="L35" s="165"/>
      <c r="M35" s="165"/>
      <c r="N35" s="165"/>
      <c r="O35" s="174" t="s">
        <v>682</v>
      </c>
    </row>
    <row r="36" spans="1:15" ht="30">
      <c r="A36" s="274"/>
      <c r="B36" s="275"/>
      <c r="C36" s="274"/>
      <c r="D36" s="238"/>
      <c r="E36" s="238">
        <v>2</v>
      </c>
      <c r="F36" s="174" t="s">
        <v>728</v>
      </c>
      <c r="G36" s="165">
        <v>0</v>
      </c>
      <c r="H36" s="165">
        <v>1</v>
      </c>
      <c r="I36" s="165">
        <v>8</v>
      </c>
      <c r="J36" s="220">
        <v>0</v>
      </c>
      <c r="K36" s="220">
        <v>0</v>
      </c>
      <c r="L36" s="165">
        <v>0</v>
      </c>
      <c r="M36" s="165"/>
      <c r="N36" s="165"/>
      <c r="O36" s="174" t="s">
        <v>1098</v>
      </c>
    </row>
    <row r="37" spans="1:15" ht="30">
      <c r="A37" s="274"/>
      <c r="B37" s="275"/>
      <c r="C37" s="274"/>
      <c r="D37" s="238"/>
      <c r="E37" s="238"/>
      <c r="F37" s="244" t="s">
        <v>1099</v>
      </c>
      <c r="G37" s="165"/>
      <c r="H37" s="165"/>
      <c r="I37" s="165"/>
      <c r="J37" s="220"/>
      <c r="K37" s="220"/>
      <c r="L37" s="165"/>
      <c r="M37" s="165"/>
      <c r="N37" s="165"/>
      <c r="O37" s="174" t="s">
        <v>1100</v>
      </c>
    </row>
    <row r="38" spans="1:15" ht="30">
      <c r="A38" s="274"/>
      <c r="B38" s="275"/>
      <c r="C38" s="274"/>
      <c r="D38" s="238"/>
      <c r="E38" s="238"/>
      <c r="F38" s="244" t="s">
        <v>1101</v>
      </c>
      <c r="G38" s="165"/>
      <c r="H38" s="165"/>
      <c r="I38" s="165"/>
      <c r="J38" s="220"/>
      <c r="K38" s="220"/>
      <c r="L38" s="165"/>
      <c r="M38" s="165"/>
      <c r="N38" s="165"/>
      <c r="O38" s="174" t="s">
        <v>1100</v>
      </c>
    </row>
    <row r="39" spans="1:15">
      <c r="A39" s="274"/>
      <c r="B39" s="275"/>
      <c r="C39" s="274"/>
      <c r="D39" s="238"/>
      <c r="E39" s="238"/>
      <c r="F39" s="244" t="s">
        <v>1102</v>
      </c>
      <c r="G39" s="165"/>
      <c r="H39" s="165"/>
      <c r="I39" s="165"/>
      <c r="J39" s="220"/>
      <c r="K39" s="220"/>
      <c r="L39" s="165"/>
      <c r="M39" s="165"/>
      <c r="N39" s="165"/>
      <c r="O39" s="174" t="s">
        <v>1103</v>
      </c>
    </row>
    <row r="40" spans="1:15">
      <c r="A40" s="274"/>
      <c r="B40" s="275"/>
      <c r="C40" s="276">
        <v>81</v>
      </c>
      <c r="D40" s="242"/>
      <c r="E40" s="242">
        <v>1</v>
      </c>
      <c r="F40" s="8" t="s">
        <v>736</v>
      </c>
      <c r="G40" s="216">
        <v>0</v>
      </c>
      <c r="H40" s="216">
        <v>0</v>
      </c>
      <c r="I40" s="216">
        <v>24</v>
      </c>
      <c r="J40" s="217">
        <v>0</v>
      </c>
      <c r="K40" s="217">
        <v>360</v>
      </c>
      <c r="L40" s="216">
        <v>0</v>
      </c>
      <c r="M40" s="216"/>
      <c r="N40" s="216"/>
      <c r="O40" s="216"/>
    </row>
    <row r="41" spans="1:15">
      <c r="A41" s="274"/>
      <c r="B41" s="275"/>
      <c r="C41" s="276"/>
      <c r="D41" s="242"/>
      <c r="E41" s="242">
        <v>2</v>
      </c>
      <c r="F41" s="218" t="s">
        <v>770</v>
      </c>
      <c r="G41" s="216">
        <v>0</v>
      </c>
      <c r="H41" s="216">
        <v>2</v>
      </c>
      <c r="I41" s="216">
        <v>12</v>
      </c>
      <c r="J41" s="217">
        <v>0</v>
      </c>
      <c r="K41" s="217">
        <v>563</v>
      </c>
      <c r="L41" s="216">
        <v>0</v>
      </c>
      <c r="M41" s="216"/>
      <c r="N41" s="216"/>
      <c r="O41" s="216"/>
    </row>
    <row r="42" spans="1:15">
      <c r="A42" s="274"/>
      <c r="B42" s="275"/>
      <c r="C42" s="276"/>
      <c r="D42" s="242"/>
      <c r="E42" s="242">
        <v>2</v>
      </c>
      <c r="F42" s="218" t="s">
        <v>771</v>
      </c>
      <c r="G42" s="216">
        <v>3</v>
      </c>
      <c r="H42" s="216">
        <v>4</v>
      </c>
      <c r="I42" s="216">
        <v>51</v>
      </c>
      <c r="J42" s="217">
        <v>0</v>
      </c>
      <c r="K42" s="217">
        <v>2188</v>
      </c>
      <c r="L42" s="216">
        <v>0</v>
      </c>
      <c r="M42" s="216"/>
      <c r="N42" s="216"/>
      <c r="O42" s="216"/>
    </row>
    <row r="43" spans="1:15">
      <c r="A43" s="274"/>
      <c r="B43" s="275"/>
      <c r="C43" s="276"/>
      <c r="D43" s="242"/>
      <c r="E43" s="242">
        <v>2</v>
      </c>
      <c r="F43" s="218" t="s">
        <v>1104</v>
      </c>
      <c r="G43" s="216">
        <v>0</v>
      </c>
      <c r="H43" s="216">
        <v>3</v>
      </c>
      <c r="I43" s="216">
        <v>43</v>
      </c>
      <c r="J43" s="217">
        <v>0</v>
      </c>
      <c r="K43" s="217">
        <v>1015</v>
      </c>
      <c r="L43" s="216">
        <v>3</v>
      </c>
      <c r="M43" s="216"/>
      <c r="N43" s="216" t="s">
        <v>1105</v>
      </c>
      <c r="O43" s="216"/>
    </row>
    <row r="44" spans="1:15">
      <c r="A44" s="274"/>
      <c r="B44" s="275"/>
      <c r="C44" s="276"/>
      <c r="D44" s="242"/>
      <c r="E44" s="242">
        <v>3</v>
      </c>
      <c r="F44" s="11" t="s">
        <v>1106</v>
      </c>
      <c r="G44" s="216">
        <v>2</v>
      </c>
      <c r="H44" s="216">
        <v>3</v>
      </c>
      <c r="I44" s="216">
        <v>33</v>
      </c>
      <c r="J44" s="217">
        <v>0</v>
      </c>
      <c r="K44" s="217">
        <v>3324</v>
      </c>
      <c r="L44" s="216">
        <v>0</v>
      </c>
      <c r="M44" s="216"/>
      <c r="N44" s="216"/>
      <c r="O44" s="216" t="s">
        <v>1107</v>
      </c>
    </row>
  </sheetData>
  <mergeCells count="7">
    <mergeCell ref="A2:A44"/>
    <mergeCell ref="B2:B44"/>
    <mergeCell ref="C40:C44"/>
    <mergeCell ref="C2:C12"/>
    <mergeCell ref="C29:C39"/>
    <mergeCell ref="C26:C28"/>
    <mergeCell ref="C13:C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03BD-5692-4F12-9997-B869E8F46129}">
  <dimension ref="A1:O14"/>
  <sheetViews>
    <sheetView zoomScaleNormal="100" workbookViewId="0">
      <pane ySplit="1" topLeftCell="A2" activePane="bottomLeft" state="frozen"/>
      <selection pane="bottomLeft" activeCell="F8" sqref="F8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12" customWidth="1"/>
    <col min="4" max="4" width="10.7109375" style="12" customWidth="1"/>
    <col min="5" max="5" width="7.7109375" style="12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7" customWidth="1"/>
    <col min="16" max="16384" width="9" style="3"/>
  </cols>
  <sheetData>
    <row r="1" spans="1:15" ht="45">
      <c r="A1" s="6" t="s">
        <v>660</v>
      </c>
      <c r="B1" s="160" t="s">
        <v>4</v>
      </c>
      <c r="C1" s="6" t="s">
        <v>661</v>
      </c>
      <c r="D1" s="162" t="s">
        <v>662</v>
      </c>
      <c r="E1" s="162" t="s">
        <v>663</v>
      </c>
      <c r="F1" s="160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714</v>
      </c>
      <c r="O1" s="162" t="s">
        <v>672</v>
      </c>
    </row>
    <row r="2" spans="1:15">
      <c r="A2" s="274">
        <v>9</v>
      </c>
      <c r="B2" s="275" t="s">
        <v>1108</v>
      </c>
      <c r="C2" s="276">
        <v>82</v>
      </c>
      <c r="D2" s="242"/>
      <c r="E2" s="242">
        <v>1</v>
      </c>
      <c r="F2" s="218" t="s">
        <v>1109</v>
      </c>
      <c r="G2" s="216">
        <v>0</v>
      </c>
      <c r="H2" s="216">
        <v>3</v>
      </c>
      <c r="I2" s="216">
        <v>26</v>
      </c>
      <c r="J2" s="216">
        <v>1</v>
      </c>
      <c r="K2" s="216">
        <v>930</v>
      </c>
      <c r="L2" s="216">
        <v>0</v>
      </c>
      <c r="M2" s="216"/>
      <c r="N2" s="216"/>
      <c r="O2" s="218"/>
    </row>
    <row r="3" spans="1:15">
      <c r="A3" s="274"/>
      <c r="B3" s="275"/>
      <c r="C3" s="276"/>
      <c r="D3" s="242"/>
      <c r="E3" s="242">
        <v>1</v>
      </c>
      <c r="F3" s="251" t="s">
        <v>1110</v>
      </c>
      <c r="G3" s="216">
        <v>0</v>
      </c>
      <c r="H3" s="216">
        <v>3</v>
      </c>
      <c r="I3" s="216">
        <v>9</v>
      </c>
      <c r="J3" s="216">
        <v>0</v>
      </c>
      <c r="K3" s="216"/>
      <c r="L3" s="216"/>
      <c r="M3" s="216"/>
      <c r="N3" s="216"/>
      <c r="O3" s="218" t="s">
        <v>1111</v>
      </c>
    </row>
    <row r="4" spans="1:15" ht="30">
      <c r="A4" s="274"/>
      <c r="B4" s="275"/>
      <c r="C4" s="276"/>
      <c r="D4" s="242"/>
      <c r="E4" s="242"/>
      <c r="F4" s="244" t="s">
        <v>1112</v>
      </c>
      <c r="G4" s="216"/>
      <c r="H4" s="216"/>
      <c r="I4" s="216"/>
      <c r="J4" s="216"/>
      <c r="K4" s="216"/>
      <c r="L4" s="216"/>
      <c r="M4" s="216"/>
      <c r="N4" s="216"/>
      <c r="O4" s="218" t="s">
        <v>800</v>
      </c>
    </row>
    <row r="5" spans="1:15" ht="30">
      <c r="A5" s="274"/>
      <c r="B5" s="275"/>
      <c r="C5" s="276"/>
      <c r="D5" s="242"/>
      <c r="E5" s="242"/>
      <c r="F5" s="251" t="s">
        <v>1113</v>
      </c>
      <c r="G5" s="216"/>
      <c r="H5" s="216"/>
      <c r="I5" s="216"/>
      <c r="J5" s="216"/>
      <c r="K5" s="216"/>
      <c r="L5" s="216"/>
      <c r="M5" s="216"/>
      <c r="N5" s="216"/>
      <c r="O5" s="218" t="s">
        <v>1114</v>
      </c>
    </row>
    <row r="6" spans="1:15">
      <c r="A6" s="274"/>
      <c r="B6" s="275"/>
      <c r="C6" s="274">
        <v>83</v>
      </c>
      <c r="D6" s="238"/>
      <c r="E6" s="238">
        <v>1</v>
      </c>
      <c r="F6" s="174" t="s">
        <v>1115</v>
      </c>
      <c r="G6" s="165">
        <v>0</v>
      </c>
      <c r="H6" s="165">
        <v>4</v>
      </c>
      <c r="I6" s="165">
        <v>16</v>
      </c>
      <c r="J6" s="165">
        <v>1</v>
      </c>
      <c r="K6" s="165">
        <v>721</v>
      </c>
      <c r="L6" s="165">
        <v>0</v>
      </c>
      <c r="M6" s="165"/>
      <c r="N6" s="165"/>
      <c r="O6" s="174"/>
    </row>
    <row r="7" spans="1:15">
      <c r="A7" s="274"/>
      <c r="B7" s="275"/>
      <c r="C7" s="274"/>
      <c r="D7" s="238"/>
      <c r="E7" s="238">
        <v>2</v>
      </c>
      <c r="F7" s="239" t="s">
        <v>771</v>
      </c>
      <c r="G7" s="165">
        <v>3</v>
      </c>
      <c r="H7" s="165">
        <v>4</v>
      </c>
      <c r="I7" s="165">
        <v>51</v>
      </c>
      <c r="J7" s="165">
        <v>0</v>
      </c>
      <c r="K7" s="165">
        <v>2188</v>
      </c>
      <c r="L7" s="165">
        <v>0</v>
      </c>
      <c r="M7" s="165"/>
      <c r="N7" s="165"/>
      <c r="O7" s="174" t="s">
        <v>1116</v>
      </c>
    </row>
    <row r="8" spans="1:15" ht="30">
      <c r="A8" s="274"/>
      <c r="B8" s="275"/>
      <c r="C8" s="274"/>
      <c r="D8" s="238"/>
      <c r="E8" s="238">
        <v>2</v>
      </c>
      <c r="F8" s="13" t="s">
        <v>1117</v>
      </c>
      <c r="G8" s="165">
        <v>0</v>
      </c>
      <c r="H8" s="165">
        <v>1</v>
      </c>
      <c r="I8" s="165">
        <v>4</v>
      </c>
      <c r="J8" s="165">
        <v>0</v>
      </c>
      <c r="K8" s="165">
        <v>128</v>
      </c>
      <c r="L8" s="165">
        <v>0</v>
      </c>
      <c r="M8" s="165"/>
      <c r="N8" s="165"/>
      <c r="O8" s="58" t="s">
        <v>1118</v>
      </c>
    </row>
    <row r="9" spans="1:15" ht="30">
      <c r="A9" s="274"/>
      <c r="B9" s="275"/>
      <c r="C9" s="268">
        <v>84</v>
      </c>
      <c r="D9" s="242"/>
      <c r="E9" s="242">
        <v>1</v>
      </c>
      <c r="F9" s="252" t="s">
        <v>1119</v>
      </c>
      <c r="G9" s="216">
        <v>0</v>
      </c>
      <c r="H9" s="216">
        <v>3</v>
      </c>
      <c r="I9" s="216">
        <v>18</v>
      </c>
      <c r="J9" s="216">
        <v>0</v>
      </c>
      <c r="K9" s="216">
        <v>38</v>
      </c>
      <c r="L9" s="216">
        <v>0</v>
      </c>
      <c r="M9" s="216"/>
      <c r="N9" s="216"/>
      <c r="O9" s="218"/>
    </row>
    <row r="10" spans="1:15" ht="30">
      <c r="A10" s="274"/>
      <c r="B10" s="275"/>
      <c r="C10" s="269"/>
      <c r="D10" s="242"/>
      <c r="E10" s="242"/>
      <c r="F10" s="251" t="s">
        <v>1120</v>
      </c>
      <c r="G10" s="216"/>
      <c r="H10" s="216"/>
      <c r="I10" s="216"/>
      <c r="J10" s="216"/>
      <c r="K10" s="216"/>
      <c r="L10" s="216"/>
      <c r="M10" s="216"/>
      <c r="N10" s="216"/>
      <c r="O10" s="218" t="s">
        <v>1121</v>
      </c>
    </row>
    <row r="11" spans="1:15" ht="30">
      <c r="A11" s="274"/>
      <c r="B11" s="275"/>
      <c r="C11" s="269"/>
      <c r="D11" s="242"/>
      <c r="E11" s="242"/>
      <c r="F11" s="251" t="s">
        <v>1113</v>
      </c>
      <c r="G11" s="216"/>
      <c r="H11" s="216"/>
      <c r="I11" s="216"/>
      <c r="J11" s="216"/>
      <c r="K11" s="216"/>
      <c r="L11" s="216"/>
      <c r="M11" s="216"/>
      <c r="N11" s="216"/>
      <c r="O11" s="218" t="s">
        <v>1114</v>
      </c>
    </row>
    <row r="12" spans="1:15">
      <c r="A12" s="274"/>
      <c r="B12" s="275"/>
      <c r="C12" s="269"/>
      <c r="D12" s="242"/>
      <c r="E12" s="242"/>
      <c r="F12" s="251" t="s">
        <v>1122</v>
      </c>
      <c r="G12" s="216"/>
      <c r="H12" s="216"/>
      <c r="I12" s="216"/>
      <c r="J12" s="216"/>
      <c r="K12" s="216"/>
      <c r="L12" s="216"/>
      <c r="M12" s="216"/>
      <c r="N12" s="216"/>
      <c r="O12" s="218" t="s">
        <v>1123</v>
      </c>
    </row>
    <row r="13" spans="1:15" ht="30">
      <c r="A13" s="274"/>
      <c r="B13" s="275"/>
      <c r="C13" s="269"/>
      <c r="D13" s="242"/>
      <c r="E13" s="242">
        <v>2</v>
      </c>
      <c r="F13" s="251" t="s">
        <v>1124</v>
      </c>
      <c r="G13" s="216"/>
      <c r="H13" s="216"/>
      <c r="I13" s="216"/>
      <c r="J13" s="216"/>
      <c r="K13" s="216"/>
      <c r="L13" s="216"/>
      <c r="M13" s="216"/>
      <c r="N13" s="216"/>
      <c r="O13" s="218" t="s">
        <v>1125</v>
      </c>
    </row>
    <row r="14" spans="1:15" ht="30">
      <c r="A14" s="274"/>
      <c r="B14" s="275"/>
      <c r="C14" s="270"/>
      <c r="D14" s="242"/>
      <c r="E14" s="242">
        <v>3</v>
      </c>
      <c r="F14" s="251" t="s">
        <v>1126</v>
      </c>
      <c r="G14" s="216"/>
      <c r="H14" s="216"/>
      <c r="I14" s="216"/>
      <c r="J14" s="216"/>
      <c r="K14" s="216"/>
      <c r="L14" s="216"/>
      <c r="M14" s="216"/>
      <c r="N14" s="216"/>
      <c r="O14" s="218" t="s">
        <v>1127</v>
      </c>
    </row>
  </sheetData>
  <mergeCells count="5">
    <mergeCell ref="C6:C8"/>
    <mergeCell ref="C2:C5"/>
    <mergeCell ref="B2:B14"/>
    <mergeCell ref="A2:A14"/>
    <mergeCell ref="C9:C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36AD-E8B7-47DD-A094-282033F9D7FD}">
  <dimension ref="A1:O84"/>
  <sheetViews>
    <sheetView zoomScaleNormal="100" workbookViewId="0">
      <pane ySplit="1" topLeftCell="A35" activePane="bottomLeft" state="frozen"/>
      <selection pane="bottomLeft" activeCell="B2" sqref="B2:B67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3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10</v>
      </c>
      <c r="B2" s="275" t="s">
        <v>1128</v>
      </c>
      <c r="C2" s="265">
        <v>85</v>
      </c>
      <c r="D2" s="238"/>
      <c r="E2" s="238">
        <v>1</v>
      </c>
      <c r="F2" s="17" t="s">
        <v>1129</v>
      </c>
      <c r="G2" s="221">
        <v>3</v>
      </c>
      <c r="H2" s="221">
        <v>12</v>
      </c>
      <c r="I2" s="221">
        <v>85</v>
      </c>
      <c r="J2" s="220">
        <v>1</v>
      </c>
      <c r="K2" s="220">
        <v>2750</v>
      </c>
      <c r="L2" s="220">
        <v>0</v>
      </c>
      <c r="M2" s="222"/>
      <c r="N2" s="222"/>
      <c r="O2" s="165"/>
    </row>
    <row r="3" spans="1:15">
      <c r="A3" s="274"/>
      <c r="B3" s="275"/>
      <c r="C3" s="266"/>
      <c r="D3" s="238"/>
      <c r="E3" s="238">
        <v>2</v>
      </c>
      <c r="F3" s="243" t="s">
        <v>770</v>
      </c>
      <c r="G3" s="220">
        <v>0</v>
      </c>
      <c r="H3" s="220">
        <v>2</v>
      </c>
      <c r="I3" s="220">
        <v>12</v>
      </c>
      <c r="J3" s="220">
        <v>0</v>
      </c>
      <c r="K3" s="220">
        <v>563</v>
      </c>
      <c r="L3" s="220">
        <v>0</v>
      </c>
      <c r="M3" s="165"/>
      <c r="N3" s="165"/>
      <c r="O3" s="165" t="s">
        <v>1130</v>
      </c>
    </row>
    <row r="4" spans="1:15">
      <c r="A4" s="274"/>
      <c r="B4" s="275"/>
      <c r="C4" s="266"/>
      <c r="D4" s="238"/>
      <c r="E4" s="238">
        <v>2</v>
      </c>
      <c r="F4" s="243" t="s">
        <v>771</v>
      </c>
      <c r="G4" s="220">
        <v>3</v>
      </c>
      <c r="H4" s="220">
        <v>4</v>
      </c>
      <c r="I4" s="220">
        <v>51</v>
      </c>
      <c r="J4" s="220">
        <v>0</v>
      </c>
      <c r="K4" s="220">
        <v>2188</v>
      </c>
      <c r="L4" s="220">
        <v>0</v>
      </c>
      <c r="M4" s="165"/>
      <c r="N4" s="165"/>
      <c r="O4" s="165" t="s">
        <v>1130</v>
      </c>
    </row>
    <row r="5" spans="1:15" ht="45">
      <c r="A5" s="274"/>
      <c r="B5" s="275"/>
      <c r="C5" s="266"/>
      <c r="D5" s="238"/>
      <c r="E5" s="238">
        <v>2</v>
      </c>
      <c r="F5" s="243" t="s">
        <v>1131</v>
      </c>
      <c r="G5" s="220">
        <v>2</v>
      </c>
      <c r="H5" s="220">
        <v>4</v>
      </c>
      <c r="I5" s="220">
        <v>48</v>
      </c>
      <c r="J5" s="220">
        <v>0</v>
      </c>
      <c r="K5" s="220">
        <v>1931</v>
      </c>
      <c r="L5" s="220">
        <v>0</v>
      </c>
      <c r="M5" s="247"/>
      <c r="N5" s="247"/>
      <c r="O5" s="174" t="s">
        <v>1132</v>
      </c>
    </row>
    <row r="6" spans="1:15" ht="45">
      <c r="A6" s="274"/>
      <c r="B6" s="275"/>
      <c r="C6" s="266"/>
      <c r="D6" s="238">
        <v>15.138</v>
      </c>
      <c r="E6" s="238">
        <v>2</v>
      </c>
      <c r="F6" s="20" t="s">
        <v>768</v>
      </c>
      <c r="G6" s="220">
        <v>5</v>
      </c>
      <c r="H6" s="220">
        <v>5</v>
      </c>
      <c r="I6" s="220">
        <v>32</v>
      </c>
      <c r="J6" s="220">
        <v>0</v>
      </c>
      <c r="K6" s="220">
        <v>984</v>
      </c>
      <c r="L6" s="220">
        <v>0</v>
      </c>
      <c r="M6" s="247"/>
      <c r="N6" s="247"/>
      <c r="O6" s="174" t="s">
        <v>1133</v>
      </c>
    </row>
    <row r="7" spans="1:15" ht="30">
      <c r="A7" s="274"/>
      <c r="B7" s="275"/>
      <c r="C7" s="266"/>
      <c r="D7" s="238"/>
      <c r="E7" s="238"/>
      <c r="F7" s="243" t="s">
        <v>1014</v>
      </c>
      <c r="G7" s="165" t="s">
        <v>1015</v>
      </c>
      <c r="H7" s="165"/>
      <c r="I7" s="165"/>
      <c r="J7" s="174"/>
      <c r="K7" s="174"/>
      <c r="L7" s="174"/>
      <c r="M7" s="225"/>
      <c r="N7" s="238"/>
      <c r="O7" s="174" t="s">
        <v>1134</v>
      </c>
    </row>
    <row r="8" spans="1:15" ht="30">
      <c r="A8" s="274"/>
      <c r="B8" s="275"/>
      <c r="C8" s="266"/>
      <c r="D8" s="238"/>
      <c r="E8" s="238"/>
      <c r="F8" s="243" t="s">
        <v>1017</v>
      </c>
      <c r="G8" s="165"/>
      <c r="H8" s="165"/>
      <c r="I8" s="165"/>
      <c r="J8" s="174"/>
      <c r="K8" s="174"/>
      <c r="L8" s="174"/>
      <c r="M8" s="225"/>
      <c r="N8" s="238"/>
      <c r="O8" s="174" t="s">
        <v>1135</v>
      </c>
    </row>
    <row r="9" spans="1:15" ht="30">
      <c r="A9" s="274"/>
      <c r="B9" s="275"/>
      <c r="C9" s="267"/>
      <c r="D9" s="238"/>
      <c r="E9" s="238"/>
      <c r="F9" s="243" t="s">
        <v>1019</v>
      </c>
      <c r="G9" s="165"/>
      <c r="H9" s="165"/>
      <c r="I9" s="165"/>
      <c r="J9" s="174"/>
      <c r="K9" s="174"/>
      <c r="L9" s="174"/>
      <c r="M9" s="225"/>
      <c r="N9" s="238"/>
      <c r="O9" s="174" t="s">
        <v>1135</v>
      </c>
    </row>
    <row r="10" spans="1:15">
      <c r="A10" s="274"/>
      <c r="B10" s="275"/>
      <c r="C10" s="268">
        <v>86</v>
      </c>
      <c r="D10" s="242"/>
      <c r="E10" s="242">
        <v>1</v>
      </c>
      <c r="F10" s="8" t="s">
        <v>1136</v>
      </c>
      <c r="G10" s="216">
        <v>3</v>
      </c>
      <c r="H10" s="216">
        <v>4</v>
      </c>
      <c r="I10" s="216">
        <v>30</v>
      </c>
      <c r="J10" s="216">
        <v>1</v>
      </c>
      <c r="K10" s="216">
        <v>1698</v>
      </c>
      <c r="L10" s="216">
        <v>0</v>
      </c>
      <c r="M10" s="234"/>
      <c r="N10" s="234"/>
      <c r="O10" s="216"/>
    </row>
    <row r="11" spans="1:15">
      <c r="A11" s="274"/>
      <c r="B11" s="275"/>
      <c r="C11" s="270"/>
      <c r="D11" s="242"/>
      <c r="E11" s="242">
        <v>2</v>
      </c>
      <c r="F11" s="42" t="s">
        <v>679</v>
      </c>
      <c r="G11" s="217">
        <v>3</v>
      </c>
      <c r="H11" s="217">
        <v>4</v>
      </c>
      <c r="I11" s="217">
        <v>51</v>
      </c>
      <c r="J11" s="217">
        <v>0</v>
      </c>
      <c r="K11" s="217">
        <v>2188</v>
      </c>
      <c r="L11" s="217">
        <v>0</v>
      </c>
      <c r="M11" s="216"/>
      <c r="N11" s="216"/>
      <c r="O11" s="216" t="s">
        <v>1130</v>
      </c>
    </row>
    <row r="12" spans="1:15">
      <c r="A12" s="274"/>
      <c r="B12" s="275"/>
      <c r="C12" s="265">
        <v>87</v>
      </c>
      <c r="D12" s="238"/>
      <c r="E12" s="238">
        <v>1</v>
      </c>
      <c r="F12" s="17" t="s">
        <v>1137</v>
      </c>
      <c r="G12" s="165">
        <v>0</v>
      </c>
      <c r="H12" s="165">
        <v>2</v>
      </c>
      <c r="I12" s="165">
        <v>17</v>
      </c>
      <c r="J12" s="174">
        <v>0</v>
      </c>
      <c r="K12" s="174">
        <v>400</v>
      </c>
      <c r="L12" s="174">
        <v>0</v>
      </c>
      <c r="M12" s="225"/>
      <c r="N12" s="238"/>
      <c r="O12" s="165"/>
    </row>
    <row r="13" spans="1:15">
      <c r="A13" s="274"/>
      <c r="B13" s="275"/>
      <c r="C13" s="266"/>
      <c r="D13" s="238"/>
      <c r="E13" s="238">
        <v>2</v>
      </c>
      <c r="F13" s="17" t="s">
        <v>1137</v>
      </c>
      <c r="G13" s="165">
        <v>0</v>
      </c>
      <c r="H13" s="165">
        <v>2</v>
      </c>
      <c r="I13" s="165">
        <v>17</v>
      </c>
      <c r="J13" s="174">
        <v>0</v>
      </c>
      <c r="K13" s="174">
        <v>400</v>
      </c>
      <c r="L13" s="174">
        <v>0</v>
      </c>
      <c r="M13" s="225"/>
      <c r="N13" s="238"/>
      <c r="O13" s="165"/>
    </row>
    <row r="14" spans="1:15" ht="30">
      <c r="A14" s="274"/>
      <c r="B14" s="275"/>
      <c r="C14" s="266"/>
      <c r="D14" s="238"/>
      <c r="E14" s="238">
        <v>2</v>
      </c>
      <c r="F14" s="20" t="s">
        <v>679</v>
      </c>
      <c r="G14" s="165">
        <v>3</v>
      </c>
      <c r="H14" s="165">
        <v>4</v>
      </c>
      <c r="I14" s="165">
        <v>51</v>
      </c>
      <c r="J14" s="174">
        <v>0</v>
      </c>
      <c r="K14" s="174">
        <v>2188</v>
      </c>
      <c r="L14" s="174">
        <v>0</v>
      </c>
      <c r="M14" s="225"/>
      <c r="N14" s="238"/>
      <c r="O14" s="174" t="s">
        <v>1138</v>
      </c>
    </row>
    <row r="15" spans="1:15" ht="30">
      <c r="A15" s="274"/>
      <c r="B15" s="275"/>
      <c r="C15" s="266"/>
      <c r="D15" s="238"/>
      <c r="E15" s="238">
        <v>2</v>
      </c>
      <c r="F15" s="243" t="s">
        <v>1139</v>
      </c>
      <c r="G15" s="165"/>
      <c r="H15" s="165"/>
      <c r="I15" s="165"/>
      <c r="J15" s="174"/>
      <c r="K15" s="174"/>
      <c r="L15" s="174"/>
      <c r="M15" s="225"/>
      <c r="N15" s="238"/>
      <c r="O15" s="174" t="s">
        <v>1140</v>
      </c>
    </row>
    <row r="16" spans="1:15" ht="30">
      <c r="A16" s="274"/>
      <c r="B16" s="275"/>
      <c r="C16" s="267"/>
      <c r="D16" s="238"/>
      <c r="E16" s="238">
        <v>3</v>
      </c>
      <c r="F16" s="243" t="s">
        <v>1141</v>
      </c>
      <c r="G16" s="165"/>
      <c r="H16" s="165"/>
      <c r="I16" s="165"/>
      <c r="J16" s="174"/>
      <c r="K16" s="174"/>
      <c r="L16" s="174"/>
      <c r="M16" s="225"/>
      <c r="N16" s="238"/>
      <c r="O16" s="174" t="s">
        <v>1142</v>
      </c>
    </row>
    <row r="17" spans="1:15">
      <c r="A17" s="274"/>
      <c r="B17" s="275"/>
      <c r="C17" s="268">
        <v>88</v>
      </c>
      <c r="D17" s="242"/>
      <c r="E17" s="242">
        <v>1</v>
      </c>
      <c r="F17" s="11" t="s">
        <v>1143</v>
      </c>
      <c r="G17" s="217">
        <v>0</v>
      </c>
      <c r="H17" s="217">
        <v>8</v>
      </c>
      <c r="I17" s="217">
        <v>39</v>
      </c>
      <c r="J17" s="217">
        <v>1</v>
      </c>
      <c r="K17" s="217">
        <v>2512</v>
      </c>
      <c r="L17" s="217">
        <v>0</v>
      </c>
      <c r="M17" s="242"/>
      <c r="N17" s="216"/>
      <c r="O17" s="216"/>
    </row>
    <row r="18" spans="1:15">
      <c r="A18" s="274"/>
      <c r="B18" s="275"/>
      <c r="C18" s="269"/>
      <c r="D18" s="242"/>
      <c r="E18" s="242">
        <v>2</v>
      </c>
      <c r="F18" s="11" t="s">
        <v>1144</v>
      </c>
      <c r="G18" s="217">
        <v>0</v>
      </c>
      <c r="H18" s="217">
        <v>0</v>
      </c>
      <c r="I18" s="217">
        <v>6</v>
      </c>
      <c r="J18" s="217">
        <v>0</v>
      </c>
      <c r="K18" s="217">
        <v>0</v>
      </c>
      <c r="L18" s="217">
        <v>0</v>
      </c>
      <c r="M18" s="234"/>
      <c r="N18" s="246"/>
      <c r="O18" s="61" t="s">
        <v>1145</v>
      </c>
    </row>
    <row r="19" spans="1:15">
      <c r="A19" s="274"/>
      <c r="B19" s="275"/>
      <c r="C19" s="269"/>
      <c r="D19" s="242"/>
      <c r="E19" s="242">
        <v>3</v>
      </c>
      <c r="F19" s="11" t="s">
        <v>1146</v>
      </c>
      <c r="G19" s="217">
        <v>0</v>
      </c>
      <c r="H19" s="217">
        <v>0</v>
      </c>
      <c r="I19" s="217">
        <v>4</v>
      </c>
      <c r="J19" s="217">
        <v>0</v>
      </c>
      <c r="K19" s="217">
        <v>35</v>
      </c>
      <c r="L19" s="217">
        <v>0</v>
      </c>
      <c r="M19" s="234"/>
      <c r="N19" s="246"/>
      <c r="O19" s="216" t="s">
        <v>1147</v>
      </c>
    </row>
    <row r="20" spans="1:15">
      <c r="A20" s="274"/>
      <c r="B20" s="275"/>
      <c r="C20" s="269"/>
      <c r="D20" s="242"/>
      <c r="E20" s="242">
        <v>3</v>
      </c>
      <c r="F20" s="11" t="s">
        <v>1144</v>
      </c>
      <c r="G20" s="217">
        <v>0</v>
      </c>
      <c r="H20" s="217">
        <v>0</v>
      </c>
      <c r="I20" s="217">
        <v>6</v>
      </c>
      <c r="J20" s="217">
        <v>0</v>
      </c>
      <c r="K20" s="217">
        <v>0</v>
      </c>
      <c r="L20" s="217">
        <v>0</v>
      </c>
      <c r="M20" s="234"/>
      <c r="N20" s="246"/>
      <c r="O20" s="216"/>
    </row>
    <row r="21" spans="1:15">
      <c r="A21" s="274"/>
      <c r="B21" s="275"/>
      <c r="C21" s="269"/>
      <c r="D21" s="242"/>
      <c r="E21" s="242"/>
      <c r="F21" s="20" t="s">
        <v>721</v>
      </c>
      <c r="G21" s="216">
        <v>3</v>
      </c>
      <c r="H21" s="216">
        <v>4</v>
      </c>
      <c r="I21" s="216">
        <v>51</v>
      </c>
      <c r="J21" s="216">
        <v>0</v>
      </c>
      <c r="K21" s="216">
        <v>2188</v>
      </c>
      <c r="L21" s="216">
        <v>0</v>
      </c>
      <c r="M21" s="234"/>
      <c r="N21" s="246"/>
      <c r="O21" s="216" t="s">
        <v>1148</v>
      </c>
    </row>
    <row r="22" spans="1:15">
      <c r="A22" s="274"/>
      <c r="B22" s="275"/>
      <c r="C22" s="269"/>
      <c r="D22" s="242"/>
      <c r="E22" s="242"/>
      <c r="F22" s="53" t="s">
        <v>1149</v>
      </c>
      <c r="G22" s="216"/>
      <c r="H22" s="216"/>
      <c r="I22" s="216"/>
      <c r="J22" s="216"/>
      <c r="K22" s="216"/>
      <c r="L22" s="216"/>
      <c r="M22" s="234"/>
      <c r="N22" s="246"/>
      <c r="O22" s="216" t="s">
        <v>1150</v>
      </c>
    </row>
    <row r="23" spans="1:15">
      <c r="A23" s="274"/>
      <c r="B23" s="275"/>
      <c r="C23" s="269"/>
      <c r="D23" s="242"/>
      <c r="E23" s="242"/>
      <c r="F23" s="53" t="s">
        <v>868</v>
      </c>
      <c r="G23" s="216"/>
      <c r="H23" s="216"/>
      <c r="I23" s="216"/>
      <c r="J23" s="216"/>
      <c r="K23" s="216"/>
      <c r="L23" s="216"/>
      <c r="M23" s="234"/>
      <c r="N23" s="246"/>
      <c r="O23" s="216" t="s">
        <v>1151</v>
      </c>
    </row>
    <row r="24" spans="1:15">
      <c r="A24" s="274"/>
      <c r="B24" s="275"/>
      <c r="C24" s="270"/>
      <c r="D24" s="242"/>
      <c r="E24" s="242"/>
      <c r="F24" s="243" t="s">
        <v>1152</v>
      </c>
      <c r="G24" s="216"/>
      <c r="H24" s="216"/>
      <c r="I24" s="216"/>
      <c r="J24" s="216"/>
      <c r="K24" s="216"/>
      <c r="L24" s="216"/>
      <c r="M24" s="234"/>
      <c r="N24" s="246"/>
      <c r="O24" s="216" t="s">
        <v>1153</v>
      </c>
    </row>
    <row r="25" spans="1:15">
      <c r="A25" s="274"/>
      <c r="B25" s="275"/>
      <c r="C25" s="265">
        <v>89</v>
      </c>
      <c r="D25" s="238"/>
      <c r="E25" s="238">
        <v>1</v>
      </c>
      <c r="F25" s="17" t="s">
        <v>1154</v>
      </c>
      <c r="G25" s="220">
        <v>0</v>
      </c>
      <c r="H25" s="220">
        <v>4</v>
      </c>
      <c r="I25" s="220">
        <v>29</v>
      </c>
      <c r="J25" s="220">
        <v>1</v>
      </c>
      <c r="K25" s="220">
        <v>2655</v>
      </c>
      <c r="L25" s="220">
        <v>0</v>
      </c>
      <c r="M25" s="225"/>
      <c r="N25" s="222"/>
      <c r="O25" s="165"/>
    </row>
    <row r="26" spans="1:15">
      <c r="A26" s="274"/>
      <c r="B26" s="275"/>
      <c r="C26" s="266"/>
      <c r="D26" s="238"/>
      <c r="E26" s="238">
        <v>2</v>
      </c>
      <c r="F26" s="4" t="s">
        <v>769</v>
      </c>
      <c r="G26" s="220">
        <v>2</v>
      </c>
      <c r="H26" s="220">
        <v>4</v>
      </c>
      <c r="I26" s="220">
        <v>48</v>
      </c>
      <c r="J26" s="220">
        <v>0</v>
      </c>
      <c r="K26" s="220">
        <v>1931</v>
      </c>
      <c r="L26" s="220">
        <v>0</v>
      </c>
      <c r="M26" s="225"/>
      <c r="N26" s="222"/>
      <c r="O26" s="165" t="s">
        <v>1147</v>
      </c>
    </row>
    <row r="27" spans="1:15">
      <c r="A27" s="274"/>
      <c r="B27" s="275"/>
      <c r="C27" s="267"/>
      <c r="D27" s="238"/>
      <c r="E27" s="238"/>
      <c r="F27" s="14" t="s">
        <v>1155</v>
      </c>
      <c r="G27" s="220"/>
      <c r="H27" s="220"/>
      <c r="I27" s="220"/>
      <c r="J27" s="220"/>
      <c r="K27" s="220"/>
      <c r="L27" s="220"/>
      <c r="M27" s="225"/>
      <c r="N27" s="222"/>
      <c r="O27" s="165" t="s">
        <v>1123</v>
      </c>
    </row>
    <row r="28" spans="1:15">
      <c r="A28" s="274"/>
      <c r="B28" s="275"/>
      <c r="C28" s="268">
        <v>90</v>
      </c>
      <c r="D28" s="242"/>
      <c r="E28" s="242">
        <v>1</v>
      </c>
      <c r="F28" s="11" t="s">
        <v>1156</v>
      </c>
      <c r="G28" s="216">
        <v>0</v>
      </c>
      <c r="H28" s="216">
        <v>18</v>
      </c>
      <c r="I28" s="216">
        <v>113</v>
      </c>
      <c r="J28" s="216">
        <v>0</v>
      </c>
      <c r="K28" s="216">
        <v>1552</v>
      </c>
      <c r="L28" s="216">
        <v>10</v>
      </c>
      <c r="M28" s="242"/>
      <c r="N28" s="242"/>
      <c r="O28" s="216"/>
    </row>
    <row r="29" spans="1:15">
      <c r="A29" s="274"/>
      <c r="B29" s="275"/>
      <c r="C29" s="269"/>
      <c r="D29" s="242"/>
      <c r="E29" s="242">
        <v>2</v>
      </c>
      <c r="F29" s="11" t="s">
        <v>721</v>
      </c>
      <c r="G29" s="216">
        <v>3</v>
      </c>
      <c r="H29" s="216">
        <v>4</v>
      </c>
      <c r="I29" s="216">
        <v>51</v>
      </c>
      <c r="J29" s="216">
        <v>0</v>
      </c>
      <c r="K29" s="216">
        <v>2188</v>
      </c>
      <c r="L29" s="216">
        <v>0</v>
      </c>
      <c r="M29" s="242"/>
      <c r="N29" s="242"/>
      <c r="O29" s="216" t="s">
        <v>1157</v>
      </c>
    </row>
    <row r="30" spans="1:15" ht="30">
      <c r="A30" s="274"/>
      <c r="B30" s="275"/>
      <c r="C30" s="269"/>
      <c r="D30" s="242">
        <v>20.175000000000001</v>
      </c>
      <c r="E30" s="242">
        <v>2</v>
      </c>
      <c r="F30" s="11" t="s">
        <v>774</v>
      </c>
      <c r="G30" s="217">
        <v>0</v>
      </c>
      <c r="H30" s="217">
        <v>5</v>
      </c>
      <c r="I30" s="217">
        <v>37</v>
      </c>
      <c r="J30" s="217">
        <v>1</v>
      </c>
      <c r="K30" s="217">
        <v>1447</v>
      </c>
      <c r="L30" s="217">
        <v>5</v>
      </c>
      <c r="M30" s="242"/>
      <c r="N30" s="242"/>
      <c r="O30" s="216" t="s">
        <v>1158</v>
      </c>
    </row>
    <row r="31" spans="1:15" ht="30">
      <c r="A31" s="274"/>
      <c r="B31" s="275"/>
      <c r="C31" s="269"/>
      <c r="D31" s="69">
        <v>20.175000000000001</v>
      </c>
      <c r="E31" s="242">
        <v>3</v>
      </c>
      <c r="F31" s="11" t="s">
        <v>775</v>
      </c>
      <c r="G31" s="217">
        <v>0</v>
      </c>
      <c r="H31" s="217">
        <v>2</v>
      </c>
      <c r="I31" s="217">
        <v>3</v>
      </c>
      <c r="J31" s="217">
        <v>0</v>
      </c>
      <c r="K31" s="217">
        <v>33</v>
      </c>
      <c r="L31" s="217">
        <v>0</v>
      </c>
      <c r="M31" s="242"/>
      <c r="N31" s="242"/>
      <c r="O31" s="218"/>
    </row>
    <row r="32" spans="1:15" ht="30">
      <c r="A32" s="274"/>
      <c r="B32" s="275"/>
      <c r="C32" s="269"/>
      <c r="D32" s="32"/>
      <c r="E32" s="242"/>
      <c r="F32" s="243" t="s">
        <v>1159</v>
      </c>
      <c r="G32" s="217"/>
      <c r="H32" s="217"/>
      <c r="I32" s="217"/>
      <c r="J32" s="217"/>
      <c r="K32" s="217"/>
      <c r="L32" s="217"/>
      <c r="M32" s="242"/>
      <c r="N32" s="242"/>
      <c r="O32" s="218" t="s">
        <v>1160</v>
      </c>
    </row>
    <row r="33" spans="1:15" ht="45">
      <c r="A33" s="274"/>
      <c r="B33" s="275"/>
      <c r="C33" s="269"/>
      <c r="D33" s="32"/>
      <c r="E33" s="242"/>
      <c r="F33" s="243" t="s">
        <v>1139</v>
      </c>
      <c r="G33" s="217"/>
      <c r="H33" s="217"/>
      <c r="I33" s="217"/>
      <c r="J33" s="217"/>
      <c r="K33" s="217"/>
      <c r="L33" s="217"/>
      <c r="M33" s="242"/>
      <c r="N33" s="242"/>
      <c r="O33" s="218" t="s">
        <v>1161</v>
      </c>
    </row>
    <row r="34" spans="1:15" ht="30">
      <c r="A34" s="274"/>
      <c r="B34" s="275"/>
      <c r="C34" s="269"/>
      <c r="D34" s="32"/>
      <c r="E34" s="242"/>
      <c r="F34" s="20" t="s">
        <v>1162</v>
      </c>
      <c r="G34" s="217"/>
      <c r="H34" s="217"/>
      <c r="I34" s="217"/>
      <c r="J34" s="217"/>
      <c r="K34" s="217"/>
      <c r="L34" s="217"/>
      <c r="M34" s="242"/>
      <c r="N34" s="242"/>
      <c r="O34" s="218" t="s">
        <v>1163</v>
      </c>
    </row>
    <row r="35" spans="1:15">
      <c r="A35" s="274"/>
      <c r="B35" s="275"/>
      <c r="C35" s="269"/>
      <c r="D35" s="32"/>
      <c r="E35" s="242"/>
      <c r="F35" s="243" t="s">
        <v>1164</v>
      </c>
      <c r="G35" s="217"/>
      <c r="H35" s="217"/>
      <c r="I35" s="217"/>
      <c r="J35" s="217"/>
      <c r="K35" s="217"/>
      <c r="L35" s="217"/>
      <c r="M35" s="242"/>
      <c r="N35" s="242"/>
      <c r="O35" s="218" t="s">
        <v>1165</v>
      </c>
    </row>
    <row r="36" spans="1:15">
      <c r="A36" s="274"/>
      <c r="B36" s="275"/>
      <c r="C36" s="270"/>
      <c r="D36" s="32"/>
      <c r="E36" s="242"/>
      <c r="F36" s="243" t="s">
        <v>1166</v>
      </c>
      <c r="G36" s="217"/>
      <c r="H36" s="217"/>
      <c r="I36" s="217"/>
      <c r="J36" s="217"/>
      <c r="K36" s="217"/>
      <c r="L36" s="217"/>
      <c r="M36" s="242"/>
      <c r="N36" s="242"/>
      <c r="O36" s="218" t="s">
        <v>1167</v>
      </c>
    </row>
    <row r="37" spans="1:15">
      <c r="A37" s="274"/>
      <c r="B37" s="275"/>
      <c r="C37" s="265">
        <v>91</v>
      </c>
      <c r="D37" s="238"/>
      <c r="E37" s="238">
        <v>1</v>
      </c>
      <c r="F37" s="5" t="s">
        <v>1168</v>
      </c>
      <c r="G37" s="165">
        <v>0</v>
      </c>
      <c r="H37" s="165">
        <v>1</v>
      </c>
      <c r="I37" s="165">
        <v>6</v>
      </c>
      <c r="J37" s="165">
        <v>0</v>
      </c>
      <c r="K37" s="165">
        <v>168</v>
      </c>
      <c r="L37" s="165">
        <v>0</v>
      </c>
      <c r="M37" s="238"/>
      <c r="N37" s="238"/>
      <c r="O37" s="165"/>
    </row>
    <row r="38" spans="1:15">
      <c r="A38" s="274"/>
      <c r="B38" s="275"/>
      <c r="C38" s="267"/>
      <c r="D38" s="238"/>
      <c r="E38" s="238">
        <v>2</v>
      </c>
      <c r="F38" s="5" t="s">
        <v>1169</v>
      </c>
      <c r="G38" s="165">
        <v>2</v>
      </c>
      <c r="H38" s="165">
        <v>3</v>
      </c>
      <c r="I38" s="165">
        <v>51</v>
      </c>
      <c r="J38" s="165">
        <v>1</v>
      </c>
      <c r="K38" s="165">
        <v>10535</v>
      </c>
      <c r="L38" s="165">
        <v>0</v>
      </c>
      <c r="M38" s="238"/>
      <c r="N38" s="238"/>
      <c r="O38" s="63" t="s">
        <v>1170</v>
      </c>
    </row>
    <row r="39" spans="1:15">
      <c r="A39" s="274"/>
      <c r="B39" s="275"/>
      <c r="C39" s="268">
        <v>92</v>
      </c>
      <c r="D39" s="242"/>
      <c r="E39" s="242">
        <v>1</v>
      </c>
      <c r="F39" s="8" t="s">
        <v>1171</v>
      </c>
      <c r="G39" s="216">
        <v>0</v>
      </c>
      <c r="H39" s="216">
        <v>2</v>
      </c>
      <c r="I39" s="216">
        <v>51</v>
      </c>
      <c r="J39" s="216">
        <v>1</v>
      </c>
      <c r="K39" s="216">
        <v>3112</v>
      </c>
      <c r="L39" s="216">
        <v>0</v>
      </c>
      <c r="M39" s="216"/>
      <c r="N39" s="216"/>
      <c r="O39" s="216"/>
    </row>
    <row r="40" spans="1:15">
      <c r="A40" s="274"/>
      <c r="B40" s="275"/>
      <c r="C40" s="269"/>
      <c r="D40" s="242"/>
      <c r="E40" s="242">
        <v>2</v>
      </c>
      <c r="F40" s="11" t="s">
        <v>721</v>
      </c>
      <c r="G40" s="216">
        <v>3</v>
      </c>
      <c r="H40" s="216">
        <v>4</v>
      </c>
      <c r="I40" s="216">
        <v>51</v>
      </c>
      <c r="J40" s="216">
        <v>0</v>
      </c>
      <c r="K40" s="216">
        <v>2188</v>
      </c>
      <c r="L40" s="216">
        <v>0</v>
      </c>
      <c r="M40" s="216"/>
      <c r="N40" s="216"/>
      <c r="O40" s="216"/>
    </row>
    <row r="41" spans="1:15">
      <c r="A41" s="274"/>
      <c r="B41" s="275"/>
      <c r="C41" s="269"/>
      <c r="D41" s="242"/>
      <c r="E41" s="242">
        <v>2</v>
      </c>
      <c r="F41" s="20" t="s">
        <v>1172</v>
      </c>
      <c r="G41" s="216">
        <v>0</v>
      </c>
      <c r="H41" s="216">
        <v>1</v>
      </c>
      <c r="I41" s="216">
        <v>4</v>
      </c>
      <c r="J41" s="216">
        <v>0</v>
      </c>
      <c r="K41" s="216">
        <v>0</v>
      </c>
      <c r="L41" s="216">
        <v>0</v>
      </c>
      <c r="M41" s="216"/>
      <c r="N41" s="216"/>
      <c r="O41" s="216" t="s">
        <v>682</v>
      </c>
    </row>
    <row r="42" spans="1:15" ht="45">
      <c r="A42" s="274"/>
      <c r="B42" s="275"/>
      <c r="C42" s="269"/>
      <c r="D42" s="242"/>
      <c r="E42" s="242">
        <v>2</v>
      </c>
      <c r="F42" s="243" t="s">
        <v>1173</v>
      </c>
      <c r="G42" s="216"/>
      <c r="H42" s="216"/>
      <c r="I42" s="216"/>
      <c r="J42" s="216"/>
      <c r="K42" s="216"/>
      <c r="L42" s="216"/>
      <c r="M42" s="216"/>
      <c r="N42" s="216"/>
      <c r="O42" s="218" t="s">
        <v>1174</v>
      </c>
    </row>
    <row r="43" spans="1:15" ht="120">
      <c r="A43" s="274"/>
      <c r="B43" s="275"/>
      <c r="C43" s="269"/>
      <c r="D43" s="242"/>
      <c r="E43" s="242">
        <v>2</v>
      </c>
      <c r="F43" s="253" t="s">
        <v>1175</v>
      </c>
      <c r="G43" s="216"/>
      <c r="H43" s="216"/>
      <c r="I43" s="216"/>
      <c r="J43" s="216"/>
      <c r="K43" s="216"/>
      <c r="L43" s="216"/>
      <c r="M43" s="216"/>
      <c r="N43" s="216"/>
      <c r="O43" s="218" t="s">
        <v>1176</v>
      </c>
    </row>
    <row r="44" spans="1:15" ht="30">
      <c r="A44" s="274"/>
      <c r="B44" s="275"/>
      <c r="C44" s="269"/>
      <c r="D44" s="242"/>
      <c r="E44" s="242">
        <v>3</v>
      </c>
      <c r="F44" s="253" t="s">
        <v>1177</v>
      </c>
      <c r="G44" s="216"/>
      <c r="H44" s="216"/>
      <c r="I44" s="216"/>
      <c r="J44" s="216"/>
      <c r="K44" s="216"/>
      <c r="L44" s="216"/>
      <c r="M44" s="216"/>
      <c r="N44" s="216"/>
      <c r="O44" s="218" t="s">
        <v>1178</v>
      </c>
    </row>
    <row r="45" spans="1:15" ht="45">
      <c r="A45" s="274"/>
      <c r="B45" s="275"/>
      <c r="C45" s="269"/>
      <c r="D45" s="242"/>
      <c r="E45" s="242">
        <v>4</v>
      </c>
      <c r="F45" s="253" t="s">
        <v>1179</v>
      </c>
      <c r="G45" s="216"/>
      <c r="H45" s="216"/>
      <c r="I45" s="216"/>
      <c r="J45" s="216"/>
      <c r="K45" s="216"/>
      <c r="L45" s="216"/>
      <c r="M45" s="216"/>
      <c r="N45" s="216"/>
      <c r="O45" s="218" t="s">
        <v>1180</v>
      </c>
    </row>
    <row r="46" spans="1:15" ht="30">
      <c r="A46" s="274"/>
      <c r="B46" s="275"/>
      <c r="C46" s="269"/>
      <c r="D46" s="242"/>
      <c r="E46" s="242">
        <v>4</v>
      </c>
      <c r="F46" s="253" t="s">
        <v>1181</v>
      </c>
      <c r="G46" s="216"/>
      <c r="H46" s="216"/>
      <c r="I46" s="216"/>
      <c r="J46" s="216"/>
      <c r="K46" s="216"/>
      <c r="L46" s="216"/>
      <c r="M46" s="216"/>
      <c r="N46" s="216"/>
      <c r="O46" s="218" t="s">
        <v>1182</v>
      </c>
    </row>
    <row r="47" spans="1:15">
      <c r="A47" s="274"/>
      <c r="B47" s="275"/>
      <c r="C47" s="269"/>
      <c r="D47" s="242"/>
      <c r="E47" s="242">
        <v>4</v>
      </c>
      <c r="F47" s="253" t="s">
        <v>1183</v>
      </c>
      <c r="G47" s="216"/>
      <c r="H47" s="216"/>
      <c r="I47" s="216"/>
      <c r="J47" s="216"/>
      <c r="K47" s="216"/>
      <c r="L47" s="216"/>
      <c r="M47" s="216"/>
      <c r="N47" s="216"/>
      <c r="O47" s="218" t="s">
        <v>1184</v>
      </c>
    </row>
    <row r="48" spans="1:15" ht="30">
      <c r="A48" s="274"/>
      <c r="B48" s="275"/>
      <c r="C48" s="269"/>
      <c r="D48" s="242"/>
      <c r="E48" s="242">
        <v>4</v>
      </c>
      <c r="F48" s="253" t="s">
        <v>1185</v>
      </c>
      <c r="G48" s="216"/>
      <c r="H48" s="216"/>
      <c r="I48" s="216"/>
      <c r="J48" s="216"/>
      <c r="K48" s="216"/>
      <c r="L48" s="216"/>
      <c r="M48" s="216"/>
      <c r="N48" s="216"/>
      <c r="O48" s="218" t="s">
        <v>1186</v>
      </c>
    </row>
    <row r="49" spans="1:15">
      <c r="A49" s="274"/>
      <c r="B49" s="275"/>
      <c r="C49" s="270"/>
      <c r="D49" s="242"/>
      <c r="E49" s="242">
        <v>2</v>
      </c>
      <c r="F49" s="253" t="s">
        <v>1187</v>
      </c>
      <c r="G49" s="216"/>
      <c r="H49" s="216"/>
      <c r="I49" s="216"/>
      <c r="J49" s="216"/>
      <c r="K49" s="216"/>
      <c r="L49" s="216"/>
      <c r="M49" s="216"/>
      <c r="N49" s="216"/>
      <c r="O49" s="218" t="s">
        <v>1184</v>
      </c>
    </row>
    <row r="50" spans="1:15">
      <c r="A50" s="274"/>
      <c r="B50" s="275"/>
      <c r="C50" s="265">
        <v>93</v>
      </c>
      <c r="D50" s="238"/>
      <c r="E50" s="238">
        <v>1</v>
      </c>
      <c r="F50" s="16" t="s">
        <v>1188</v>
      </c>
      <c r="G50" s="165">
        <v>0</v>
      </c>
      <c r="H50" s="165">
        <v>2</v>
      </c>
      <c r="I50" s="165">
        <v>23</v>
      </c>
      <c r="J50" s="165">
        <v>1</v>
      </c>
      <c r="K50" s="165">
        <v>752</v>
      </c>
      <c r="L50" s="165">
        <v>0</v>
      </c>
      <c r="M50" s="165"/>
      <c r="N50" s="165"/>
      <c r="O50" s="165"/>
    </row>
    <row r="51" spans="1:15">
      <c r="A51" s="274"/>
      <c r="B51" s="275"/>
      <c r="C51" s="267"/>
      <c r="D51" s="238"/>
      <c r="E51" s="238">
        <v>2</v>
      </c>
      <c r="F51" s="16" t="s">
        <v>679</v>
      </c>
      <c r="G51" s="165">
        <v>3</v>
      </c>
      <c r="H51" s="165">
        <v>4</v>
      </c>
      <c r="I51" s="165">
        <v>51</v>
      </c>
      <c r="J51" s="165">
        <v>0</v>
      </c>
      <c r="K51" s="165">
        <v>2188</v>
      </c>
      <c r="L51" s="165">
        <v>0</v>
      </c>
      <c r="M51" s="165"/>
      <c r="N51" s="165"/>
      <c r="O51" s="165"/>
    </row>
    <row r="52" spans="1:15">
      <c r="A52" s="274"/>
      <c r="B52" s="275"/>
      <c r="C52" s="268">
        <v>94</v>
      </c>
      <c r="D52" s="242"/>
      <c r="E52" s="242">
        <v>1</v>
      </c>
      <c r="F52" s="26" t="s">
        <v>1189</v>
      </c>
      <c r="G52" s="216">
        <v>0</v>
      </c>
      <c r="H52" s="216">
        <v>2</v>
      </c>
      <c r="I52" s="216">
        <v>44</v>
      </c>
      <c r="J52" s="216">
        <v>1</v>
      </c>
      <c r="K52" s="216">
        <v>1191</v>
      </c>
      <c r="L52" s="216">
        <v>0</v>
      </c>
      <c r="M52" s="216"/>
      <c r="N52" s="216"/>
      <c r="O52" s="216"/>
    </row>
    <row r="53" spans="1:15">
      <c r="A53" s="274"/>
      <c r="B53" s="275"/>
      <c r="C53" s="269"/>
      <c r="D53" s="242"/>
      <c r="E53" s="242">
        <v>2</v>
      </c>
      <c r="F53" s="26" t="s">
        <v>721</v>
      </c>
      <c r="G53" s="216">
        <v>3</v>
      </c>
      <c r="H53" s="216">
        <v>4</v>
      </c>
      <c r="I53" s="216">
        <v>51</v>
      </c>
      <c r="J53" s="216">
        <v>0</v>
      </c>
      <c r="K53" s="216">
        <v>2188</v>
      </c>
      <c r="L53" s="216">
        <v>0</v>
      </c>
      <c r="M53" s="216"/>
      <c r="N53" s="216"/>
      <c r="O53" s="216"/>
    </row>
    <row r="54" spans="1:15">
      <c r="A54" s="274"/>
      <c r="B54" s="275"/>
      <c r="C54" s="269"/>
      <c r="D54" s="242"/>
      <c r="E54" s="242">
        <v>2</v>
      </c>
      <c r="F54" s="26" t="s">
        <v>864</v>
      </c>
      <c r="G54" s="216">
        <v>0</v>
      </c>
      <c r="H54" s="216">
        <v>1</v>
      </c>
      <c r="I54" s="216">
        <v>11</v>
      </c>
      <c r="J54" s="216">
        <v>1</v>
      </c>
      <c r="K54" s="216">
        <v>52</v>
      </c>
      <c r="L54" s="216">
        <v>0</v>
      </c>
      <c r="M54" s="216"/>
      <c r="N54" s="216"/>
      <c r="O54" s="216"/>
    </row>
    <row r="55" spans="1:15">
      <c r="A55" s="274"/>
      <c r="B55" s="275"/>
      <c r="C55" s="270"/>
      <c r="D55" s="242"/>
      <c r="E55" s="242">
        <v>2</v>
      </c>
      <c r="F55" s="20" t="s">
        <v>1190</v>
      </c>
      <c r="G55" s="216">
        <v>0</v>
      </c>
      <c r="H55" s="216">
        <v>1</v>
      </c>
      <c r="I55" s="216">
        <v>4</v>
      </c>
      <c r="J55" s="216">
        <v>0</v>
      </c>
      <c r="K55" s="216">
        <v>0</v>
      </c>
      <c r="L55" s="216">
        <v>0</v>
      </c>
      <c r="M55" s="216"/>
      <c r="N55" s="216"/>
      <c r="O55" s="216" t="s">
        <v>682</v>
      </c>
    </row>
    <row r="56" spans="1:15" ht="30">
      <c r="A56" s="274"/>
      <c r="B56" s="275"/>
      <c r="C56" s="238">
        <v>95</v>
      </c>
      <c r="D56" s="238"/>
      <c r="E56" s="238">
        <v>1</v>
      </c>
      <c r="F56" s="35" t="s">
        <v>1191</v>
      </c>
      <c r="G56" s="165">
        <v>0</v>
      </c>
      <c r="H56" s="165">
        <v>2</v>
      </c>
      <c r="I56" s="165">
        <v>13</v>
      </c>
      <c r="J56" s="165">
        <v>1</v>
      </c>
      <c r="K56" s="165">
        <v>949</v>
      </c>
      <c r="L56" s="165">
        <v>0</v>
      </c>
      <c r="M56" s="165"/>
      <c r="N56" s="165"/>
      <c r="O56" s="174"/>
    </row>
    <row r="57" spans="1:15">
      <c r="A57" s="274"/>
      <c r="B57" s="275"/>
      <c r="C57" s="268">
        <v>96</v>
      </c>
      <c r="D57" s="242"/>
      <c r="E57" s="242">
        <v>1</v>
      </c>
      <c r="F57" s="26" t="s">
        <v>1192</v>
      </c>
      <c r="G57" s="216">
        <v>0</v>
      </c>
      <c r="H57" s="216">
        <v>2</v>
      </c>
      <c r="I57" s="216">
        <v>16</v>
      </c>
      <c r="J57" s="216">
        <v>0</v>
      </c>
      <c r="K57" s="216">
        <v>301</v>
      </c>
      <c r="L57" s="216">
        <v>0</v>
      </c>
      <c r="M57" s="216"/>
      <c r="N57" s="216"/>
      <c r="O57" s="218"/>
    </row>
    <row r="58" spans="1:15" ht="30">
      <c r="A58" s="274"/>
      <c r="B58" s="275"/>
      <c r="C58" s="269"/>
      <c r="D58" s="242"/>
      <c r="E58" s="242"/>
      <c r="F58" s="233" t="s">
        <v>1193</v>
      </c>
      <c r="G58" s="216"/>
      <c r="H58" s="216"/>
      <c r="I58" s="216"/>
      <c r="J58" s="216"/>
      <c r="K58" s="216"/>
      <c r="L58" s="216"/>
      <c r="M58" s="216"/>
      <c r="N58" s="216"/>
      <c r="O58" s="218" t="s">
        <v>1194</v>
      </c>
    </row>
    <row r="59" spans="1:15" ht="30">
      <c r="A59" s="274"/>
      <c r="B59" s="275"/>
      <c r="C59" s="269"/>
      <c r="D59" s="242"/>
      <c r="E59" s="242"/>
      <c r="F59" s="233" t="s">
        <v>1195</v>
      </c>
      <c r="G59" s="216"/>
      <c r="H59" s="216"/>
      <c r="I59" s="216"/>
      <c r="J59" s="216"/>
      <c r="K59" s="216"/>
      <c r="L59" s="216"/>
      <c r="M59" s="216"/>
      <c r="N59" s="216"/>
      <c r="O59" s="218" t="s">
        <v>1196</v>
      </c>
    </row>
    <row r="60" spans="1:15" ht="45">
      <c r="A60" s="274"/>
      <c r="B60" s="275"/>
      <c r="C60" s="269"/>
      <c r="D60" s="242"/>
      <c r="E60" s="242"/>
      <c r="F60" s="233" t="s">
        <v>1197</v>
      </c>
      <c r="G60" s="216"/>
      <c r="H60" s="216"/>
      <c r="I60" s="216"/>
      <c r="J60" s="216"/>
      <c r="K60" s="216"/>
      <c r="L60" s="216"/>
      <c r="M60" s="216"/>
      <c r="N60" s="216"/>
      <c r="O60" s="218" t="s">
        <v>1198</v>
      </c>
    </row>
    <row r="61" spans="1:15" ht="45">
      <c r="A61" s="274"/>
      <c r="B61" s="275"/>
      <c r="C61" s="269"/>
      <c r="D61" s="242"/>
      <c r="E61" s="242"/>
      <c r="F61" s="233" t="s">
        <v>1199</v>
      </c>
      <c r="G61" s="216"/>
      <c r="H61" s="216"/>
      <c r="I61" s="216"/>
      <c r="J61" s="216"/>
      <c r="K61" s="216"/>
      <c r="L61" s="216"/>
      <c r="M61" s="216"/>
      <c r="N61" s="216"/>
      <c r="O61" s="218" t="s">
        <v>1200</v>
      </c>
    </row>
    <row r="62" spans="1:15" ht="30">
      <c r="A62" s="274"/>
      <c r="B62" s="275"/>
      <c r="C62" s="269"/>
      <c r="D62" s="242"/>
      <c r="E62" s="242"/>
      <c r="F62" s="233" t="s">
        <v>754</v>
      </c>
      <c r="G62" s="216"/>
      <c r="H62" s="216"/>
      <c r="I62" s="216"/>
      <c r="J62" s="216"/>
      <c r="K62" s="216"/>
      <c r="L62" s="216"/>
      <c r="M62" s="216"/>
      <c r="N62" s="216"/>
      <c r="O62" s="218" t="s">
        <v>1201</v>
      </c>
    </row>
    <row r="63" spans="1:15">
      <c r="A63" s="274"/>
      <c r="B63" s="275"/>
      <c r="C63" s="270"/>
      <c r="D63" s="242"/>
      <c r="E63" s="242"/>
      <c r="F63" s="233" t="s">
        <v>1149</v>
      </c>
      <c r="G63" s="216"/>
      <c r="H63" s="216"/>
      <c r="I63" s="216"/>
      <c r="J63" s="216"/>
      <c r="K63" s="216"/>
      <c r="L63" s="216"/>
      <c r="M63" s="216"/>
      <c r="N63" s="216"/>
      <c r="O63" s="218" t="s">
        <v>1202</v>
      </c>
    </row>
    <row r="64" spans="1:15">
      <c r="A64" s="274"/>
      <c r="B64" s="275"/>
      <c r="C64" s="274">
        <v>97</v>
      </c>
      <c r="D64" s="238"/>
      <c r="E64" s="238">
        <v>1</v>
      </c>
      <c r="F64" s="35" t="s">
        <v>1203</v>
      </c>
      <c r="G64" s="165">
        <v>6</v>
      </c>
      <c r="H64" s="165"/>
      <c r="I64" s="165">
        <v>58</v>
      </c>
      <c r="J64" s="165">
        <v>1</v>
      </c>
      <c r="K64" s="165">
        <v>4158</v>
      </c>
      <c r="L64" s="165">
        <v>0</v>
      </c>
      <c r="M64" s="165"/>
      <c r="N64" s="165"/>
      <c r="O64" s="174"/>
    </row>
    <row r="65" spans="1:15">
      <c r="A65" s="274"/>
      <c r="B65" s="275"/>
      <c r="C65" s="274"/>
      <c r="D65" s="165"/>
      <c r="E65" s="238">
        <v>2</v>
      </c>
      <c r="F65" s="197" t="s">
        <v>1204</v>
      </c>
      <c r="G65" s="165"/>
      <c r="H65" s="165"/>
      <c r="I65" s="165"/>
      <c r="J65" s="165"/>
      <c r="K65" s="165"/>
      <c r="L65" s="165"/>
      <c r="M65" s="165"/>
      <c r="N65" s="165"/>
      <c r="O65" s="165"/>
    </row>
    <row r="66" spans="1:15">
      <c r="A66" s="274"/>
      <c r="B66" s="275"/>
      <c r="C66" s="274"/>
      <c r="D66" s="165"/>
      <c r="E66" s="238">
        <v>2</v>
      </c>
      <c r="F66" s="165" t="s">
        <v>1205</v>
      </c>
      <c r="G66" s="165"/>
      <c r="H66" s="165"/>
      <c r="I66" s="165"/>
      <c r="J66" s="165"/>
      <c r="K66" s="165"/>
      <c r="L66" s="165"/>
      <c r="M66" s="165"/>
      <c r="N66" s="165"/>
      <c r="O66" s="165"/>
    </row>
    <row r="67" spans="1:15">
      <c r="A67" s="274"/>
      <c r="B67" s="275"/>
      <c r="C67" s="274"/>
      <c r="D67" s="165"/>
      <c r="E67" s="238">
        <v>2</v>
      </c>
      <c r="F67" s="197" t="s">
        <v>1206</v>
      </c>
      <c r="G67" s="165"/>
      <c r="H67" s="165"/>
      <c r="I67" s="165"/>
      <c r="J67" s="165"/>
      <c r="K67" s="165"/>
      <c r="L67" s="165"/>
      <c r="M67" s="165"/>
      <c r="N67" s="165"/>
      <c r="O67" s="165"/>
    </row>
    <row r="68" spans="1:15">
      <c r="A68" s="240"/>
      <c r="B68" s="240"/>
      <c r="C68" s="240"/>
      <c r="D68"/>
      <c r="E68"/>
      <c r="F68"/>
      <c r="G68"/>
      <c r="H68" s="240"/>
      <c r="I68" s="240"/>
      <c r="J68" s="240"/>
      <c r="K68" s="240"/>
      <c r="L68" s="240"/>
      <c r="M68" s="240"/>
      <c r="N68" s="240"/>
      <c r="O68" s="240"/>
    </row>
    <row r="69" spans="1:15">
      <c r="A69" s="240"/>
      <c r="B69" s="240"/>
      <c r="C69" s="240"/>
      <c r="D69"/>
      <c r="E69"/>
      <c r="F69"/>
      <c r="G69"/>
      <c r="H69" s="240"/>
      <c r="I69" s="240"/>
      <c r="J69" s="240"/>
      <c r="K69" s="240"/>
      <c r="L69" s="240"/>
      <c r="M69" s="240"/>
      <c r="N69" s="240"/>
      <c r="O69" s="240"/>
    </row>
    <row r="70" spans="1:15">
      <c r="A70" s="240"/>
      <c r="B70" s="240"/>
      <c r="C70" s="240"/>
      <c r="D70"/>
      <c r="E70"/>
      <c r="F70"/>
      <c r="G70"/>
      <c r="H70" s="240"/>
      <c r="I70" s="240"/>
      <c r="J70" s="240"/>
      <c r="K70" s="240"/>
      <c r="L70" s="240"/>
      <c r="M70" s="240"/>
      <c r="N70" s="240"/>
      <c r="O70" s="240"/>
    </row>
    <row r="71" spans="1:15">
      <c r="A71" s="240"/>
      <c r="B71" s="240"/>
      <c r="C71" s="240"/>
      <c r="D71"/>
      <c r="E71"/>
      <c r="F71"/>
      <c r="G71"/>
      <c r="H71" s="240"/>
      <c r="I71" s="240"/>
      <c r="J71" s="240"/>
      <c r="K71" s="240"/>
      <c r="L71" s="240"/>
      <c r="M71" s="240"/>
      <c r="N71" s="240"/>
      <c r="O71" s="240"/>
    </row>
    <row r="72" spans="1:15">
      <c r="A72" s="240"/>
      <c r="B72" s="240"/>
      <c r="C72" s="240"/>
      <c r="D72"/>
      <c r="E72"/>
      <c r="F72"/>
      <c r="G72"/>
      <c r="H72" s="240"/>
      <c r="I72" s="240"/>
      <c r="J72" s="240"/>
      <c r="K72" s="240"/>
      <c r="L72" s="240"/>
      <c r="M72" s="240"/>
      <c r="N72" s="240"/>
      <c r="O72" s="240"/>
    </row>
    <row r="73" spans="1:15">
      <c r="A73" s="240"/>
      <c r="B73" s="240"/>
      <c r="C73" s="240"/>
      <c r="D73"/>
      <c r="E73"/>
      <c r="F73"/>
      <c r="G73"/>
      <c r="H73" s="240"/>
      <c r="I73" s="240"/>
      <c r="J73" s="240"/>
      <c r="K73" s="240"/>
      <c r="L73" s="240"/>
      <c r="M73" s="240"/>
      <c r="N73" s="240"/>
      <c r="O73" s="240"/>
    </row>
    <row r="74" spans="1:15">
      <c r="A74" s="240"/>
      <c r="B74" s="240"/>
      <c r="C74" s="240"/>
      <c r="D74"/>
      <c r="E74"/>
      <c r="F74"/>
      <c r="G74"/>
      <c r="H74" s="240"/>
      <c r="I74" s="240"/>
      <c r="J74" s="240"/>
      <c r="K74" s="240"/>
      <c r="L74" s="240"/>
      <c r="M74" s="240"/>
      <c r="N74" s="240"/>
      <c r="O74" s="240"/>
    </row>
    <row r="75" spans="1:15">
      <c r="A75" s="240"/>
      <c r="B75" s="240"/>
      <c r="C75" s="240"/>
      <c r="D75"/>
      <c r="E75"/>
      <c r="F75"/>
      <c r="G75"/>
      <c r="H75" s="240"/>
      <c r="I75" s="240"/>
      <c r="J75" s="240"/>
      <c r="K75" s="240"/>
      <c r="L75" s="240"/>
      <c r="M75" s="240"/>
      <c r="N75" s="240"/>
      <c r="O75" s="240"/>
    </row>
    <row r="76" spans="1:15">
      <c r="A76" s="240"/>
      <c r="B76" s="240"/>
      <c r="C76" s="240"/>
      <c r="D76"/>
      <c r="E76"/>
      <c r="F76"/>
      <c r="G76"/>
      <c r="H76" s="240"/>
      <c r="I76" s="240"/>
      <c r="J76" s="240"/>
      <c r="K76" s="240"/>
      <c r="L76" s="240"/>
      <c r="M76" s="240"/>
      <c r="N76" s="240"/>
      <c r="O76" s="240"/>
    </row>
    <row r="77" spans="1:15">
      <c r="A77" s="240"/>
      <c r="B77" s="240"/>
      <c r="C77" s="240"/>
      <c r="D77"/>
      <c r="E77"/>
      <c r="F77"/>
      <c r="G77"/>
      <c r="H77" s="240"/>
      <c r="I77" s="240"/>
      <c r="J77" s="240"/>
      <c r="K77" s="240"/>
      <c r="L77" s="240"/>
      <c r="M77" s="240"/>
      <c r="N77" s="240"/>
      <c r="O77" s="240"/>
    </row>
    <row r="78" spans="1:15">
      <c r="A78" s="240"/>
      <c r="B78" s="240"/>
      <c r="C78" s="240"/>
      <c r="D78"/>
      <c r="E78"/>
      <c r="F78"/>
      <c r="G78"/>
      <c r="H78" s="240"/>
      <c r="I78" s="240"/>
      <c r="J78" s="240"/>
      <c r="K78" s="240"/>
      <c r="L78" s="240"/>
      <c r="M78" s="240"/>
      <c r="N78" s="240"/>
      <c r="O78" s="240"/>
    </row>
    <row r="79" spans="1:15">
      <c r="A79" s="240"/>
      <c r="B79" s="240"/>
      <c r="C79" s="240"/>
      <c r="D79"/>
      <c r="E79"/>
      <c r="F79"/>
      <c r="G79"/>
      <c r="H79" s="240"/>
      <c r="I79" s="240"/>
      <c r="J79" s="240"/>
      <c r="K79" s="240"/>
      <c r="L79" s="240"/>
      <c r="M79" s="240"/>
      <c r="N79" s="240"/>
      <c r="O79" s="240"/>
    </row>
    <row r="80" spans="1:15">
      <c r="A80" s="240"/>
      <c r="B80" s="240"/>
      <c r="C80" s="240"/>
      <c r="D80"/>
      <c r="E80"/>
      <c r="F80"/>
      <c r="G80"/>
      <c r="H80" s="240"/>
      <c r="I80" s="240"/>
      <c r="J80" s="240"/>
      <c r="K80" s="240"/>
      <c r="L80" s="240"/>
      <c r="M80" s="240"/>
      <c r="N80" s="240"/>
      <c r="O80" s="240"/>
    </row>
    <row r="81" spans="4:7">
      <c r="D81"/>
      <c r="E81"/>
      <c r="F81"/>
      <c r="G81"/>
    </row>
    <row r="82" spans="4:7">
      <c r="D82"/>
      <c r="E82"/>
      <c r="F82"/>
      <c r="G82"/>
    </row>
    <row r="83" spans="4:7">
      <c r="D83"/>
      <c r="E83"/>
      <c r="F83"/>
      <c r="G83"/>
    </row>
    <row r="84" spans="4:7">
      <c r="D84"/>
      <c r="E84"/>
      <c r="F84"/>
      <c r="G84"/>
    </row>
  </sheetData>
  <mergeCells count="14">
    <mergeCell ref="A2:A67"/>
    <mergeCell ref="B2:B67"/>
    <mergeCell ref="C64:C67"/>
    <mergeCell ref="C57:C63"/>
    <mergeCell ref="C25:C27"/>
    <mergeCell ref="C28:C36"/>
    <mergeCell ref="C39:C49"/>
    <mergeCell ref="C50:C51"/>
    <mergeCell ref="C37:C38"/>
    <mergeCell ref="C52:C55"/>
    <mergeCell ref="C2:C9"/>
    <mergeCell ref="C10:C11"/>
    <mergeCell ref="C12:C16"/>
    <mergeCell ref="C17:C2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CE567-165D-49BB-957E-B49660378608}">
  <dimension ref="A1:O80"/>
  <sheetViews>
    <sheetView zoomScaleNormal="100" workbookViewId="0">
      <pane ySplit="1" topLeftCell="A2" activePane="bottomLeft" state="frozen"/>
      <selection pane="bottomLeft" activeCell="C59" sqref="C59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3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 ht="30">
      <c r="A2" s="274">
        <v>11</v>
      </c>
      <c r="B2" s="277" t="s">
        <v>1207</v>
      </c>
      <c r="C2" s="265">
        <v>98</v>
      </c>
      <c r="D2" s="238"/>
      <c r="E2" s="238">
        <v>1</v>
      </c>
      <c r="F2" s="17" t="s">
        <v>1208</v>
      </c>
      <c r="G2" s="221">
        <v>0</v>
      </c>
      <c r="H2" s="221">
        <v>2</v>
      </c>
      <c r="I2" s="221">
        <v>32</v>
      </c>
      <c r="J2" s="220">
        <v>1</v>
      </c>
      <c r="K2" s="220">
        <v>1122</v>
      </c>
      <c r="L2" s="220">
        <v>0</v>
      </c>
      <c r="M2" s="222"/>
      <c r="N2" s="222"/>
      <c r="O2" s="174"/>
    </row>
    <row r="3" spans="1:15">
      <c r="A3" s="274"/>
      <c r="B3" s="277"/>
      <c r="C3" s="266"/>
      <c r="D3" s="238"/>
      <c r="E3" s="238"/>
      <c r="F3" s="243" t="s">
        <v>1209</v>
      </c>
      <c r="G3" s="221"/>
      <c r="H3" s="221"/>
      <c r="I3" s="221"/>
      <c r="J3" s="220"/>
      <c r="K3" s="220"/>
      <c r="L3" s="220"/>
      <c r="M3" s="222"/>
      <c r="N3" s="222"/>
      <c r="O3" s="174" t="s">
        <v>1210</v>
      </c>
    </row>
    <row r="4" spans="1:15">
      <c r="A4" s="274"/>
      <c r="B4" s="277"/>
      <c r="C4" s="266"/>
      <c r="D4" s="238"/>
      <c r="E4" s="238"/>
      <c r="F4" s="53" t="s">
        <v>1211</v>
      </c>
      <c r="G4" s="221"/>
      <c r="H4" s="221"/>
      <c r="I4" s="221"/>
      <c r="J4" s="220"/>
      <c r="K4" s="220"/>
      <c r="L4" s="220"/>
      <c r="M4" s="222"/>
      <c r="N4" s="222"/>
      <c r="O4" s="174" t="s">
        <v>1212</v>
      </c>
    </row>
    <row r="5" spans="1:15" ht="30">
      <c r="A5" s="274"/>
      <c r="B5" s="277"/>
      <c r="C5" s="266"/>
      <c r="D5" s="238"/>
      <c r="E5" s="238"/>
      <c r="F5" s="53" t="s">
        <v>1213</v>
      </c>
      <c r="G5" s="221"/>
      <c r="H5" s="221"/>
      <c r="I5" s="221"/>
      <c r="J5" s="220"/>
      <c r="K5" s="220"/>
      <c r="L5" s="220"/>
      <c r="M5" s="222"/>
      <c r="N5" s="222"/>
      <c r="O5" s="174" t="s">
        <v>1214</v>
      </c>
    </row>
    <row r="6" spans="1:15">
      <c r="A6" s="274"/>
      <c r="B6" s="277"/>
      <c r="C6" s="266"/>
      <c r="D6" s="238"/>
      <c r="E6" s="238"/>
      <c r="F6" s="53" t="s">
        <v>1215</v>
      </c>
      <c r="G6" s="221"/>
      <c r="H6" s="221"/>
      <c r="I6" s="221"/>
      <c r="J6" s="220"/>
      <c r="K6" s="220"/>
      <c r="L6" s="220"/>
      <c r="M6" s="222"/>
      <c r="N6" s="222"/>
      <c r="O6" s="174" t="s">
        <v>1216</v>
      </c>
    </row>
    <row r="7" spans="1:15" ht="30">
      <c r="A7" s="274"/>
      <c r="B7" s="277"/>
      <c r="C7" s="267"/>
      <c r="D7" s="238"/>
      <c r="E7" s="238"/>
      <c r="F7" s="243" t="s">
        <v>1217</v>
      </c>
      <c r="G7" s="221"/>
      <c r="H7" s="221"/>
      <c r="I7" s="221"/>
      <c r="J7" s="220"/>
      <c r="K7" s="220"/>
      <c r="L7" s="220"/>
      <c r="M7" s="222"/>
      <c r="N7" s="222"/>
      <c r="O7" s="174" t="s">
        <v>1218</v>
      </c>
    </row>
    <row r="8" spans="1:15">
      <c r="A8" s="274"/>
      <c r="B8" s="277"/>
      <c r="C8" s="268">
        <v>99</v>
      </c>
      <c r="D8" s="242"/>
      <c r="E8" s="242">
        <v>1</v>
      </c>
      <c r="F8" s="8" t="s">
        <v>1219</v>
      </c>
      <c r="G8" s="216">
        <v>0</v>
      </c>
      <c r="H8" s="216">
        <v>2</v>
      </c>
      <c r="I8" s="216">
        <v>11</v>
      </c>
      <c r="J8" s="216">
        <v>1</v>
      </c>
      <c r="K8" s="216">
        <v>163</v>
      </c>
      <c r="L8" s="216">
        <v>0</v>
      </c>
      <c r="M8" s="234"/>
      <c r="N8" s="234"/>
      <c r="O8" s="218"/>
    </row>
    <row r="9" spans="1:15" ht="30">
      <c r="A9" s="274"/>
      <c r="B9" s="277"/>
      <c r="C9" s="269"/>
      <c r="D9" s="242"/>
      <c r="E9" s="242"/>
      <c r="F9" s="53" t="s">
        <v>1220</v>
      </c>
      <c r="G9" s="216"/>
      <c r="H9" s="216"/>
      <c r="I9" s="216"/>
      <c r="J9" s="216"/>
      <c r="K9" s="216"/>
      <c r="L9" s="216"/>
      <c r="M9" s="234"/>
      <c r="N9" s="234"/>
      <c r="O9" s="218" t="s">
        <v>1221</v>
      </c>
    </row>
    <row r="10" spans="1:15">
      <c r="A10" s="274"/>
      <c r="B10" s="277"/>
      <c r="C10" s="270"/>
      <c r="D10" s="242"/>
      <c r="E10" s="242"/>
      <c r="F10" s="243" t="s">
        <v>1222</v>
      </c>
      <c r="G10" s="216"/>
      <c r="H10" s="216"/>
      <c r="I10" s="216"/>
      <c r="J10" s="216"/>
      <c r="K10" s="216"/>
      <c r="L10" s="216"/>
      <c r="M10" s="234"/>
      <c r="N10" s="234"/>
      <c r="O10" s="218" t="s">
        <v>1033</v>
      </c>
    </row>
    <row r="11" spans="1:15">
      <c r="A11" s="274"/>
      <c r="B11" s="277"/>
      <c r="C11" s="265">
        <v>100</v>
      </c>
      <c r="D11" s="238"/>
      <c r="E11" s="238">
        <v>1</v>
      </c>
      <c r="F11" s="17" t="s">
        <v>1223</v>
      </c>
      <c r="G11" s="165">
        <v>2</v>
      </c>
      <c r="H11" s="165">
        <v>5</v>
      </c>
      <c r="I11" s="165">
        <v>30</v>
      </c>
      <c r="J11" s="174">
        <v>1</v>
      </c>
      <c r="K11" s="174">
        <v>1942</v>
      </c>
      <c r="L11" s="174">
        <v>0</v>
      </c>
      <c r="M11" s="225"/>
      <c r="N11" s="238"/>
      <c r="O11" s="174"/>
    </row>
    <row r="12" spans="1:15" ht="30">
      <c r="A12" s="274"/>
      <c r="B12" s="277"/>
      <c r="C12" s="266"/>
      <c r="D12" s="238"/>
      <c r="E12" s="238">
        <v>2</v>
      </c>
      <c r="F12" s="243" t="s">
        <v>1224</v>
      </c>
      <c r="G12" s="165"/>
      <c r="H12" s="165"/>
      <c r="I12" s="165"/>
      <c r="J12" s="174"/>
      <c r="K12" s="174"/>
      <c r="L12" s="174"/>
      <c r="M12" s="225"/>
      <c r="N12" s="238"/>
      <c r="O12" s="174" t="s">
        <v>1225</v>
      </c>
    </row>
    <row r="13" spans="1:15" ht="30">
      <c r="A13" s="274"/>
      <c r="B13" s="277"/>
      <c r="C13" s="266"/>
      <c r="D13" s="238"/>
      <c r="E13" s="238">
        <v>3</v>
      </c>
      <c r="F13" s="243" t="s">
        <v>1226</v>
      </c>
      <c r="G13" s="165"/>
      <c r="H13" s="165"/>
      <c r="I13" s="165"/>
      <c r="J13" s="174"/>
      <c r="K13" s="174"/>
      <c r="L13" s="174"/>
      <c r="M13" s="225"/>
      <c r="N13" s="238"/>
      <c r="O13" s="174" t="s">
        <v>1227</v>
      </c>
    </row>
    <row r="14" spans="1:15" ht="45">
      <c r="A14" s="274"/>
      <c r="B14" s="277"/>
      <c r="C14" s="266"/>
      <c r="D14" s="238"/>
      <c r="E14" s="238">
        <v>3</v>
      </c>
      <c r="F14" s="243" t="s">
        <v>1228</v>
      </c>
      <c r="G14" s="165"/>
      <c r="H14" s="165"/>
      <c r="I14" s="165"/>
      <c r="J14" s="174"/>
      <c r="K14" s="174"/>
      <c r="L14" s="174"/>
      <c r="M14" s="225"/>
      <c r="N14" s="238"/>
      <c r="O14" s="174" t="s">
        <v>1229</v>
      </c>
    </row>
    <row r="15" spans="1:15" ht="45">
      <c r="A15" s="274"/>
      <c r="B15" s="277"/>
      <c r="C15" s="266"/>
      <c r="D15" s="238"/>
      <c r="E15" s="238">
        <v>3</v>
      </c>
      <c r="F15" s="243" t="s">
        <v>1222</v>
      </c>
      <c r="G15" s="165"/>
      <c r="H15" s="165"/>
      <c r="I15" s="165"/>
      <c r="J15" s="174"/>
      <c r="K15" s="174"/>
      <c r="L15" s="174"/>
      <c r="M15" s="225"/>
      <c r="N15" s="238"/>
      <c r="O15" s="174" t="s">
        <v>1230</v>
      </c>
    </row>
    <row r="16" spans="1:15" ht="45">
      <c r="A16" s="274"/>
      <c r="B16" s="277"/>
      <c r="C16" s="266"/>
      <c r="D16" s="238"/>
      <c r="E16" s="238">
        <v>3</v>
      </c>
      <c r="F16" s="53" t="s">
        <v>1231</v>
      </c>
      <c r="G16" s="165"/>
      <c r="H16" s="165"/>
      <c r="I16" s="165"/>
      <c r="J16" s="174"/>
      <c r="K16" s="174"/>
      <c r="L16" s="174"/>
      <c r="M16" s="225"/>
      <c r="N16" s="238"/>
      <c r="O16" s="174" t="s">
        <v>1232</v>
      </c>
    </row>
    <row r="17" spans="1:15" ht="45">
      <c r="A17" s="274"/>
      <c r="B17" s="277"/>
      <c r="C17" s="267"/>
      <c r="D17" s="238"/>
      <c r="E17" s="238">
        <v>3</v>
      </c>
      <c r="F17" s="53" t="s">
        <v>1233</v>
      </c>
      <c r="G17" s="165"/>
      <c r="H17" s="165"/>
      <c r="I17" s="165"/>
      <c r="J17" s="174"/>
      <c r="K17" s="174"/>
      <c r="L17" s="174"/>
      <c r="M17" s="225"/>
      <c r="N17" s="238"/>
      <c r="O17" s="174" t="s">
        <v>1234</v>
      </c>
    </row>
    <row r="18" spans="1:15">
      <c r="A18" s="274"/>
      <c r="B18" s="277"/>
      <c r="C18" s="268">
        <v>101</v>
      </c>
      <c r="D18" s="242"/>
      <c r="E18" s="242">
        <v>1</v>
      </c>
      <c r="F18" s="11" t="s">
        <v>1235</v>
      </c>
      <c r="G18" s="217">
        <v>0</v>
      </c>
      <c r="H18" s="217">
        <v>2</v>
      </c>
      <c r="I18" s="217">
        <v>8</v>
      </c>
      <c r="J18" s="217">
        <v>1</v>
      </c>
      <c r="K18" s="217">
        <v>311</v>
      </c>
      <c r="L18" s="217">
        <v>0</v>
      </c>
      <c r="M18" s="242"/>
      <c r="N18" s="216"/>
      <c r="O18" s="218"/>
    </row>
    <row r="19" spans="1:15" ht="30">
      <c r="A19" s="274"/>
      <c r="B19" s="277"/>
      <c r="C19" s="270"/>
      <c r="D19" s="242"/>
      <c r="E19" s="242"/>
      <c r="F19" s="243" t="s">
        <v>1236</v>
      </c>
      <c r="G19" s="217"/>
      <c r="H19" s="217"/>
      <c r="I19" s="217"/>
      <c r="J19" s="217"/>
      <c r="K19" s="217"/>
      <c r="L19" s="217"/>
      <c r="M19" s="234"/>
      <c r="N19" s="246"/>
      <c r="O19" s="218" t="s">
        <v>1237</v>
      </c>
    </row>
    <row r="20" spans="1:15">
      <c r="A20" s="274"/>
      <c r="B20" s="277"/>
      <c r="C20" s="222">
        <v>102</v>
      </c>
      <c r="D20" s="238">
        <v>10.88</v>
      </c>
      <c r="E20" s="238"/>
      <c r="F20" s="17" t="s">
        <v>1238</v>
      </c>
      <c r="G20" s="220"/>
      <c r="H20" s="220"/>
      <c r="I20" s="220"/>
      <c r="J20" s="220"/>
      <c r="K20" s="220"/>
      <c r="L20" s="220"/>
      <c r="M20" s="225"/>
      <c r="N20" s="222"/>
      <c r="O20" s="174"/>
    </row>
    <row r="21" spans="1:15">
      <c r="A21" s="274"/>
      <c r="B21" s="277"/>
      <c r="C21" s="268">
        <v>103</v>
      </c>
      <c r="D21" s="242"/>
      <c r="E21" s="242">
        <v>1</v>
      </c>
      <c r="F21" s="11" t="s">
        <v>1239</v>
      </c>
      <c r="G21" s="216">
        <v>0</v>
      </c>
      <c r="H21" s="216">
        <v>0</v>
      </c>
      <c r="I21" s="216">
        <v>6</v>
      </c>
      <c r="J21" s="216">
        <v>1</v>
      </c>
      <c r="K21" s="216">
        <v>0</v>
      </c>
      <c r="L21" s="216">
        <v>0</v>
      </c>
      <c r="M21" s="242"/>
      <c r="N21" s="242"/>
      <c r="O21" s="218"/>
    </row>
    <row r="22" spans="1:15">
      <c r="A22" s="274"/>
      <c r="B22" s="277"/>
      <c r="C22" s="269"/>
      <c r="D22" s="242"/>
      <c r="E22" s="242"/>
      <c r="F22" s="243" t="s">
        <v>1240</v>
      </c>
      <c r="G22" s="216"/>
      <c r="H22" s="216"/>
      <c r="I22" s="216"/>
      <c r="J22" s="216"/>
      <c r="K22" s="216"/>
      <c r="L22" s="216"/>
      <c r="M22" s="242"/>
      <c r="N22" s="242"/>
      <c r="O22" s="218" t="s">
        <v>1241</v>
      </c>
    </row>
    <row r="23" spans="1:15">
      <c r="A23" s="274"/>
      <c r="B23" s="277"/>
      <c r="C23" s="270"/>
      <c r="D23" s="242"/>
      <c r="E23" s="242"/>
      <c r="F23" s="243" t="s">
        <v>1242</v>
      </c>
      <c r="G23" s="216"/>
      <c r="H23" s="216"/>
      <c r="I23" s="216"/>
      <c r="J23" s="216"/>
      <c r="K23" s="216"/>
      <c r="L23" s="216"/>
      <c r="M23" s="242"/>
      <c r="N23" s="242"/>
      <c r="O23" s="218" t="s">
        <v>1033</v>
      </c>
    </row>
    <row r="24" spans="1:15">
      <c r="A24" s="274"/>
      <c r="B24" s="277"/>
      <c r="C24" s="265">
        <v>104</v>
      </c>
      <c r="D24" s="238"/>
      <c r="E24" s="238">
        <v>1</v>
      </c>
      <c r="F24" s="36" t="s">
        <v>1243</v>
      </c>
      <c r="G24" s="165">
        <v>0</v>
      </c>
      <c r="H24" s="165">
        <v>2</v>
      </c>
      <c r="I24" s="165">
        <v>28</v>
      </c>
      <c r="J24" s="165">
        <v>1</v>
      </c>
      <c r="K24" s="165">
        <v>842</v>
      </c>
      <c r="L24" s="165">
        <v>0</v>
      </c>
      <c r="M24" s="238"/>
      <c r="N24" s="238"/>
      <c r="O24" s="174"/>
    </row>
    <row r="25" spans="1:15">
      <c r="A25" s="274"/>
      <c r="B25" s="277"/>
      <c r="C25" s="266"/>
      <c r="D25" s="238"/>
      <c r="E25" s="238"/>
      <c r="F25" s="243" t="s">
        <v>1209</v>
      </c>
      <c r="G25" s="221"/>
      <c r="H25" s="221"/>
      <c r="I25" s="221"/>
      <c r="J25" s="220"/>
      <c r="K25" s="220"/>
      <c r="L25" s="220"/>
      <c r="M25" s="222"/>
      <c r="N25" s="222"/>
      <c r="O25" s="174" t="s">
        <v>1210</v>
      </c>
    </row>
    <row r="26" spans="1:15">
      <c r="A26" s="274"/>
      <c r="B26" s="277"/>
      <c r="C26" s="266"/>
      <c r="D26" s="238"/>
      <c r="E26" s="238"/>
      <c r="F26" s="53" t="s">
        <v>1211</v>
      </c>
      <c r="G26" s="221"/>
      <c r="H26" s="221"/>
      <c r="I26" s="221"/>
      <c r="J26" s="220"/>
      <c r="K26" s="220"/>
      <c r="L26" s="220"/>
      <c r="M26" s="222"/>
      <c r="N26" s="222"/>
      <c r="O26" s="174" t="s">
        <v>1212</v>
      </c>
    </row>
    <row r="27" spans="1:15">
      <c r="A27" s="274"/>
      <c r="B27" s="277"/>
      <c r="C27" s="266"/>
      <c r="D27" s="238"/>
      <c r="E27" s="238"/>
      <c r="F27" s="53" t="s">
        <v>1215</v>
      </c>
      <c r="G27" s="221"/>
      <c r="H27" s="221"/>
      <c r="I27" s="221"/>
      <c r="J27" s="220"/>
      <c r="K27" s="220"/>
      <c r="L27" s="220"/>
      <c r="M27" s="222"/>
      <c r="N27" s="222"/>
      <c r="O27" s="174" t="s">
        <v>1216</v>
      </c>
    </row>
    <row r="28" spans="1:15" ht="30">
      <c r="A28" s="274"/>
      <c r="B28" s="277"/>
      <c r="C28" s="267"/>
      <c r="D28" s="238"/>
      <c r="E28" s="238"/>
      <c r="F28" s="243" t="s">
        <v>1217</v>
      </c>
      <c r="G28" s="221"/>
      <c r="H28" s="221"/>
      <c r="I28" s="221"/>
      <c r="J28" s="220"/>
      <c r="K28" s="220"/>
      <c r="L28" s="220"/>
      <c r="M28" s="222"/>
      <c r="N28" s="222"/>
      <c r="O28" s="174" t="s">
        <v>1218</v>
      </c>
    </row>
    <row r="29" spans="1:15">
      <c r="A29" s="274"/>
      <c r="B29" s="277"/>
      <c r="C29" s="268">
        <v>105</v>
      </c>
      <c r="D29" s="242"/>
      <c r="E29" s="242">
        <v>1</v>
      </c>
      <c r="F29" s="8" t="s">
        <v>1244</v>
      </c>
      <c r="G29" s="216">
        <v>0</v>
      </c>
      <c r="H29" s="216">
        <v>2</v>
      </c>
      <c r="I29" s="216">
        <v>20</v>
      </c>
      <c r="J29" s="216">
        <v>1</v>
      </c>
      <c r="K29" s="216">
        <v>504</v>
      </c>
      <c r="L29" s="216">
        <v>0</v>
      </c>
      <c r="M29" s="216"/>
      <c r="N29" s="216"/>
      <c r="O29" s="218"/>
    </row>
    <row r="30" spans="1:15">
      <c r="A30" s="274"/>
      <c r="B30" s="277"/>
      <c r="C30" s="269"/>
      <c r="D30" s="242"/>
      <c r="E30" s="242"/>
      <c r="F30" s="53" t="s">
        <v>1215</v>
      </c>
      <c r="G30" s="216"/>
      <c r="H30" s="216"/>
      <c r="I30" s="216"/>
      <c r="J30" s="216"/>
      <c r="K30" s="216"/>
      <c r="L30" s="216"/>
      <c r="M30" s="216"/>
      <c r="N30" s="216"/>
      <c r="O30" s="218" t="s">
        <v>1216</v>
      </c>
    </row>
    <row r="31" spans="1:15">
      <c r="A31" s="274"/>
      <c r="B31" s="277"/>
      <c r="C31" s="270"/>
      <c r="D31" s="242"/>
      <c r="E31" s="242"/>
      <c r="F31" s="243" t="s">
        <v>1222</v>
      </c>
      <c r="G31" s="216"/>
      <c r="H31" s="216"/>
      <c r="I31" s="216"/>
      <c r="J31" s="216"/>
      <c r="K31" s="216"/>
      <c r="L31" s="216"/>
      <c r="M31" s="216"/>
      <c r="N31" s="216"/>
      <c r="O31" s="218" t="s">
        <v>1033</v>
      </c>
    </row>
    <row r="32" spans="1:15" ht="30">
      <c r="A32" s="274"/>
      <c r="B32" s="277"/>
      <c r="C32" s="265">
        <v>106</v>
      </c>
      <c r="D32" s="238"/>
      <c r="E32" s="238">
        <v>1</v>
      </c>
      <c r="F32" s="17" t="s">
        <v>1245</v>
      </c>
      <c r="G32" s="165">
        <v>0</v>
      </c>
      <c r="H32" s="165">
        <v>6</v>
      </c>
      <c r="I32" s="165">
        <v>45</v>
      </c>
      <c r="J32" s="165">
        <v>0</v>
      </c>
      <c r="K32" s="165">
        <v>324</v>
      </c>
      <c r="L32" s="165">
        <v>0</v>
      </c>
      <c r="M32" s="165"/>
      <c r="N32" s="165"/>
      <c r="O32" s="174"/>
    </row>
    <row r="33" spans="1:15">
      <c r="A33" s="274"/>
      <c r="B33" s="277"/>
      <c r="C33" s="266"/>
      <c r="D33" s="238"/>
      <c r="E33" s="238">
        <v>2</v>
      </c>
      <c r="F33" s="42" t="s">
        <v>1246</v>
      </c>
      <c r="G33" s="165">
        <v>0</v>
      </c>
      <c r="H33" s="165">
        <v>1</v>
      </c>
      <c r="I33" s="165">
        <v>3</v>
      </c>
      <c r="J33" s="165">
        <v>0</v>
      </c>
      <c r="K33" s="165">
        <v>18</v>
      </c>
      <c r="L33" s="165">
        <v>0</v>
      </c>
      <c r="M33" s="165"/>
      <c r="N33" s="165"/>
      <c r="O33" s="174" t="s">
        <v>682</v>
      </c>
    </row>
    <row r="34" spans="1:15" ht="30">
      <c r="A34" s="274"/>
      <c r="B34" s="277"/>
      <c r="C34" s="266"/>
      <c r="D34" s="238"/>
      <c r="E34" s="238"/>
      <c r="F34" s="53" t="s">
        <v>1220</v>
      </c>
      <c r="G34" s="165"/>
      <c r="H34" s="165"/>
      <c r="I34" s="165"/>
      <c r="J34" s="165"/>
      <c r="K34" s="165"/>
      <c r="L34" s="165"/>
      <c r="M34" s="165"/>
      <c r="N34" s="165"/>
      <c r="O34" s="174" t="s">
        <v>1247</v>
      </c>
    </row>
    <row r="35" spans="1:15" ht="30">
      <c r="A35" s="274"/>
      <c r="B35" s="277"/>
      <c r="C35" s="266"/>
      <c r="D35" s="238"/>
      <c r="E35" s="238"/>
      <c r="F35" s="243" t="s">
        <v>1248</v>
      </c>
      <c r="G35" s="165"/>
      <c r="H35" s="165"/>
      <c r="I35" s="165"/>
      <c r="J35" s="165"/>
      <c r="K35" s="165"/>
      <c r="L35" s="165"/>
      <c r="M35" s="165"/>
      <c r="N35" s="165"/>
      <c r="O35" s="174" t="s">
        <v>1249</v>
      </c>
    </row>
    <row r="36" spans="1:15" ht="30">
      <c r="A36" s="274"/>
      <c r="B36" s="277"/>
      <c r="C36" s="266"/>
      <c r="D36" s="238"/>
      <c r="E36" s="238"/>
      <c r="F36" s="243" t="s">
        <v>1217</v>
      </c>
      <c r="G36" s="165"/>
      <c r="H36" s="165"/>
      <c r="I36" s="165"/>
      <c r="J36" s="165"/>
      <c r="K36" s="165"/>
      <c r="L36" s="165"/>
      <c r="M36" s="165"/>
      <c r="N36" s="165"/>
      <c r="O36" s="174" t="s">
        <v>1218</v>
      </c>
    </row>
    <row r="37" spans="1:15">
      <c r="A37" s="274"/>
      <c r="B37" s="277"/>
      <c r="C37" s="266"/>
      <c r="D37" s="238"/>
      <c r="E37" s="238"/>
      <c r="F37" s="243" t="s">
        <v>1250</v>
      </c>
      <c r="G37" s="165"/>
      <c r="H37" s="165"/>
      <c r="I37" s="165"/>
      <c r="J37" s="165"/>
      <c r="K37" s="165"/>
      <c r="L37" s="165"/>
      <c r="M37" s="165"/>
      <c r="N37" s="165"/>
      <c r="O37" s="174" t="s">
        <v>1088</v>
      </c>
    </row>
    <row r="38" spans="1:15">
      <c r="A38" s="274"/>
      <c r="B38" s="277"/>
      <c r="C38" s="267"/>
      <c r="D38" s="238"/>
      <c r="E38" s="238"/>
      <c r="F38" s="243" t="s">
        <v>1251</v>
      </c>
      <c r="G38" s="165"/>
      <c r="H38" s="165"/>
      <c r="I38" s="165"/>
      <c r="J38" s="165"/>
      <c r="K38" s="165"/>
      <c r="L38" s="165"/>
      <c r="M38" s="165"/>
      <c r="N38" s="165"/>
      <c r="O38" s="174" t="s">
        <v>1088</v>
      </c>
    </row>
    <row r="39" spans="1:15">
      <c r="A39" s="274"/>
      <c r="B39" s="277"/>
      <c r="C39" s="268">
        <v>107</v>
      </c>
      <c r="D39" s="242"/>
      <c r="E39" s="242">
        <v>1</v>
      </c>
      <c r="F39" s="8" t="s">
        <v>1252</v>
      </c>
      <c r="G39" s="216">
        <v>0</v>
      </c>
      <c r="H39" s="216">
        <v>2</v>
      </c>
      <c r="I39" s="216">
        <v>29</v>
      </c>
      <c r="J39" s="216">
        <v>1</v>
      </c>
      <c r="K39" s="216">
        <v>1025</v>
      </c>
      <c r="L39" s="216">
        <v>2</v>
      </c>
      <c r="M39" s="216"/>
      <c r="N39" s="216"/>
      <c r="O39" s="218"/>
    </row>
    <row r="40" spans="1:15">
      <c r="A40" s="274"/>
      <c r="B40" s="277"/>
      <c r="C40" s="269"/>
      <c r="D40" s="242"/>
      <c r="E40" s="242"/>
      <c r="F40" s="243" t="s">
        <v>1209</v>
      </c>
      <c r="G40" s="227"/>
      <c r="H40" s="227"/>
      <c r="I40" s="227"/>
      <c r="J40" s="217"/>
      <c r="K40" s="217"/>
      <c r="L40" s="217"/>
      <c r="M40" s="234"/>
      <c r="N40" s="234"/>
      <c r="O40" s="218" t="s">
        <v>1210</v>
      </c>
    </row>
    <row r="41" spans="1:15">
      <c r="A41" s="274"/>
      <c r="B41" s="277"/>
      <c r="C41" s="269"/>
      <c r="D41" s="242"/>
      <c r="E41" s="242"/>
      <c r="F41" s="53" t="s">
        <v>1211</v>
      </c>
      <c r="G41" s="227"/>
      <c r="H41" s="227"/>
      <c r="I41" s="227"/>
      <c r="J41" s="217"/>
      <c r="K41" s="217"/>
      <c r="L41" s="217"/>
      <c r="M41" s="234"/>
      <c r="N41" s="234"/>
      <c r="O41" s="218" t="s">
        <v>1212</v>
      </c>
    </row>
    <row r="42" spans="1:15" ht="30">
      <c r="A42" s="274"/>
      <c r="B42" s="277"/>
      <c r="C42" s="269"/>
      <c r="D42" s="242"/>
      <c r="E42" s="242"/>
      <c r="F42" s="53" t="s">
        <v>1213</v>
      </c>
      <c r="G42" s="227"/>
      <c r="H42" s="227"/>
      <c r="I42" s="227"/>
      <c r="J42" s="217"/>
      <c r="K42" s="217"/>
      <c r="L42" s="217"/>
      <c r="M42" s="234"/>
      <c r="N42" s="234"/>
      <c r="O42" s="218" t="s">
        <v>1214</v>
      </c>
    </row>
    <row r="43" spans="1:15">
      <c r="A43" s="274"/>
      <c r="B43" s="277"/>
      <c r="C43" s="269"/>
      <c r="D43" s="242"/>
      <c r="E43" s="242"/>
      <c r="F43" s="53" t="s">
        <v>1215</v>
      </c>
      <c r="G43" s="227"/>
      <c r="H43" s="227"/>
      <c r="I43" s="227"/>
      <c r="J43" s="217"/>
      <c r="K43" s="217"/>
      <c r="L43" s="217"/>
      <c r="M43" s="234"/>
      <c r="N43" s="234"/>
      <c r="O43" s="218" t="s">
        <v>1216</v>
      </c>
    </row>
    <row r="44" spans="1:15" ht="30">
      <c r="A44" s="274"/>
      <c r="B44" s="277"/>
      <c r="C44" s="270"/>
      <c r="D44" s="242"/>
      <c r="E44" s="242"/>
      <c r="F44" s="243" t="s">
        <v>1217</v>
      </c>
      <c r="G44" s="227"/>
      <c r="H44" s="227"/>
      <c r="I44" s="227"/>
      <c r="J44" s="217"/>
      <c r="K44" s="217"/>
      <c r="L44" s="217"/>
      <c r="M44" s="234"/>
      <c r="N44" s="234"/>
      <c r="O44" s="218" t="s">
        <v>1218</v>
      </c>
    </row>
    <row r="45" spans="1:15">
      <c r="A45" s="274"/>
      <c r="B45" s="277"/>
      <c r="C45" s="265">
        <v>108</v>
      </c>
      <c r="D45" s="238"/>
      <c r="E45" s="238">
        <v>1</v>
      </c>
      <c r="F45" s="31" t="s">
        <v>1253</v>
      </c>
      <c r="G45" s="165">
        <v>0</v>
      </c>
      <c r="H45" s="165">
        <v>2</v>
      </c>
      <c r="I45" s="165">
        <v>11</v>
      </c>
      <c r="J45" s="165">
        <v>1</v>
      </c>
      <c r="K45" s="165">
        <v>163</v>
      </c>
      <c r="L45" s="165">
        <v>0</v>
      </c>
      <c r="M45" s="165"/>
      <c r="N45" s="165"/>
      <c r="O45" s="174"/>
    </row>
    <row r="46" spans="1:15" ht="30">
      <c r="A46" s="274"/>
      <c r="B46" s="277"/>
      <c r="C46" s="266"/>
      <c r="D46" s="238"/>
      <c r="E46" s="238"/>
      <c r="F46" s="53" t="s">
        <v>1220</v>
      </c>
      <c r="G46" s="165"/>
      <c r="H46" s="165"/>
      <c r="I46" s="165"/>
      <c r="J46" s="165"/>
      <c r="K46" s="165"/>
      <c r="L46" s="165"/>
      <c r="M46" s="222"/>
      <c r="N46" s="222"/>
      <c r="O46" s="174" t="s">
        <v>1221</v>
      </c>
    </row>
    <row r="47" spans="1:15">
      <c r="A47" s="274"/>
      <c r="B47" s="277"/>
      <c r="C47" s="267"/>
      <c r="D47" s="238"/>
      <c r="E47" s="238"/>
      <c r="F47" s="243" t="s">
        <v>1222</v>
      </c>
      <c r="G47" s="165"/>
      <c r="H47" s="165"/>
      <c r="I47" s="165"/>
      <c r="J47" s="165"/>
      <c r="K47" s="165"/>
      <c r="L47" s="165"/>
      <c r="M47" s="222"/>
      <c r="N47" s="222"/>
      <c r="O47" s="174" t="s">
        <v>1033</v>
      </c>
    </row>
    <row r="48" spans="1:15" ht="30">
      <c r="A48" s="274"/>
      <c r="B48" s="277"/>
      <c r="C48" s="268">
        <v>109</v>
      </c>
      <c r="D48" s="242"/>
      <c r="E48" s="242">
        <v>1</v>
      </c>
      <c r="F48" s="37" t="s">
        <v>1254</v>
      </c>
      <c r="G48" s="216">
        <v>0</v>
      </c>
      <c r="H48" s="216">
        <v>2</v>
      </c>
      <c r="I48" s="216">
        <v>30</v>
      </c>
      <c r="J48" s="216">
        <v>1</v>
      </c>
      <c r="K48" s="216">
        <v>861</v>
      </c>
      <c r="L48" s="216">
        <v>2</v>
      </c>
      <c r="M48" s="216"/>
      <c r="N48" s="216"/>
      <c r="O48" s="218"/>
    </row>
    <row r="49" spans="1:15">
      <c r="A49" s="274"/>
      <c r="B49" s="277"/>
      <c r="C49" s="269"/>
      <c r="D49" s="242"/>
      <c r="E49" s="242"/>
      <c r="F49" s="243" t="s">
        <v>1209</v>
      </c>
      <c r="G49" s="227"/>
      <c r="H49" s="227"/>
      <c r="I49" s="227"/>
      <c r="J49" s="217"/>
      <c r="K49" s="217"/>
      <c r="L49" s="217"/>
      <c r="M49" s="234"/>
      <c r="N49" s="234"/>
      <c r="O49" s="218" t="s">
        <v>1210</v>
      </c>
    </row>
    <row r="50" spans="1:15">
      <c r="A50" s="274"/>
      <c r="B50" s="277"/>
      <c r="C50" s="269"/>
      <c r="D50" s="242"/>
      <c r="E50" s="242"/>
      <c r="F50" s="53" t="s">
        <v>1211</v>
      </c>
      <c r="G50" s="227"/>
      <c r="H50" s="227"/>
      <c r="I50" s="227"/>
      <c r="J50" s="217"/>
      <c r="K50" s="217"/>
      <c r="L50" s="217"/>
      <c r="M50" s="234"/>
      <c r="N50" s="234"/>
      <c r="O50" s="218" t="s">
        <v>1212</v>
      </c>
    </row>
    <row r="51" spans="1:15" ht="30">
      <c r="A51" s="274"/>
      <c r="B51" s="277"/>
      <c r="C51" s="269"/>
      <c r="D51" s="242"/>
      <c r="E51" s="242"/>
      <c r="F51" s="53" t="s">
        <v>1213</v>
      </c>
      <c r="G51" s="227"/>
      <c r="H51" s="227"/>
      <c r="I51" s="227"/>
      <c r="J51" s="217"/>
      <c r="K51" s="217"/>
      <c r="L51" s="217"/>
      <c r="M51" s="234"/>
      <c r="N51" s="234"/>
      <c r="O51" s="218" t="s">
        <v>1214</v>
      </c>
    </row>
    <row r="52" spans="1:15">
      <c r="A52" s="274"/>
      <c r="B52" s="277"/>
      <c r="C52" s="269"/>
      <c r="D52" s="242"/>
      <c r="E52" s="242"/>
      <c r="F52" s="53" t="s">
        <v>1215</v>
      </c>
      <c r="G52" s="227"/>
      <c r="H52" s="227"/>
      <c r="I52" s="227"/>
      <c r="J52" s="217"/>
      <c r="K52" s="217"/>
      <c r="L52" s="217"/>
      <c r="M52" s="234"/>
      <c r="N52" s="234"/>
      <c r="O52" s="218" t="s">
        <v>1216</v>
      </c>
    </row>
    <row r="53" spans="1:15" ht="30">
      <c r="A53" s="274"/>
      <c r="B53" s="277"/>
      <c r="C53" s="270"/>
      <c r="D53" s="242"/>
      <c r="E53" s="242"/>
      <c r="F53" s="243" t="s">
        <v>1217</v>
      </c>
      <c r="G53" s="227"/>
      <c r="H53" s="227"/>
      <c r="I53" s="227"/>
      <c r="J53" s="217"/>
      <c r="K53" s="217"/>
      <c r="L53" s="217"/>
      <c r="M53" s="234"/>
      <c r="N53" s="234"/>
      <c r="O53" s="218" t="s">
        <v>1218</v>
      </c>
    </row>
    <row r="54" spans="1:15">
      <c r="A54" s="274"/>
      <c r="B54" s="277"/>
      <c r="C54" s="265">
        <v>110</v>
      </c>
      <c r="D54" s="238"/>
      <c r="E54" s="238">
        <v>1</v>
      </c>
      <c r="F54" s="31" t="s">
        <v>1255</v>
      </c>
      <c r="G54" s="165">
        <v>0</v>
      </c>
      <c r="H54" s="165">
        <v>2</v>
      </c>
      <c r="I54" s="165">
        <v>27</v>
      </c>
      <c r="J54" s="165">
        <v>1</v>
      </c>
      <c r="K54" s="165">
        <v>665</v>
      </c>
      <c r="L54" s="165">
        <v>0</v>
      </c>
      <c r="M54" s="165"/>
      <c r="N54" s="165"/>
      <c r="O54" s="174"/>
    </row>
    <row r="55" spans="1:15">
      <c r="A55" s="274"/>
      <c r="B55" s="277"/>
      <c r="C55" s="266"/>
      <c r="D55" s="238"/>
      <c r="E55" s="238"/>
      <c r="F55" s="243" t="s">
        <v>1209</v>
      </c>
      <c r="G55" s="221"/>
      <c r="H55" s="221"/>
      <c r="I55" s="221"/>
      <c r="J55" s="220"/>
      <c r="K55" s="220"/>
      <c r="L55" s="220"/>
      <c r="M55" s="222"/>
      <c r="N55" s="222"/>
      <c r="O55" s="174" t="s">
        <v>1210</v>
      </c>
    </row>
    <row r="56" spans="1:15">
      <c r="A56" s="274"/>
      <c r="B56" s="277"/>
      <c r="C56" s="266"/>
      <c r="D56" s="238"/>
      <c r="E56" s="238"/>
      <c r="F56" s="53" t="s">
        <v>1211</v>
      </c>
      <c r="G56" s="221"/>
      <c r="H56" s="221"/>
      <c r="I56" s="221"/>
      <c r="J56" s="220"/>
      <c r="K56" s="220"/>
      <c r="L56" s="220"/>
      <c r="M56" s="222"/>
      <c r="N56" s="222"/>
      <c r="O56" s="174" t="s">
        <v>1212</v>
      </c>
    </row>
    <row r="57" spans="1:15">
      <c r="A57" s="274"/>
      <c r="B57" s="277"/>
      <c r="C57" s="266"/>
      <c r="D57" s="238"/>
      <c r="E57" s="238"/>
      <c r="F57" s="53" t="s">
        <v>1215</v>
      </c>
      <c r="G57" s="221"/>
      <c r="H57" s="221"/>
      <c r="I57" s="221"/>
      <c r="J57" s="220"/>
      <c r="K57" s="220"/>
      <c r="L57" s="220"/>
      <c r="M57" s="222"/>
      <c r="N57" s="222"/>
      <c r="O57" s="174" t="s">
        <v>1216</v>
      </c>
    </row>
    <row r="58" spans="1:15" ht="30">
      <c r="A58" s="274"/>
      <c r="B58" s="277"/>
      <c r="C58" s="267"/>
      <c r="D58" s="238"/>
      <c r="E58" s="238"/>
      <c r="F58" s="243" t="s">
        <v>1217</v>
      </c>
      <c r="G58" s="221"/>
      <c r="H58" s="221"/>
      <c r="I58" s="221"/>
      <c r="J58" s="220"/>
      <c r="K58" s="220"/>
      <c r="L58" s="220"/>
      <c r="M58" s="238"/>
      <c r="N58" s="238"/>
      <c r="O58" s="174" t="s">
        <v>1218</v>
      </c>
    </row>
    <row r="59" spans="1:15">
      <c r="A59" s="240"/>
      <c r="B59" s="237"/>
      <c r="C59" s="240"/>
      <c r="D59" s="240"/>
      <c r="E59" s="240"/>
      <c r="F59"/>
      <c r="G59" s="240"/>
      <c r="H59" s="240"/>
      <c r="I59" s="240"/>
      <c r="J59" s="240"/>
      <c r="K59" s="240"/>
      <c r="L59" s="240"/>
      <c r="M59" s="240"/>
      <c r="N59" s="240"/>
      <c r="O59" s="240"/>
    </row>
    <row r="60" spans="1:15">
      <c r="A60" s="240"/>
      <c r="B60" s="240"/>
      <c r="C60" s="240"/>
      <c r="D60" s="240"/>
      <c r="E60" s="240"/>
      <c r="F60"/>
      <c r="G60" s="240"/>
      <c r="H60" s="240"/>
      <c r="I60" s="240"/>
      <c r="J60" s="240"/>
      <c r="K60" s="240"/>
      <c r="L60" s="240"/>
      <c r="M60" s="240"/>
      <c r="N60" s="240"/>
      <c r="O60" s="240"/>
    </row>
    <row r="61" spans="1:15">
      <c r="A61" s="240"/>
      <c r="B61" s="240"/>
      <c r="C61" s="240"/>
      <c r="D61" s="240"/>
      <c r="E61" s="240"/>
      <c r="F61"/>
      <c r="G61" s="240"/>
      <c r="H61" s="240"/>
      <c r="I61" s="240"/>
      <c r="J61" s="240"/>
      <c r="K61" s="240"/>
      <c r="L61" s="240"/>
      <c r="M61" s="240"/>
      <c r="N61" s="240"/>
      <c r="O61" s="240"/>
    </row>
    <row r="62" spans="1:15">
      <c r="A62" s="240"/>
      <c r="B62" s="240"/>
      <c r="C62" s="240"/>
      <c r="D62" s="240"/>
      <c r="E62"/>
      <c r="F62"/>
      <c r="G62" s="240"/>
      <c r="H62" s="240"/>
      <c r="I62" s="240"/>
      <c r="J62" s="240"/>
      <c r="K62" s="240"/>
      <c r="L62" s="240"/>
      <c r="M62" s="240"/>
      <c r="N62" s="240"/>
      <c r="O62" s="240"/>
    </row>
    <row r="63" spans="1:15">
      <c r="A63" s="240"/>
      <c r="B63" s="240"/>
      <c r="C63" s="240"/>
      <c r="D63"/>
      <c r="E63"/>
      <c r="F63"/>
      <c r="G63"/>
      <c r="H63" s="240"/>
      <c r="I63" s="240"/>
      <c r="J63" s="240"/>
      <c r="K63" s="240"/>
      <c r="L63" s="240"/>
      <c r="M63" s="240"/>
      <c r="N63" s="240"/>
      <c r="O63" s="240"/>
    </row>
    <row r="64" spans="1:15">
      <c r="A64" s="240"/>
      <c r="B64" s="240"/>
      <c r="C64" s="240"/>
      <c r="D64"/>
      <c r="E64"/>
      <c r="F64"/>
      <c r="G64"/>
      <c r="H64" s="240"/>
      <c r="I64" s="240"/>
      <c r="J64" s="240"/>
      <c r="K64" s="240"/>
      <c r="L64" s="240"/>
      <c r="M64" s="240"/>
      <c r="N64" s="240"/>
      <c r="O64" s="240"/>
    </row>
    <row r="65" spans="4:7">
      <c r="D65"/>
      <c r="E65"/>
      <c r="F65"/>
      <c r="G65"/>
    </row>
    <row r="66" spans="4:7">
      <c r="D66"/>
      <c r="E66"/>
      <c r="F66"/>
      <c r="G66"/>
    </row>
    <row r="67" spans="4:7">
      <c r="D67"/>
      <c r="E67"/>
      <c r="F67"/>
      <c r="G67"/>
    </row>
    <row r="68" spans="4:7">
      <c r="D68"/>
      <c r="E68"/>
      <c r="F68"/>
      <c r="G68"/>
    </row>
    <row r="69" spans="4:7">
      <c r="D69"/>
      <c r="E69"/>
      <c r="F69"/>
      <c r="G69"/>
    </row>
    <row r="70" spans="4:7">
      <c r="D70"/>
      <c r="E70"/>
      <c r="F70"/>
      <c r="G70"/>
    </row>
    <row r="71" spans="4:7">
      <c r="D71"/>
      <c r="E71"/>
      <c r="F71"/>
      <c r="G71"/>
    </row>
    <row r="72" spans="4:7">
      <c r="D72"/>
      <c r="E72"/>
      <c r="F72"/>
      <c r="G72"/>
    </row>
    <row r="73" spans="4:7">
      <c r="D73"/>
      <c r="E73"/>
      <c r="F73"/>
      <c r="G73"/>
    </row>
    <row r="74" spans="4:7">
      <c r="D74"/>
      <c r="E74"/>
      <c r="F74"/>
      <c r="G74"/>
    </row>
    <row r="75" spans="4:7">
      <c r="D75"/>
      <c r="E75"/>
      <c r="F75"/>
      <c r="G75"/>
    </row>
    <row r="76" spans="4:7">
      <c r="D76"/>
      <c r="E76"/>
      <c r="F76"/>
      <c r="G76"/>
    </row>
    <row r="77" spans="4:7">
      <c r="D77"/>
      <c r="E77"/>
      <c r="F77"/>
      <c r="G77"/>
    </row>
    <row r="78" spans="4:7">
      <c r="D78"/>
      <c r="E78"/>
      <c r="F78"/>
      <c r="G78"/>
    </row>
    <row r="79" spans="4:7">
      <c r="D79"/>
      <c r="E79"/>
      <c r="F79"/>
      <c r="G79"/>
    </row>
    <row r="80" spans="4:7">
      <c r="D80"/>
      <c r="E80"/>
      <c r="F80"/>
      <c r="G80"/>
    </row>
  </sheetData>
  <mergeCells count="14">
    <mergeCell ref="A2:A58"/>
    <mergeCell ref="B2:B58"/>
    <mergeCell ref="C2:C7"/>
    <mergeCell ref="C8:C10"/>
    <mergeCell ref="C18:C19"/>
    <mergeCell ref="C29:C31"/>
    <mergeCell ref="C24:C28"/>
    <mergeCell ref="C21:C23"/>
    <mergeCell ref="C11:C17"/>
    <mergeCell ref="C32:C38"/>
    <mergeCell ref="C45:C47"/>
    <mergeCell ref="C39:C44"/>
    <mergeCell ref="C48:C53"/>
    <mergeCell ref="C54:C58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E420-B819-407E-B613-7E1391AC79F4}">
  <dimension ref="A1:O111"/>
  <sheetViews>
    <sheetView zoomScaleNormal="100" workbookViewId="0">
      <pane ySplit="1" topLeftCell="A39" activePane="bottomLeft" state="frozen"/>
      <selection pane="bottomLeft" activeCell="F53" sqref="F53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7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12</v>
      </c>
      <c r="B2" s="275" t="s">
        <v>1256</v>
      </c>
      <c r="C2" s="265">
        <v>111</v>
      </c>
      <c r="D2" s="238"/>
      <c r="E2" s="238">
        <v>1</v>
      </c>
      <c r="F2" s="17" t="s">
        <v>1257</v>
      </c>
      <c r="G2" s="221">
        <v>2</v>
      </c>
      <c r="H2" s="221">
        <v>4</v>
      </c>
      <c r="I2" s="221">
        <v>50</v>
      </c>
      <c r="J2" s="220">
        <v>1</v>
      </c>
      <c r="K2" s="220">
        <v>1026</v>
      </c>
      <c r="L2" s="220">
        <v>0</v>
      </c>
      <c r="M2" s="222"/>
      <c r="N2" s="222"/>
      <c r="O2" s="174"/>
    </row>
    <row r="3" spans="1:15">
      <c r="A3" s="274"/>
      <c r="B3" s="275"/>
      <c r="C3" s="266"/>
      <c r="D3" s="238"/>
      <c r="E3" s="238">
        <v>2</v>
      </c>
      <c r="F3" s="17" t="s">
        <v>721</v>
      </c>
      <c r="G3" s="221">
        <v>3</v>
      </c>
      <c r="H3" s="221">
        <v>4</v>
      </c>
      <c r="I3" s="221">
        <v>51</v>
      </c>
      <c r="J3" s="220">
        <v>0</v>
      </c>
      <c r="K3" s="220">
        <v>2188</v>
      </c>
      <c r="L3" s="220">
        <v>0</v>
      </c>
      <c r="M3" s="222"/>
      <c r="N3" s="222"/>
      <c r="O3" s="174"/>
    </row>
    <row r="4" spans="1:15">
      <c r="A4" s="274"/>
      <c r="B4" s="275"/>
      <c r="C4" s="266"/>
      <c r="D4" s="238">
        <v>8.7899999999999991</v>
      </c>
      <c r="E4" s="238">
        <v>2</v>
      </c>
      <c r="F4" s="17" t="s">
        <v>1258</v>
      </c>
      <c r="G4" s="221">
        <v>0</v>
      </c>
      <c r="H4" s="221">
        <v>3</v>
      </c>
      <c r="I4" s="221">
        <v>32</v>
      </c>
      <c r="J4" s="220">
        <v>0</v>
      </c>
      <c r="K4" s="220">
        <v>1594</v>
      </c>
      <c r="L4" s="220">
        <v>0</v>
      </c>
      <c r="M4" s="222"/>
      <c r="N4" s="222"/>
      <c r="O4" s="174" t="s">
        <v>1259</v>
      </c>
    </row>
    <row r="5" spans="1:15" ht="30">
      <c r="A5" s="274"/>
      <c r="B5" s="275"/>
      <c r="C5" s="266"/>
      <c r="D5" s="238"/>
      <c r="E5" s="238"/>
      <c r="F5" s="243" t="s">
        <v>1260</v>
      </c>
      <c r="G5" s="221"/>
      <c r="H5" s="221"/>
      <c r="I5" s="221"/>
      <c r="J5" s="220"/>
      <c r="K5" s="220"/>
      <c r="L5" s="220"/>
      <c r="M5" s="222"/>
      <c r="N5" s="222"/>
      <c r="O5" s="174" t="s">
        <v>1261</v>
      </c>
    </row>
    <row r="6" spans="1:15">
      <c r="A6" s="274"/>
      <c r="B6" s="275"/>
      <c r="C6" s="267"/>
      <c r="D6" s="238"/>
      <c r="E6" s="238"/>
      <c r="F6" s="243" t="s">
        <v>1262</v>
      </c>
      <c r="G6" s="221"/>
      <c r="H6" s="221"/>
      <c r="I6" s="221"/>
      <c r="J6" s="220"/>
      <c r="K6" s="220"/>
      <c r="L6" s="220"/>
      <c r="M6" s="222"/>
      <c r="N6" s="222"/>
      <c r="O6" s="174" t="s">
        <v>1263</v>
      </c>
    </row>
    <row r="7" spans="1:15">
      <c r="A7" s="274"/>
      <c r="B7" s="275"/>
      <c r="C7" s="234">
        <v>112</v>
      </c>
      <c r="D7" s="242"/>
      <c r="E7" s="242">
        <v>1</v>
      </c>
      <c r="F7" s="11" t="s">
        <v>1264</v>
      </c>
      <c r="G7" s="216">
        <v>0</v>
      </c>
      <c r="H7" s="216">
        <v>1</v>
      </c>
      <c r="I7" s="216">
        <v>8</v>
      </c>
      <c r="J7" s="216">
        <v>0</v>
      </c>
      <c r="K7" s="216">
        <v>4</v>
      </c>
      <c r="L7" s="216">
        <v>0</v>
      </c>
      <c r="M7" s="234"/>
      <c r="N7" s="234"/>
      <c r="O7" s="218" t="s">
        <v>1265</v>
      </c>
    </row>
    <row r="8" spans="1:15">
      <c r="A8" s="274"/>
      <c r="B8" s="275"/>
      <c r="C8" s="222">
        <v>113</v>
      </c>
      <c r="D8" s="238"/>
      <c r="E8" s="238">
        <v>1</v>
      </c>
      <c r="F8" s="17" t="s">
        <v>1266</v>
      </c>
      <c r="G8" s="165">
        <v>0</v>
      </c>
      <c r="H8" s="165">
        <v>1</v>
      </c>
      <c r="I8" s="165">
        <v>8</v>
      </c>
      <c r="J8" s="174">
        <v>0</v>
      </c>
      <c r="K8" s="174">
        <v>4</v>
      </c>
      <c r="L8" s="174">
        <v>0</v>
      </c>
      <c r="M8" s="225"/>
      <c r="N8" s="222"/>
      <c r="O8" s="174" t="s">
        <v>1265</v>
      </c>
    </row>
    <row r="9" spans="1:15" ht="30">
      <c r="A9" s="274"/>
      <c r="B9" s="275"/>
      <c r="C9" s="268">
        <v>114</v>
      </c>
      <c r="D9" s="242"/>
      <c r="E9" s="242">
        <v>1</v>
      </c>
      <c r="F9" s="11" t="s">
        <v>1267</v>
      </c>
      <c r="G9" s="217">
        <v>0</v>
      </c>
      <c r="H9" s="217">
        <v>1</v>
      </c>
      <c r="I9" s="217">
        <v>8</v>
      </c>
      <c r="J9" s="217">
        <v>0</v>
      </c>
      <c r="K9" s="217">
        <v>149</v>
      </c>
      <c r="L9" s="217">
        <v>0</v>
      </c>
      <c r="M9" s="242"/>
      <c r="N9" s="216"/>
      <c r="O9" s="218"/>
    </row>
    <row r="10" spans="1:15" ht="30">
      <c r="A10" s="274"/>
      <c r="B10" s="275"/>
      <c r="C10" s="269"/>
      <c r="D10" s="242"/>
      <c r="E10" s="242"/>
      <c r="F10" s="243" t="s">
        <v>1268</v>
      </c>
      <c r="G10" s="217"/>
      <c r="H10" s="217"/>
      <c r="I10" s="217"/>
      <c r="J10" s="217"/>
      <c r="K10" s="217"/>
      <c r="L10" s="217"/>
      <c r="M10" s="234"/>
      <c r="N10" s="246"/>
      <c r="O10" s="218" t="s">
        <v>1269</v>
      </c>
    </row>
    <row r="11" spans="1:15" ht="30">
      <c r="A11" s="274"/>
      <c r="B11" s="275"/>
      <c r="C11" s="269"/>
      <c r="D11" s="242"/>
      <c r="E11" s="242"/>
      <c r="F11" s="243" t="s">
        <v>1270</v>
      </c>
      <c r="G11" s="217"/>
      <c r="H11" s="217"/>
      <c r="I11" s="217"/>
      <c r="J11" s="217"/>
      <c r="K11" s="217"/>
      <c r="L11" s="217"/>
      <c r="M11" s="234"/>
      <c r="N11" s="246"/>
      <c r="O11" s="218" t="s">
        <v>1271</v>
      </c>
    </row>
    <row r="12" spans="1:15" ht="30">
      <c r="A12" s="274"/>
      <c r="B12" s="275"/>
      <c r="C12" s="269"/>
      <c r="D12" s="242"/>
      <c r="E12" s="242"/>
      <c r="F12" s="243" t="s">
        <v>1272</v>
      </c>
      <c r="G12" s="217"/>
      <c r="H12" s="217"/>
      <c r="I12" s="217"/>
      <c r="J12" s="217"/>
      <c r="K12" s="217"/>
      <c r="L12" s="217"/>
      <c r="M12" s="234"/>
      <c r="N12" s="246"/>
      <c r="O12" s="218" t="s">
        <v>1273</v>
      </c>
    </row>
    <row r="13" spans="1:15">
      <c r="A13" s="274"/>
      <c r="B13" s="275"/>
      <c r="C13" s="270"/>
      <c r="D13" s="242"/>
      <c r="E13" s="242"/>
      <c r="F13" s="243" t="s">
        <v>1242</v>
      </c>
      <c r="G13" s="217"/>
      <c r="H13" s="217"/>
      <c r="I13" s="217"/>
      <c r="J13" s="217"/>
      <c r="K13" s="217"/>
      <c r="L13" s="217"/>
      <c r="M13" s="234"/>
      <c r="N13" s="246"/>
      <c r="O13" s="218" t="s">
        <v>886</v>
      </c>
    </row>
    <row r="14" spans="1:15" ht="30">
      <c r="A14" s="274"/>
      <c r="B14" s="275"/>
      <c r="C14" s="265">
        <v>115</v>
      </c>
      <c r="D14" s="238"/>
      <c r="E14" s="238">
        <v>1</v>
      </c>
      <c r="F14" s="17" t="s">
        <v>1274</v>
      </c>
      <c r="G14" s="220">
        <v>2</v>
      </c>
      <c r="H14" s="220">
        <v>4</v>
      </c>
      <c r="I14" s="220">
        <v>28</v>
      </c>
      <c r="J14" s="220">
        <v>0</v>
      </c>
      <c r="K14" s="220">
        <v>1231</v>
      </c>
      <c r="L14" s="220">
        <v>0</v>
      </c>
      <c r="M14" s="225"/>
      <c r="N14" s="222"/>
      <c r="O14" s="174"/>
    </row>
    <row r="15" spans="1:15">
      <c r="A15" s="274"/>
      <c r="B15" s="275"/>
      <c r="C15" s="266"/>
      <c r="D15" s="238"/>
      <c r="E15" s="238">
        <v>2</v>
      </c>
      <c r="F15" s="20" t="s">
        <v>855</v>
      </c>
      <c r="G15" s="220">
        <v>0</v>
      </c>
      <c r="H15" s="220">
        <v>2</v>
      </c>
      <c r="I15" s="220">
        <v>12</v>
      </c>
      <c r="J15" s="221">
        <v>0</v>
      </c>
      <c r="K15" s="221">
        <v>563</v>
      </c>
      <c r="L15" s="221">
        <v>0</v>
      </c>
      <c r="M15" s="238"/>
      <c r="N15" s="165"/>
      <c r="O15" s="165" t="s">
        <v>1275</v>
      </c>
    </row>
    <row r="16" spans="1:15" ht="30">
      <c r="A16" s="274"/>
      <c r="B16" s="275"/>
      <c r="C16" s="266"/>
      <c r="D16" s="238"/>
      <c r="E16" s="238">
        <v>2</v>
      </c>
      <c r="F16" s="20" t="s">
        <v>721</v>
      </c>
      <c r="G16" s="220">
        <v>3</v>
      </c>
      <c r="H16" s="220">
        <v>4</v>
      </c>
      <c r="I16" s="220">
        <v>51</v>
      </c>
      <c r="J16" s="221">
        <v>0</v>
      </c>
      <c r="K16" s="221">
        <v>2188</v>
      </c>
      <c r="L16" s="221">
        <v>0</v>
      </c>
      <c r="M16" s="238"/>
      <c r="N16" s="165"/>
      <c r="O16" s="174" t="s">
        <v>1276</v>
      </c>
    </row>
    <row r="17" spans="1:15">
      <c r="A17" s="274"/>
      <c r="B17" s="275"/>
      <c r="C17" s="266"/>
      <c r="D17" s="238"/>
      <c r="E17" s="238"/>
      <c r="F17" s="53" t="s">
        <v>1277</v>
      </c>
      <c r="G17" s="220"/>
      <c r="H17" s="220"/>
      <c r="I17" s="220"/>
      <c r="J17" s="220"/>
      <c r="K17" s="220"/>
      <c r="L17" s="220"/>
      <c r="M17" s="225"/>
      <c r="N17" s="222"/>
      <c r="O17" s="174" t="s">
        <v>1278</v>
      </c>
    </row>
    <row r="18" spans="1:15">
      <c r="A18" s="274"/>
      <c r="B18" s="275"/>
      <c r="C18" s="266"/>
      <c r="D18" s="238"/>
      <c r="E18" s="238"/>
      <c r="F18" s="53" t="s">
        <v>1279</v>
      </c>
      <c r="G18" s="220"/>
      <c r="H18" s="220"/>
      <c r="I18" s="220"/>
      <c r="J18" s="220"/>
      <c r="K18" s="220"/>
      <c r="L18" s="220"/>
      <c r="M18" s="225"/>
      <c r="N18" s="222"/>
      <c r="O18" s="174" t="s">
        <v>1280</v>
      </c>
    </row>
    <row r="19" spans="1:15" ht="45">
      <c r="A19" s="274"/>
      <c r="B19" s="275"/>
      <c r="C19" s="266"/>
      <c r="D19" s="238"/>
      <c r="E19" s="238"/>
      <c r="F19" s="53" t="s">
        <v>1281</v>
      </c>
      <c r="G19" s="220"/>
      <c r="H19" s="220"/>
      <c r="I19" s="220"/>
      <c r="J19" s="220"/>
      <c r="K19" s="220"/>
      <c r="L19" s="220"/>
      <c r="M19" s="225"/>
      <c r="N19" s="222"/>
      <c r="O19" s="174" t="s">
        <v>1282</v>
      </c>
    </row>
    <row r="20" spans="1:15">
      <c r="A20" s="274"/>
      <c r="B20" s="275"/>
      <c r="C20" s="266"/>
      <c r="D20" s="238"/>
      <c r="E20" s="238"/>
      <c r="F20" s="53" t="s">
        <v>1283</v>
      </c>
      <c r="G20" s="220"/>
      <c r="H20" s="220"/>
      <c r="I20" s="220"/>
      <c r="J20" s="220"/>
      <c r="K20" s="220"/>
      <c r="L20" s="220"/>
      <c r="M20" s="225"/>
      <c r="N20" s="222"/>
      <c r="O20" s="174" t="s">
        <v>1184</v>
      </c>
    </row>
    <row r="21" spans="1:15">
      <c r="A21" s="274"/>
      <c r="B21" s="275"/>
      <c r="C21" s="266"/>
      <c r="D21" s="238"/>
      <c r="E21" s="238"/>
      <c r="F21" s="53" t="s">
        <v>1284</v>
      </c>
      <c r="G21" s="220"/>
      <c r="H21" s="220"/>
      <c r="I21" s="220"/>
      <c r="J21" s="220"/>
      <c r="K21" s="220"/>
      <c r="L21" s="220"/>
      <c r="M21" s="225"/>
      <c r="N21" s="222"/>
      <c r="O21" s="174" t="s">
        <v>1285</v>
      </c>
    </row>
    <row r="22" spans="1:15">
      <c r="A22" s="274"/>
      <c r="B22" s="275"/>
      <c r="C22" s="267"/>
      <c r="D22" s="238"/>
      <c r="E22" s="238"/>
      <c r="F22" s="53" t="s">
        <v>1286</v>
      </c>
      <c r="G22" s="220"/>
      <c r="H22" s="220"/>
      <c r="I22" s="220"/>
      <c r="J22" s="220"/>
      <c r="K22" s="220"/>
      <c r="L22" s="220"/>
      <c r="M22" s="225"/>
      <c r="N22" s="222"/>
      <c r="O22" s="174" t="s">
        <v>886</v>
      </c>
    </row>
    <row r="23" spans="1:15">
      <c r="A23" s="274"/>
      <c r="B23" s="275"/>
      <c r="C23" s="268">
        <v>116</v>
      </c>
      <c r="D23" s="242"/>
      <c r="E23" s="242">
        <v>1</v>
      </c>
      <c r="F23" s="11" t="s">
        <v>1287</v>
      </c>
      <c r="G23" s="216">
        <v>3</v>
      </c>
      <c r="H23" s="216">
        <v>6</v>
      </c>
      <c r="I23" s="216">
        <v>38</v>
      </c>
      <c r="J23" s="216">
        <v>0</v>
      </c>
      <c r="K23" s="216">
        <v>1122</v>
      </c>
      <c r="L23" s="216">
        <v>0</v>
      </c>
      <c r="M23" s="242"/>
      <c r="N23" s="242"/>
      <c r="O23" s="218"/>
    </row>
    <row r="24" spans="1:15" ht="30">
      <c r="A24" s="274"/>
      <c r="B24" s="275"/>
      <c r="C24" s="269"/>
      <c r="D24" s="242">
        <v>12.116</v>
      </c>
      <c r="E24" s="242">
        <v>2</v>
      </c>
      <c r="F24" s="11" t="s">
        <v>1288</v>
      </c>
      <c r="G24" s="216">
        <v>0</v>
      </c>
      <c r="H24" s="216">
        <v>18</v>
      </c>
      <c r="I24" s="216">
        <v>134</v>
      </c>
      <c r="J24" s="216">
        <v>1</v>
      </c>
      <c r="K24" s="216">
        <v>3539</v>
      </c>
      <c r="L24" s="216">
        <v>9</v>
      </c>
      <c r="M24" s="242"/>
      <c r="N24" s="242"/>
      <c r="O24" s="218"/>
    </row>
    <row r="25" spans="1:15" ht="30">
      <c r="A25" s="274"/>
      <c r="B25" s="275"/>
      <c r="C25" s="269"/>
      <c r="D25" s="242"/>
      <c r="E25" s="242"/>
      <c r="F25" s="243" t="s">
        <v>1289</v>
      </c>
      <c r="G25" s="216"/>
      <c r="H25" s="216"/>
      <c r="I25" s="216"/>
      <c r="J25" s="216"/>
      <c r="K25" s="216"/>
      <c r="L25" s="216"/>
      <c r="M25" s="242"/>
      <c r="N25" s="242"/>
      <c r="O25" s="218" t="s">
        <v>1290</v>
      </c>
    </row>
    <row r="26" spans="1:15" ht="30">
      <c r="A26" s="274"/>
      <c r="B26" s="275"/>
      <c r="C26" s="269"/>
      <c r="D26" s="242"/>
      <c r="E26" s="242"/>
      <c r="F26" s="243" t="s">
        <v>1291</v>
      </c>
      <c r="G26" s="216"/>
      <c r="H26" s="216"/>
      <c r="I26" s="216"/>
      <c r="J26" s="216"/>
      <c r="K26" s="216"/>
      <c r="L26" s="216"/>
      <c r="M26" s="242"/>
      <c r="N26" s="242"/>
      <c r="O26" s="218" t="s">
        <v>1292</v>
      </c>
    </row>
    <row r="27" spans="1:15" ht="30">
      <c r="A27" s="274"/>
      <c r="B27" s="275"/>
      <c r="C27" s="265">
        <v>117</v>
      </c>
      <c r="D27" s="238"/>
      <c r="E27" s="238">
        <v>1</v>
      </c>
      <c r="F27" s="5" t="s">
        <v>1293</v>
      </c>
      <c r="G27" s="165">
        <v>2</v>
      </c>
      <c r="H27" s="165">
        <v>5</v>
      </c>
      <c r="I27" s="165">
        <v>51</v>
      </c>
      <c r="J27" s="165">
        <v>1</v>
      </c>
      <c r="K27" s="165">
        <v>1160</v>
      </c>
      <c r="L27" s="165">
        <v>0</v>
      </c>
      <c r="M27" s="238"/>
      <c r="N27" s="238"/>
      <c r="O27" s="174"/>
    </row>
    <row r="28" spans="1:15">
      <c r="A28" s="274"/>
      <c r="B28" s="275"/>
      <c r="C28" s="266"/>
      <c r="D28" s="238">
        <v>8.7899999999999991</v>
      </c>
      <c r="E28" s="238">
        <v>2</v>
      </c>
      <c r="F28" s="17" t="s">
        <v>1258</v>
      </c>
      <c r="G28" s="221">
        <v>0</v>
      </c>
      <c r="H28" s="221">
        <v>3</v>
      </c>
      <c r="I28" s="221">
        <v>32</v>
      </c>
      <c r="J28" s="220">
        <v>0</v>
      </c>
      <c r="K28" s="220">
        <v>1594</v>
      </c>
      <c r="L28" s="220">
        <v>0</v>
      </c>
      <c r="M28" s="238"/>
      <c r="N28" s="238"/>
      <c r="O28" s="174" t="s">
        <v>1147</v>
      </c>
    </row>
    <row r="29" spans="1:15" ht="30">
      <c r="A29" s="274"/>
      <c r="B29" s="275"/>
      <c r="C29" s="266"/>
      <c r="D29" s="238">
        <v>12.116</v>
      </c>
      <c r="E29" s="238">
        <v>2</v>
      </c>
      <c r="F29" s="20" t="s">
        <v>1294</v>
      </c>
      <c r="G29" s="165">
        <v>0</v>
      </c>
      <c r="H29" s="165">
        <v>18</v>
      </c>
      <c r="I29" s="165">
        <v>134</v>
      </c>
      <c r="J29" s="165">
        <v>1</v>
      </c>
      <c r="K29" s="165">
        <v>3539</v>
      </c>
      <c r="L29" s="165">
        <v>9</v>
      </c>
      <c r="M29" s="238"/>
      <c r="N29" s="238"/>
      <c r="O29" s="174" t="s">
        <v>1295</v>
      </c>
    </row>
    <row r="30" spans="1:15">
      <c r="A30" s="274"/>
      <c r="B30" s="275"/>
      <c r="C30" s="266"/>
      <c r="D30" s="238"/>
      <c r="E30" s="238"/>
      <c r="F30" s="53" t="s">
        <v>1220</v>
      </c>
      <c r="G30" s="221"/>
      <c r="H30" s="221"/>
      <c r="I30" s="221"/>
      <c r="J30" s="220"/>
      <c r="K30" s="220"/>
      <c r="L30" s="220"/>
      <c r="M30" s="238"/>
      <c r="N30" s="238"/>
      <c r="O30" s="174" t="s">
        <v>1296</v>
      </c>
    </row>
    <row r="31" spans="1:15" ht="30">
      <c r="A31" s="274"/>
      <c r="B31" s="275"/>
      <c r="C31" s="266"/>
      <c r="D31" s="238"/>
      <c r="E31" s="238"/>
      <c r="F31" s="20" t="s">
        <v>721</v>
      </c>
      <c r="G31" s="221">
        <v>3</v>
      </c>
      <c r="H31" s="221">
        <v>4</v>
      </c>
      <c r="I31" s="221">
        <v>51</v>
      </c>
      <c r="J31" s="220">
        <v>0</v>
      </c>
      <c r="K31" s="220">
        <v>2188</v>
      </c>
      <c r="L31" s="220">
        <v>0</v>
      </c>
      <c r="M31" s="238"/>
      <c r="N31" s="238"/>
      <c r="O31" s="174" t="s">
        <v>1297</v>
      </c>
    </row>
    <row r="32" spans="1:15" ht="30">
      <c r="A32" s="274"/>
      <c r="B32" s="275"/>
      <c r="C32" s="266"/>
      <c r="D32" s="238"/>
      <c r="E32" s="238"/>
      <c r="F32" s="53" t="s">
        <v>1298</v>
      </c>
      <c r="G32" s="221"/>
      <c r="H32" s="221"/>
      <c r="I32" s="221"/>
      <c r="J32" s="220"/>
      <c r="K32" s="220"/>
      <c r="L32" s="220"/>
      <c r="M32" s="238"/>
      <c r="N32" s="238"/>
      <c r="O32" s="174" t="s">
        <v>1299</v>
      </c>
    </row>
    <row r="33" spans="1:15">
      <c r="A33" s="274"/>
      <c r="B33" s="275"/>
      <c r="C33" s="266"/>
      <c r="D33" s="238"/>
      <c r="E33" s="238"/>
      <c r="F33" s="53" t="s">
        <v>1300</v>
      </c>
      <c r="G33" s="221"/>
      <c r="H33" s="221"/>
      <c r="I33" s="221"/>
      <c r="J33" s="220"/>
      <c r="K33" s="220"/>
      <c r="L33" s="220"/>
      <c r="M33" s="238"/>
      <c r="N33" s="238"/>
      <c r="O33" s="174" t="s">
        <v>1301</v>
      </c>
    </row>
    <row r="34" spans="1:15" ht="30">
      <c r="A34" s="274"/>
      <c r="B34" s="275"/>
      <c r="C34" s="266"/>
      <c r="D34" s="238"/>
      <c r="E34" s="238"/>
      <c r="F34" s="53" t="s">
        <v>1302</v>
      </c>
      <c r="G34" s="221"/>
      <c r="H34" s="221"/>
      <c r="I34" s="221"/>
      <c r="J34" s="220"/>
      <c r="K34" s="220"/>
      <c r="L34" s="220"/>
      <c r="M34" s="238"/>
      <c r="N34" s="238"/>
      <c r="O34" s="174" t="s">
        <v>1303</v>
      </c>
    </row>
    <row r="35" spans="1:15" ht="30">
      <c r="A35" s="274"/>
      <c r="B35" s="275"/>
      <c r="C35" s="266"/>
      <c r="D35" s="238"/>
      <c r="E35" s="238"/>
      <c r="F35" s="53" t="s">
        <v>868</v>
      </c>
      <c r="G35" s="221"/>
      <c r="H35" s="221"/>
      <c r="I35" s="221"/>
      <c r="J35" s="220"/>
      <c r="K35" s="220"/>
      <c r="L35" s="220"/>
      <c r="M35" s="238"/>
      <c r="N35" s="238"/>
      <c r="O35" s="174" t="s">
        <v>1304</v>
      </c>
    </row>
    <row r="36" spans="1:15" ht="30">
      <c r="A36" s="274"/>
      <c r="B36" s="275"/>
      <c r="C36" s="266"/>
      <c r="D36" s="238"/>
      <c r="E36" s="238"/>
      <c r="F36" s="53" t="s">
        <v>1305</v>
      </c>
      <c r="G36" s="221"/>
      <c r="H36" s="221"/>
      <c r="I36" s="221"/>
      <c r="J36" s="220"/>
      <c r="K36" s="220"/>
      <c r="L36" s="220"/>
      <c r="M36" s="238"/>
      <c r="N36" s="238"/>
      <c r="O36" s="174" t="s">
        <v>1306</v>
      </c>
    </row>
    <row r="37" spans="1:15" ht="30">
      <c r="A37" s="274"/>
      <c r="B37" s="275"/>
      <c r="C37" s="268">
        <v>118</v>
      </c>
      <c r="D37" s="242"/>
      <c r="E37" s="242">
        <v>1</v>
      </c>
      <c r="F37" s="11" t="s">
        <v>1294</v>
      </c>
      <c r="G37" s="216">
        <v>0</v>
      </c>
      <c r="H37" s="216">
        <v>18</v>
      </c>
      <c r="I37" s="216">
        <v>134</v>
      </c>
      <c r="J37" s="216">
        <v>1</v>
      </c>
      <c r="K37" s="216">
        <v>3539</v>
      </c>
      <c r="L37" s="216">
        <v>9</v>
      </c>
      <c r="M37" s="216"/>
      <c r="N37" s="216"/>
      <c r="O37" s="218"/>
    </row>
    <row r="38" spans="1:15" ht="30">
      <c r="A38" s="274"/>
      <c r="B38" s="275"/>
      <c r="C38" s="269"/>
      <c r="D38" s="242"/>
      <c r="E38" s="242">
        <v>2</v>
      </c>
      <c r="F38" s="11" t="s">
        <v>1294</v>
      </c>
      <c r="G38" s="216">
        <v>0</v>
      </c>
      <c r="H38" s="216">
        <v>18</v>
      </c>
      <c r="I38" s="216">
        <v>134</v>
      </c>
      <c r="J38" s="216">
        <v>1</v>
      </c>
      <c r="K38" s="216">
        <v>3539</v>
      </c>
      <c r="L38" s="216">
        <v>9</v>
      </c>
      <c r="M38" s="216"/>
      <c r="N38" s="216"/>
      <c r="O38" s="218" t="s">
        <v>1307</v>
      </c>
    </row>
    <row r="39" spans="1:15">
      <c r="A39" s="274"/>
      <c r="B39" s="275"/>
      <c r="C39" s="269"/>
      <c r="D39" s="242">
        <v>15.138</v>
      </c>
      <c r="E39" s="242">
        <v>2</v>
      </c>
      <c r="F39" s="11" t="s">
        <v>85</v>
      </c>
      <c r="G39" s="216">
        <v>5</v>
      </c>
      <c r="H39" s="216">
        <v>5</v>
      </c>
      <c r="I39" s="216">
        <v>32</v>
      </c>
      <c r="J39" s="216">
        <v>0</v>
      </c>
      <c r="K39" s="216">
        <v>984</v>
      </c>
      <c r="L39" s="216">
        <v>0</v>
      </c>
      <c r="M39" s="216"/>
      <c r="N39" s="216"/>
      <c r="O39" s="218"/>
    </row>
    <row r="40" spans="1:15">
      <c r="A40" s="274"/>
      <c r="B40" s="275"/>
      <c r="C40" s="269"/>
      <c r="D40" s="242"/>
      <c r="E40" s="242">
        <v>2</v>
      </c>
      <c r="F40" s="11" t="s">
        <v>721</v>
      </c>
      <c r="G40" s="216">
        <v>3</v>
      </c>
      <c r="H40" s="216">
        <v>4</v>
      </c>
      <c r="I40" s="216">
        <v>51</v>
      </c>
      <c r="J40" s="216">
        <v>0</v>
      </c>
      <c r="K40" s="216">
        <v>2188</v>
      </c>
      <c r="L40" s="216">
        <v>0</v>
      </c>
      <c r="M40" s="216"/>
      <c r="N40" s="216"/>
      <c r="O40" s="218"/>
    </row>
    <row r="41" spans="1:15" ht="30">
      <c r="A41" s="274"/>
      <c r="B41" s="275"/>
      <c r="C41" s="269"/>
      <c r="D41" s="242">
        <v>20.175000000000001</v>
      </c>
      <c r="E41" s="242">
        <v>2</v>
      </c>
      <c r="F41" s="11" t="s">
        <v>774</v>
      </c>
      <c r="G41" s="217">
        <v>0</v>
      </c>
      <c r="H41" s="217">
        <v>5</v>
      </c>
      <c r="I41" s="217">
        <v>37</v>
      </c>
      <c r="J41" s="217">
        <v>1</v>
      </c>
      <c r="K41" s="217">
        <v>1447</v>
      </c>
      <c r="L41" s="217">
        <v>5</v>
      </c>
      <c r="M41" s="216"/>
      <c r="N41" s="216"/>
      <c r="O41" s="218"/>
    </row>
    <row r="42" spans="1:15" ht="30">
      <c r="A42" s="274"/>
      <c r="B42" s="275"/>
      <c r="C42" s="269"/>
      <c r="D42" s="242">
        <v>20.175000000000001</v>
      </c>
      <c r="E42" s="242">
        <v>3</v>
      </c>
      <c r="F42" s="11" t="s">
        <v>775</v>
      </c>
      <c r="G42" s="217">
        <v>0</v>
      </c>
      <c r="H42" s="217">
        <v>2</v>
      </c>
      <c r="I42" s="217">
        <v>3</v>
      </c>
      <c r="J42" s="217">
        <v>0</v>
      </c>
      <c r="K42" s="217">
        <v>33</v>
      </c>
      <c r="L42" s="217">
        <v>0</v>
      </c>
      <c r="M42" s="216"/>
      <c r="N42" s="216"/>
      <c r="O42" s="218"/>
    </row>
    <row r="43" spans="1:15" ht="30">
      <c r="A43" s="274"/>
      <c r="B43" s="275"/>
      <c r="C43" s="269"/>
      <c r="D43" s="242"/>
      <c r="E43" s="242"/>
      <c r="F43" s="243" t="s">
        <v>1308</v>
      </c>
      <c r="G43" s="217"/>
      <c r="H43" s="217"/>
      <c r="I43" s="217"/>
      <c r="J43" s="217"/>
      <c r="K43" s="217"/>
      <c r="L43" s="217"/>
      <c r="M43" s="216"/>
      <c r="N43" s="216"/>
      <c r="O43" s="218" t="s">
        <v>1309</v>
      </c>
    </row>
    <row r="44" spans="1:15" ht="30">
      <c r="A44" s="274"/>
      <c r="B44" s="275"/>
      <c r="C44" s="269"/>
      <c r="D44" s="242"/>
      <c r="E44" s="242"/>
      <c r="F44" s="53" t="s">
        <v>1310</v>
      </c>
      <c r="G44" s="221"/>
      <c r="H44" s="221"/>
      <c r="I44" s="221"/>
      <c r="J44" s="220"/>
      <c r="K44" s="220"/>
      <c r="L44" s="220"/>
      <c r="M44" s="238"/>
      <c r="N44" s="238"/>
      <c r="O44" s="174" t="s">
        <v>1311</v>
      </c>
    </row>
    <row r="45" spans="1:15" ht="30">
      <c r="A45" s="274"/>
      <c r="B45" s="275"/>
      <c r="C45" s="269"/>
      <c r="D45" s="242"/>
      <c r="E45" s="242"/>
      <c r="F45" s="53" t="s">
        <v>1312</v>
      </c>
      <c r="G45" s="221"/>
      <c r="H45" s="221"/>
      <c r="I45" s="221"/>
      <c r="J45" s="220"/>
      <c r="K45" s="220"/>
      <c r="L45" s="220"/>
      <c r="M45" s="238"/>
      <c r="N45" s="238"/>
      <c r="O45" s="174" t="s">
        <v>1313</v>
      </c>
    </row>
    <row r="46" spans="1:15" ht="30">
      <c r="A46" s="274"/>
      <c r="B46" s="275"/>
      <c r="C46" s="269"/>
      <c r="D46" s="242"/>
      <c r="E46" s="242"/>
      <c r="F46" s="53" t="s">
        <v>1314</v>
      </c>
      <c r="G46" s="221"/>
      <c r="H46" s="221"/>
      <c r="I46" s="221"/>
      <c r="J46" s="220"/>
      <c r="K46" s="220"/>
      <c r="L46" s="220"/>
      <c r="M46" s="238"/>
      <c r="N46" s="238"/>
      <c r="O46" s="174" t="s">
        <v>1299</v>
      </c>
    </row>
    <row r="47" spans="1:15">
      <c r="A47" s="274"/>
      <c r="B47" s="275"/>
      <c r="C47" s="270"/>
      <c r="D47" s="242"/>
      <c r="E47" s="242"/>
      <c r="F47" s="53" t="s">
        <v>1315</v>
      </c>
      <c r="G47" s="221"/>
      <c r="H47" s="221"/>
      <c r="I47" s="221"/>
      <c r="J47" s="220"/>
      <c r="K47" s="220"/>
      <c r="L47" s="220"/>
      <c r="M47" s="238"/>
      <c r="N47" s="238"/>
      <c r="O47" s="174" t="s">
        <v>1301</v>
      </c>
    </row>
    <row r="48" spans="1:15" ht="30">
      <c r="A48" s="274"/>
      <c r="B48" s="275"/>
      <c r="C48" s="265">
        <v>119</v>
      </c>
      <c r="D48" s="238"/>
      <c r="E48" s="238">
        <v>1</v>
      </c>
      <c r="F48" s="17" t="s">
        <v>1316</v>
      </c>
      <c r="G48" s="165">
        <v>0</v>
      </c>
      <c r="H48" s="165">
        <v>2</v>
      </c>
      <c r="I48" s="165">
        <v>11</v>
      </c>
      <c r="J48" s="165">
        <v>0</v>
      </c>
      <c r="K48" s="165">
        <v>542</v>
      </c>
      <c r="L48" s="165">
        <v>0</v>
      </c>
      <c r="M48" s="165"/>
      <c r="N48" s="165"/>
      <c r="O48" s="174"/>
    </row>
    <row r="49" spans="1:15">
      <c r="A49" s="274"/>
      <c r="B49" s="275"/>
      <c r="C49" s="266"/>
      <c r="D49" s="238">
        <v>8.7899999999999991</v>
      </c>
      <c r="E49" s="238">
        <v>2</v>
      </c>
      <c r="F49" s="17" t="s">
        <v>1258</v>
      </c>
      <c r="G49" s="221">
        <v>0</v>
      </c>
      <c r="H49" s="221">
        <v>3</v>
      </c>
      <c r="I49" s="221">
        <v>32</v>
      </c>
      <c r="J49" s="220">
        <v>0</v>
      </c>
      <c r="K49" s="220">
        <v>1594</v>
      </c>
      <c r="L49" s="220">
        <v>0</v>
      </c>
      <c r="M49" s="165"/>
      <c r="N49" s="165"/>
      <c r="O49" s="174" t="s">
        <v>1317</v>
      </c>
    </row>
    <row r="50" spans="1:15" ht="30">
      <c r="A50" s="274"/>
      <c r="B50" s="275"/>
      <c r="C50" s="266"/>
      <c r="D50" s="238"/>
      <c r="E50" s="238"/>
      <c r="F50" s="243" t="s">
        <v>740</v>
      </c>
      <c r="G50" s="221"/>
      <c r="H50" s="221"/>
      <c r="I50" s="221"/>
      <c r="J50" s="220"/>
      <c r="K50" s="220"/>
      <c r="L50" s="220"/>
      <c r="M50" s="165"/>
      <c r="N50" s="165"/>
      <c r="O50" s="174" t="s">
        <v>1318</v>
      </c>
    </row>
    <row r="51" spans="1:15" ht="30">
      <c r="A51" s="274"/>
      <c r="B51" s="275"/>
      <c r="C51" s="266"/>
      <c r="D51" s="238"/>
      <c r="E51" s="238"/>
      <c r="F51" s="243" t="s">
        <v>752</v>
      </c>
      <c r="G51" s="221"/>
      <c r="H51" s="221"/>
      <c r="I51" s="221"/>
      <c r="J51" s="220"/>
      <c r="K51" s="220"/>
      <c r="L51" s="220"/>
      <c r="M51" s="165"/>
      <c r="N51" s="165"/>
      <c r="O51" s="174" t="s">
        <v>1319</v>
      </c>
    </row>
    <row r="52" spans="1:15" ht="30">
      <c r="A52" s="274"/>
      <c r="B52" s="275"/>
      <c r="C52" s="267"/>
      <c r="D52" s="238"/>
      <c r="E52" s="238"/>
      <c r="F52" s="243" t="s">
        <v>1320</v>
      </c>
      <c r="G52" s="221"/>
      <c r="H52" s="221"/>
      <c r="I52" s="221"/>
      <c r="J52" s="220"/>
      <c r="K52" s="220"/>
      <c r="L52" s="220"/>
      <c r="M52" s="165"/>
      <c r="N52" s="165"/>
      <c r="O52" s="174" t="s">
        <v>1321</v>
      </c>
    </row>
    <row r="53" spans="1:15">
      <c r="A53" s="274"/>
      <c r="B53" s="275"/>
      <c r="C53" s="234">
        <v>120</v>
      </c>
      <c r="D53" s="242"/>
      <c r="E53" s="242">
        <v>1</v>
      </c>
      <c r="F53" s="26" t="s">
        <v>1322</v>
      </c>
      <c r="G53" s="216">
        <v>0</v>
      </c>
      <c r="H53" s="216">
        <v>3</v>
      </c>
      <c r="I53" s="216">
        <v>7</v>
      </c>
      <c r="J53" s="216">
        <v>0</v>
      </c>
      <c r="K53" s="216">
        <v>66</v>
      </c>
      <c r="L53" s="216">
        <v>0</v>
      </c>
      <c r="M53" s="216"/>
      <c r="N53" s="216"/>
      <c r="O53" s="218"/>
    </row>
    <row r="54" spans="1:15">
      <c r="A54" s="274"/>
      <c r="B54" s="275"/>
      <c r="C54" s="265">
        <v>121</v>
      </c>
      <c r="D54" s="238"/>
      <c r="E54" s="238">
        <v>1</v>
      </c>
      <c r="F54" s="31" t="s">
        <v>1323</v>
      </c>
      <c r="G54" s="165">
        <v>6</v>
      </c>
      <c r="H54" s="165">
        <v>12</v>
      </c>
      <c r="I54" s="165">
        <v>109</v>
      </c>
      <c r="J54" s="165">
        <v>1</v>
      </c>
      <c r="K54" s="165">
        <v>4472</v>
      </c>
      <c r="L54" s="165">
        <v>0</v>
      </c>
      <c r="M54" s="165"/>
      <c r="N54" s="165"/>
      <c r="O54" s="174"/>
    </row>
    <row r="55" spans="1:15">
      <c r="A55" s="274"/>
      <c r="B55" s="275"/>
      <c r="C55" s="266"/>
      <c r="D55" s="238"/>
      <c r="E55" s="238">
        <v>2</v>
      </c>
      <c r="F55" s="31" t="s">
        <v>679</v>
      </c>
      <c r="G55" s="165">
        <v>3</v>
      </c>
      <c r="H55" s="165">
        <v>4</v>
      </c>
      <c r="I55" s="165">
        <v>51</v>
      </c>
      <c r="J55" s="165">
        <v>0</v>
      </c>
      <c r="K55" s="165">
        <v>2188</v>
      </c>
      <c r="L55" s="165">
        <v>0</v>
      </c>
      <c r="M55" s="165"/>
      <c r="N55" s="165"/>
      <c r="O55" s="174" t="s">
        <v>1324</v>
      </c>
    </row>
    <row r="56" spans="1:15" ht="30">
      <c r="A56" s="274"/>
      <c r="B56" s="275"/>
      <c r="C56" s="266"/>
      <c r="D56" s="238"/>
      <c r="E56" s="238">
        <v>2</v>
      </c>
      <c r="F56" s="31" t="s">
        <v>314</v>
      </c>
      <c r="G56" s="165">
        <v>0</v>
      </c>
      <c r="H56" s="165">
        <v>2</v>
      </c>
      <c r="I56" s="165">
        <v>8</v>
      </c>
      <c r="J56" s="165">
        <v>0</v>
      </c>
      <c r="K56" s="165">
        <v>0</v>
      </c>
      <c r="L56" s="165">
        <v>0</v>
      </c>
      <c r="M56" s="165"/>
      <c r="N56" s="165"/>
      <c r="O56" s="58" t="s">
        <v>1325</v>
      </c>
    </row>
    <row r="57" spans="1:15">
      <c r="A57" s="274"/>
      <c r="B57" s="275"/>
      <c r="C57" s="266"/>
      <c r="D57" s="238"/>
      <c r="E57" s="238">
        <v>3</v>
      </c>
      <c r="F57" s="243" t="s">
        <v>1320</v>
      </c>
      <c r="G57" s="165"/>
      <c r="H57" s="165"/>
      <c r="I57" s="165"/>
      <c r="J57" s="165"/>
      <c r="K57" s="165"/>
      <c r="L57" s="165"/>
      <c r="M57" s="165"/>
      <c r="N57" s="165"/>
      <c r="O57" s="58" t="s">
        <v>1326</v>
      </c>
    </row>
    <row r="58" spans="1:15" ht="30">
      <c r="A58" s="274"/>
      <c r="B58" s="275"/>
      <c r="C58" s="266"/>
      <c r="D58" s="238"/>
      <c r="E58" s="238">
        <v>3</v>
      </c>
      <c r="F58" s="243" t="s">
        <v>1242</v>
      </c>
      <c r="G58" s="165"/>
      <c r="H58" s="165"/>
      <c r="I58" s="165"/>
      <c r="J58" s="165"/>
      <c r="K58" s="165"/>
      <c r="L58" s="165"/>
      <c r="M58" s="165"/>
      <c r="N58" s="165"/>
      <c r="O58" s="58" t="s">
        <v>1327</v>
      </c>
    </row>
    <row r="59" spans="1:15">
      <c r="A59" s="274"/>
      <c r="B59" s="275"/>
      <c r="C59" s="266"/>
      <c r="D59" s="238">
        <v>4.26</v>
      </c>
      <c r="E59" s="238">
        <v>2</v>
      </c>
      <c r="F59" s="31" t="s">
        <v>93</v>
      </c>
      <c r="G59" s="165">
        <v>24</v>
      </c>
      <c r="H59" s="165">
        <v>64</v>
      </c>
      <c r="I59" s="165">
        <v>162</v>
      </c>
      <c r="J59" s="165">
        <v>0</v>
      </c>
      <c r="K59" s="165">
        <v>8841</v>
      </c>
      <c r="L59" s="165">
        <v>1</v>
      </c>
      <c r="M59" s="165"/>
      <c r="N59" s="165"/>
      <c r="O59" s="174" t="s">
        <v>1147</v>
      </c>
    </row>
    <row r="60" spans="1:15">
      <c r="A60" s="274"/>
      <c r="B60" s="275"/>
      <c r="C60" s="266"/>
      <c r="D60" s="238">
        <v>8.7899999999999991</v>
      </c>
      <c r="E60" s="238">
        <v>2</v>
      </c>
      <c r="F60" s="17" t="s">
        <v>1258</v>
      </c>
      <c r="G60" s="221">
        <v>0</v>
      </c>
      <c r="H60" s="221">
        <v>3</v>
      </c>
      <c r="I60" s="221">
        <v>32</v>
      </c>
      <c r="J60" s="220">
        <v>0</v>
      </c>
      <c r="K60" s="220">
        <v>1594</v>
      </c>
      <c r="L60" s="220">
        <v>0</v>
      </c>
      <c r="M60" s="165"/>
      <c r="N60" s="165"/>
      <c r="O60" s="174" t="s">
        <v>1328</v>
      </c>
    </row>
    <row r="61" spans="1:15">
      <c r="A61" s="274"/>
      <c r="B61" s="275"/>
      <c r="C61" s="266"/>
      <c r="D61" s="238"/>
      <c r="E61" s="238"/>
      <c r="F61" s="243" t="s">
        <v>1329</v>
      </c>
      <c r="G61" s="221"/>
      <c r="H61" s="221"/>
      <c r="I61" s="221"/>
      <c r="J61" s="220"/>
      <c r="K61" s="220"/>
      <c r="L61" s="220"/>
      <c r="M61" s="165"/>
      <c r="N61" s="165"/>
      <c r="O61" s="174" t="s">
        <v>1296</v>
      </c>
    </row>
    <row r="62" spans="1:15" ht="30">
      <c r="A62" s="274"/>
      <c r="B62" s="275"/>
      <c r="C62" s="266"/>
      <c r="D62" s="238"/>
      <c r="E62" s="238">
        <v>2</v>
      </c>
      <c r="F62" s="243" t="s">
        <v>1330</v>
      </c>
      <c r="G62" s="221"/>
      <c r="H62" s="221"/>
      <c r="I62" s="221"/>
      <c r="J62" s="220"/>
      <c r="K62" s="220"/>
      <c r="L62" s="220"/>
      <c r="M62" s="165"/>
      <c r="N62" s="165"/>
      <c r="O62" s="174" t="s">
        <v>1331</v>
      </c>
    </row>
    <row r="63" spans="1:15" ht="30">
      <c r="A63" s="274"/>
      <c r="B63" s="275"/>
      <c r="C63" s="266"/>
      <c r="D63" s="238"/>
      <c r="E63" s="238">
        <v>3</v>
      </c>
      <c r="F63" s="243" t="s">
        <v>1332</v>
      </c>
      <c r="G63" s="221"/>
      <c r="H63" s="221"/>
      <c r="I63" s="221"/>
      <c r="J63" s="220"/>
      <c r="K63" s="220"/>
      <c r="L63" s="220"/>
      <c r="M63" s="165"/>
      <c r="N63" s="165"/>
      <c r="O63" s="174" t="s">
        <v>1333</v>
      </c>
    </row>
    <row r="64" spans="1:15" ht="30">
      <c r="A64" s="274"/>
      <c r="B64" s="275"/>
      <c r="C64" s="266"/>
      <c r="D64" s="238"/>
      <c r="E64" s="238">
        <v>3</v>
      </c>
      <c r="F64" s="243" t="s">
        <v>1334</v>
      </c>
      <c r="G64" s="221"/>
      <c r="H64" s="221"/>
      <c r="I64" s="221"/>
      <c r="J64" s="220"/>
      <c r="K64" s="220"/>
      <c r="L64" s="220"/>
      <c r="M64" s="165"/>
      <c r="N64" s="165"/>
      <c r="O64" s="174" t="s">
        <v>1335</v>
      </c>
    </row>
    <row r="65" spans="1:15" ht="30">
      <c r="A65" s="274"/>
      <c r="B65" s="275"/>
      <c r="C65" s="266"/>
      <c r="D65" s="238"/>
      <c r="E65" s="238">
        <v>3</v>
      </c>
      <c r="F65" s="243" t="s">
        <v>1336</v>
      </c>
      <c r="G65" s="221"/>
      <c r="H65" s="221"/>
      <c r="I65" s="221"/>
      <c r="J65" s="220"/>
      <c r="K65" s="220"/>
      <c r="L65" s="220"/>
      <c r="M65" s="165"/>
      <c r="N65" s="165"/>
      <c r="O65" s="174" t="s">
        <v>1337</v>
      </c>
    </row>
    <row r="66" spans="1:15" ht="30">
      <c r="A66" s="274"/>
      <c r="B66" s="275"/>
      <c r="C66" s="266"/>
      <c r="D66" s="238"/>
      <c r="E66" s="238">
        <v>3</v>
      </c>
      <c r="F66" s="243" t="s">
        <v>1338</v>
      </c>
      <c r="G66" s="221"/>
      <c r="H66" s="221"/>
      <c r="I66" s="221"/>
      <c r="J66" s="220"/>
      <c r="K66" s="220"/>
      <c r="L66" s="220"/>
      <c r="M66" s="165"/>
      <c r="N66" s="165"/>
      <c r="O66" s="174" t="s">
        <v>1339</v>
      </c>
    </row>
    <row r="67" spans="1:15" ht="30">
      <c r="A67" s="274"/>
      <c r="B67" s="275"/>
      <c r="C67" s="266"/>
      <c r="D67" s="238"/>
      <c r="E67" s="238"/>
      <c r="F67" s="243" t="s">
        <v>1340</v>
      </c>
      <c r="G67" s="221"/>
      <c r="H67" s="221"/>
      <c r="I67" s="221"/>
      <c r="J67" s="220"/>
      <c r="K67" s="220"/>
      <c r="L67" s="220"/>
      <c r="M67" s="165"/>
      <c r="N67" s="165"/>
      <c r="O67" s="174" t="s">
        <v>1337</v>
      </c>
    </row>
    <row r="68" spans="1:15" ht="30">
      <c r="A68" s="274"/>
      <c r="B68" s="275"/>
      <c r="C68" s="266"/>
      <c r="D68" s="238"/>
      <c r="E68" s="238"/>
      <c r="F68" s="243" t="s">
        <v>1341</v>
      </c>
      <c r="G68" s="221"/>
      <c r="H68" s="221"/>
      <c r="I68" s="221"/>
      <c r="J68" s="220"/>
      <c r="K68" s="220"/>
      <c r="L68" s="220"/>
      <c r="M68" s="165"/>
      <c r="N68" s="165"/>
      <c r="O68" s="174" t="s">
        <v>1342</v>
      </c>
    </row>
    <row r="69" spans="1:15" ht="30">
      <c r="A69" s="274"/>
      <c r="B69" s="275"/>
      <c r="C69" s="266"/>
      <c r="D69" s="238"/>
      <c r="E69" s="238"/>
      <c r="F69" s="243" t="s">
        <v>1343</v>
      </c>
      <c r="G69" s="221"/>
      <c r="H69" s="221"/>
      <c r="I69" s="221"/>
      <c r="J69" s="220"/>
      <c r="K69" s="220"/>
      <c r="L69" s="220"/>
      <c r="M69" s="165"/>
      <c r="N69" s="165"/>
      <c r="O69" s="174" t="s">
        <v>1344</v>
      </c>
    </row>
    <row r="70" spans="1:15">
      <c r="A70" s="274"/>
      <c r="B70" s="275"/>
      <c r="C70" s="268">
        <v>122</v>
      </c>
      <c r="D70" s="242"/>
      <c r="E70" s="242">
        <v>1</v>
      </c>
      <c r="F70" s="26" t="s">
        <v>1345</v>
      </c>
      <c r="G70" s="216">
        <v>0</v>
      </c>
      <c r="H70" s="216">
        <v>0</v>
      </c>
      <c r="I70" s="216">
        <v>1</v>
      </c>
      <c r="J70" s="216">
        <v>0</v>
      </c>
      <c r="K70" s="216">
        <v>0</v>
      </c>
      <c r="L70" s="216">
        <v>0</v>
      </c>
      <c r="M70" s="216"/>
      <c r="N70" s="216"/>
      <c r="O70" s="218"/>
    </row>
    <row r="71" spans="1:15" ht="30">
      <c r="A71" s="274"/>
      <c r="B71" s="275"/>
      <c r="C71" s="269"/>
      <c r="D71" s="242"/>
      <c r="E71" s="242"/>
      <c r="F71" s="233" t="s">
        <v>1226</v>
      </c>
      <c r="G71" s="216"/>
      <c r="H71" s="216"/>
      <c r="I71" s="216"/>
      <c r="J71" s="216"/>
      <c r="K71" s="216"/>
      <c r="L71" s="216"/>
      <c r="M71" s="216"/>
      <c r="N71" s="216"/>
      <c r="O71" s="218" t="s">
        <v>1346</v>
      </c>
    </row>
    <row r="72" spans="1:15" ht="30">
      <c r="A72" s="274"/>
      <c r="B72" s="275"/>
      <c r="C72" s="269"/>
      <c r="D72" s="242"/>
      <c r="E72" s="242"/>
      <c r="F72" s="233" t="s">
        <v>1347</v>
      </c>
      <c r="G72" s="216"/>
      <c r="H72" s="216"/>
      <c r="I72" s="216"/>
      <c r="J72" s="216"/>
      <c r="K72" s="216"/>
      <c r="L72" s="216"/>
      <c r="M72" s="216"/>
      <c r="N72" s="216"/>
      <c r="O72" s="218" t="s">
        <v>1348</v>
      </c>
    </row>
    <row r="73" spans="1:15">
      <c r="A73" s="274"/>
      <c r="B73" s="275"/>
      <c r="C73" s="270"/>
      <c r="D73" s="242"/>
      <c r="E73" s="242"/>
      <c r="F73" s="233" t="s">
        <v>1349</v>
      </c>
      <c r="G73" s="216"/>
      <c r="H73" s="216"/>
      <c r="I73" s="216"/>
      <c r="J73" s="216"/>
      <c r="K73" s="216"/>
      <c r="L73" s="216"/>
      <c r="M73" s="216"/>
      <c r="N73" s="216"/>
      <c r="O73" s="218" t="s">
        <v>1350</v>
      </c>
    </row>
    <row r="74" spans="1:15" ht="30">
      <c r="A74" s="274"/>
      <c r="B74" s="275"/>
      <c r="C74" s="222">
        <v>123</v>
      </c>
      <c r="D74" s="238"/>
      <c r="E74" s="238">
        <v>1</v>
      </c>
      <c r="F74" s="17" t="s">
        <v>1351</v>
      </c>
      <c r="G74" s="165">
        <v>0</v>
      </c>
      <c r="H74" s="165">
        <v>1</v>
      </c>
      <c r="I74" s="165">
        <v>9</v>
      </c>
      <c r="J74" s="165">
        <v>0</v>
      </c>
      <c r="K74" s="165">
        <v>4</v>
      </c>
      <c r="L74" s="165">
        <v>0</v>
      </c>
      <c r="M74" s="165"/>
      <c r="N74" s="165"/>
      <c r="O74" s="174" t="s">
        <v>1265</v>
      </c>
    </row>
    <row r="75" spans="1:15" ht="30">
      <c r="A75" s="274"/>
      <c r="B75" s="275"/>
      <c r="C75" s="234">
        <v>124</v>
      </c>
      <c r="D75" s="242"/>
      <c r="E75" s="242">
        <v>1</v>
      </c>
      <c r="F75" s="11" t="s">
        <v>1352</v>
      </c>
      <c r="G75" s="216">
        <v>0</v>
      </c>
      <c r="H75" s="216">
        <v>1</v>
      </c>
      <c r="I75" s="216">
        <v>9</v>
      </c>
      <c r="J75" s="216">
        <v>0</v>
      </c>
      <c r="K75" s="216">
        <v>4</v>
      </c>
      <c r="L75" s="216">
        <v>0</v>
      </c>
      <c r="M75" s="216"/>
      <c r="N75" s="216"/>
      <c r="O75" s="218" t="s">
        <v>1265</v>
      </c>
    </row>
    <row r="76" spans="1:15" ht="30">
      <c r="A76" s="274"/>
      <c r="B76" s="275"/>
      <c r="C76" s="265">
        <v>125</v>
      </c>
      <c r="D76" s="238"/>
      <c r="E76" s="238">
        <v>1</v>
      </c>
      <c r="F76" s="17" t="s">
        <v>1353</v>
      </c>
      <c r="G76" s="165">
        <v>4</v>
      </c>
      <c r="H76" s="165">
        <v>12</v>
      </c>
      <c r="I76" s="165">
        <v>79</v>
      </c>
      <c r="J76" s="165">
        <v>1</v>
      </c>
      <c r="K76" s="165">
        <v>2466</v>
      </c>
      <c r="L76" s="165">
        <v>0</v>
      </c>
      <c r="M76" s="165"/>
      <c r="N76" s="165"/>
      <c r="O76" s="174"/>
    </row>
    <row r="77" spans="1:15">
      <c r="A77" s="274"/>
      <c r="B77" s="275"/>
      <c r="C77" s="266"/>
      <c r="D77" s="238">
        <v>8.76</v>
      </c>
      <c r="E77" s="238">
        <v>2</v>
      </c>
      <c r="F77" s="31" t="s">
        <v>1354</v>
      </c>
      <c r="G77" s="165">
        <v>0</v>
      </c>
      <c r="H77" s="165">
        <v>0</v>
      </c>
      <c r="I77" s="165">
        <v>46</v>
      </c>
      <c r="J77" s="165">
        <v>0</v>
      </c>
      <c r="K77" s="165">
        <v>529</v>
      </c>
      <c r="L77" s="165">
        <v>0</v>
      </c>
      <c r="M77" s="165"/>
      <c r="N77" s="165"/>
      <c r="O77" s="174" t="s">
        <v>1355</v>
      </c>
    </row>
    <row r="78" spans="1:15" ht="30">
      <c r="A78" s="274"/>
      <c r="B78" s="275"/>
      <c r="C78" s="266"/>
      <c r="D78" s="238"/>
      <c r="E78" s="238"/>
      <c r="F78" s="254" t="s">
        <v>1356</v>
      </c>
      <c r="G78" s="165"/>
      <c r="H78" s="165"/>
      <c r="I78" s="165"/>
      <c r="J78" s="165"/>
      <c r="K78" s="165"/>
      <c r="L78" s="165"/>
      <c r="M78" s="165"/>
      <c r="N78" s="165"/>
      <c r="O78" s="174" t="s">
        <v>1357</v>
      </c>
    </row>
    <row r="79" spans="1:15">
      <c r="A79" s="274"/>
      <c r="B79" s="275"/>
      <c r="C79" s="266"/>
      <c r="D79" s="238"/>
      <c r="E79" s="238"/>
      <c r="F79" s="254" t="s">
        <v>1358</v>
      </c>
      <c r="G79" s="165"/>
      <c r="H79" s="165"/>
      <c r="I79" s="165"/>
      <c r="J79" s="165"/>
      <c r="K79" s="165"/>
      <c r="L79" s="165"/>
      <c r="M79" s="165"/>
      <c r="N79" s="165"/>
      <c r="O79" s="174" t="s">
        <v>1359</v>
      </c>
    </row>
    <row r="80" spans="1:15" ht="30">
      <c r="A80" s="274"/>
      <c r="B80" s="275"/>
      <c r="C80" s="266"/>
      <c r="D80" s="238"/>
      <c r="E80" s="238"/>
      <c r="F80" s="254" t="s">
        <v>1360</v>
      </c>
      <c r="G80" s="165"/>
      <c r="H80" s="165"/>
      <c r="I80" s="165"/>
      <c r="J80" s="165"/>
      <c r="K80" s="165"/>
      <c r="L80" s="165"/>
      <c r="M80" s="165"/>
      <c r="N80" s="165"/>
      <c r="O80" s="174" t="s">
        <v>1361</v>
      </c>
    </row>
    <row r="81" spans="1:15">
      <c r="A81" s="274"/>
      <c r="B81" s="275"/>
      <c r="C81" s="266"/>
      <c r="D81" s="238"/>
      <c r="E81" s="238"/>
      <c r="F81" s="254" t="s">
        <v>1362</v>
      </c>
      <c r="G81" s="165"/>
      <c r="H81" s="165"/>
      <c r="I81" s="165"/>
      <c r="J81" s="165"/>
      <c r="K81" s="165"/>
      <c r="L81" s="165"/>
      <c r="M81" s="165"/>
      <c r="N81" s="165"/>
      <c r="O81" s="174" t="s">
        <v>1363</v>
      </c>
    </row>
    <row r="82" spans="1:15">
      <c r="A82" s="274"/>
      <c r="B82" s="275"/>
      <c r="C82" s="266"/>
      <c r="D82" s="238"/>
      <c r="E82" s="238"/>
      <c r="F82" s="254" t="s">
        <v>1364</v>
      </c>
      <c r="G82" s="165"/>
      <c r="H82" s="165"/>
      <c r="I82" s="165"/>
      <c r="J82" s="165"/>
      <c r="K82" s="165"/>
      <c r="L82" s="165"/>
      <c r="M82" s="165"/>
      <c r="N82" s="165"/>
      <c r="O82" s="174" t="s">
        <v>1365</v>
      </c>
    </row>
    <row r="83" spans="1:15">
      <c r="A83" s="274"/>
      <c r="B83" s="275"/>
      <c r="C83" s="266"/>
      <c r="D83" s="238"/>
      <c r="E83" s="238"/>
      <c r="F83" s="254" t="s">
        <v>1366</v>
      </c>
      <c r="G83" s="165"/>
      <c r="H83" s="165"/>
      <c r="I83" s="165"/>
      <c r="J83" s="165"/>
      <c r="K83" s="165"/>
      <c r="L83" s="165"/>
      <c r="M83" s="165"/>
      <c r="N83" s="165"/>
      <c r="O83" s="174" t="s">
        <v>1367</v>
      </c>
    </row>
    <row r="84" spans="1:15">
      <c r="A84" s="274"/>
      <c r="B84" s="275"/>
      <c r="C84" s="266"/>
      <c r="D84" s="238"/>
      <c r="E84" s="238"/>
      <c r="F84" s="254" t="s">
        <v>1368</v>
      </c>
      <c r="G84" s="165"/>
      <c r="H84" s="165"/>
      <c r="I84" s="165"/>
      <c r="J84" s="165"/>
      <c r="K84" s="165"/>
      <c r="L84" s="165"/>
      <c r="M84" s="165"/>
      <c r="N84" s="165"/>
      <c r="O84" s="174" t="s">
        <v>1367</v>
      </c>
    </row>
    <row r="85" spans="1:15">
      <c r="A85" s="274"/>
      <c r="B85" s="275"/>
      <c r="C85" s="266"/>
      <c r="D85" s="238"/>
      <c r="E85" s="238"/>
      <c r="F85" s="254" t="s">
        <v>1369</v>
      </c>
      <c r="G85" s="165"/>
      <c r="H85" s="165"/>
      <c r="I85" s="165"/>
      <c r="J85" s="165"/>
      <c r="K85" s="165"/>
      <c r="L85" s="165"/>
      <c r="M85" s="165"/>
      <c r="N85" s="165"/>
      <c r="O85" s="174" t="s">
        <v>1367</v>
      </c>
    </row>
    <row r="86" spans="1:15">
      <c r="A86" s="274"/>
      <c r="B86" s="275"/>
      <c r="C86" s="266"/>
      <c r="D86" s="238"/>
      <c r="E86" s="238"/>
      <c r="F86" s="254" t="s">
        <v>1370</v>
      </c>
      <c r="G86" s="165"/>
      <c r="H86" s="165"/>
      <c r="I86" s="165"/>
      <c r="J86" s="165"/>
      <c r="K86" s="165"/>
      <c r="L86" s="165"/>
      <c r="M86" s="165"/>
      <c r="N86" s="165"/>
      <c r="O86" s="174" t="s">
        <v>1367</v>
      </c>
    </row>
    <row r="87" spans="1:15">
      <c r="A87" s="274"/>
      <c r="B87" s="275"/>
      <c r="C87" s="266"/>
      <c r="D87" s="238"/>
      <c r="E87" s="238"/>
      <c r="F87" s="254" t="s">
        <v>1371</v>
      </c>
      <c r="G87" s="165"/>
      <c r="H87" s="165"/>
      <c r="I87" s="165"/>
      <c r="J87" s="165"/>
      <c r="K87" s="165"/>
      <c r="L87" s="165"/>
      <c r="M87" s="165"/>
      <c r="N87" s="165"/>
      <c r="O87" s="174" t="s">
        <v>1367</v>
      </c>
    </row>
    <row r="88" spans="1:15" ht="30">
      <c r="A88" s="274"/>
      <c r="B88" s="275"/>
      <c r="C88" s="266"/>
      <c r="D88" s="238"/>
      <c r="E88" s="238"/>
      <c r="F88" s="254" t="s">
        <v>1372</v>
      </c>
      <c r="G88" s="165"/>
      <c r="H88" s="165"/>
      <c r="I88" s="165"/>
      <c r="J88" s="165"/>
      <c r="K88" s="165"/>
      <c r="L88" s="165"/>
      <c r="M88" s="165"/>
      <c r="N88" s="165"/>
      <c r="O88" s="174" t="s">
        <v>1373</v>
      </c>
    </row>
    <row r="89" spans="1:15" ht="30">
      <c r="A89" s="274"/>
      <c r="B89" s="275"/>
      <c r="C89" s="267"/>
      <c r="D89" s="238"/>
      <c r="E89" s="238"/>
      <c r="F89" s="254" t="s">
        <v>1374</v>
      </c>
      <c r="G89" s="165"/>
      <c r="H89" s="165"/>
      <c r="I89" s="165"/>
      <c r="J89" s="165"/>
      <c r="K89" s="165"/>
      <c r="L89" s="165"/>
      <c r="M89" s="165"/>
      <c r="N89" s="165"/>
      <c r="O89" s="174" t="s">
        <v>1337</v>
      </c>
    </row>
    <row r="90" spans="1:15">
      <c r="A90" s="240"/>
      <c r="B90" s="240"/>
      <c r="C90" s="240"/>
      <c r="D90" s="240"/>
      <c r="E90" s="240"/>
      <c r="F90"/>
      <c r="G90" s="240"/>
      <c r="H90" s="240"/>
      <c r="I90" s="240"/>
      <c r="J90" s="240"/>
      <c r="K90" s="240"/>
      <c r="L90" s="240"/>
      <c r="M90" s="240"/>
      <c r="N90" s="240"/>
      <c r="O90" s="237"/>
    </row>
    <row r="91" spans="1:15">
      <c r="A91" s="240"/>
      <c r="B91" s="240"/>
      <c r="C91" s="240"/>
      <c r="D91" s="240"/>
      <c r="E91" s="240"/>
      <c r="F91"/>
      <c r="G91" s="240"/>
      <c r="H91" s="240"/>
      <c r="I91" s="240"/>
      <c r="J91" s="240"/>
      <c r="K91" s="240"/>
      <c r="L91" s="240"/>
      <c r="M91" s="240"/>
      <c r="N91" s="240"/>
      <c r="O91" s="237"/>
    </row>
    <row r="92" spans="1:15">
      <c r="A92" s="240"/>
      <c r="B92" s="240"/>
      <c r="C92" s="240"/>
      <c r="D92" s="240"/>
      <c r="E92" s="240"/>
      <c r="F92"/>
      <c r="G92" s="240"/>
      <c r="H92" s="240"/>
      <c r="I92" s="240"/>
      <c r="J92" s="240"/>
      <c r="K92" s="240"/>
      <c r="L92" s="240"/>
      <c r="M92" s="240"/>
      <c r="N92" s="240"/>
      <c r="O92" s="237"/>
    </row>
    <row r="93" spans="1:15">
      <c r="A93" s="240"/>
      <c r="B93" s="240"/>
      <c r="C93" s="240"/>
      <c r="D93" s="240"/>
      <c r="E93" s="240"/>
      <c r="F93"/>
      <c r="G93" s="240"/>
      <c r="H93" s="240"/>
      <c r="I93" s="240"/>
      <c r="J93" s="240"/>
      <c r="K93" s="240"/>
      <c r="L93" s="240"/>
      <c r="M93" s="240"/>
      <c r="N93" s="240"/>
      <c r="O93" s="237"/>
    </row>
    <row r="94" spans="1:15">
      <c r="A94" s="240"/>
      <c r="B94" s="240"/>
      <c r="C94" s="240"/>
      <c r="D94"/>
      <c r="E94"/>
      <c r="F94"/>
      <c r="G94"/>
      <c r="H94" s="240"/>
      <c r="I94" s="240"/>
      <c r="J94" s="240"/>
      <c r="K94" s="240"/>
      <c r="L94" s="240"/>
      <c r="M94" s="240"/>
      <c r="N94" s="240"/>
      <c r="O94" s="237"/>
    </row>
    <row r="95" spans="1:15">
      <c r="A95" s="240"/>
      <c r="B95" s="240"/>
      <c r="C95" s="240"/>
      <c r="D95"/>
      <c r="E95"/>
      <c r="F95"/>
      <c r="G95"/>
      <c r="H95" s="240"/>
      <c r="I95" s="240"/>
      <c r="J95" s="240"/>
      <c r="K95" s="240"/>
      <c r="L95" s="240"/>
      <c r="M95" s="240"/>
      <c r="N95" s="240"/>
      <c r="O95" s="237"/>
    </row>
    <row r="96" spans="1:15">
      <c r="A96" s="240"/>
      <c r="B96" s="240"/>
      <c r="C96" s="240"/>
      <c r="D96"/>
      <c r="E96"/>
      <c r="F96"/>
      <c r="G96"/>
      <c r="H96" s="240"/>
      <c r="I96" s="240"/>
      <c r="J96" s="240"/>
      <c r="K96" s="240"/>
      <c r="L96" s="240"/>
      <c r="M96" s="240"/>
      <c r="N96" s="240"/>
      <c r="O96" s="237"/>
    </row>
    <row r="97" spans="4:7">
      <c r="D97"/>
      <c r="E97"/>
      <c r="F97"/>
      <c r="G97"/>
    </row>
    <row r="98" spans="4:7">
      <c r="D98"/>
      <c r="E98"/>
      <c r="F98"/>
      <c r="G98"/>
    </row>
    <row r="99" spans="4:7">
      <c r="D99"/>
      <c r="E99"/>
      <c r="F99"/>
      <c r="G99"/>
    </row>
    <row r="100" spans="4:7">
      <c r="D100"/>
      <c r="E100"/>
      <c r="F100"/>
      <c r="G100"/>
    </row>
    <row r="101" spans="4:7">
      <c r="D101"/>
      <c r="E101"/>
      <c r="F101"/>
      <c r="G101"/>
    </row>
    <row r="102" spans="4:7">
      <c r="D102"/>
      <c r="E102"/>
      <c r="F102"/>
      <c r="G102"/>
    </row>
    <row r="103" spans="4:7">
      <c r="D103"/>
      <c r="E103"/>
      <c r="F103"/>
      <c r="G103"/>
    </row>
    <row r="104" spans="4:7">
      <c r="D104"/>
      <c r="E104"/>
      <c r="F104"/>
      <c r="G104"/>
    </row>
    <row r="105" spans="4:7">
      <c r="D105"/>
      <c r="E105"/>
      <c r="F105"/>
      <c r="G105"/>
    </row>
    <row r="106" spans="4:7">
      <c r="D106"/>
      <c r="E106"/>
      <c r="F106"/>
      <c r="G106"/>
    </row>
    <row r="107" spans="4:7">
      <c r="D107"/>
      <c r="E107"/>
      <c r="F107"/>
      <c r="G107"/>
    </row>
    <row r="108" spans="4:7">
      <c r="D108"/>
      <c r="E108"/>
      <c r="F108"/>
      <c r="G108"/>
    </row>
    <row r="109" spans="4:7">
      <c r="D109"/>
      <c r="E109"/>
      <c r="F109"/>
      <c r="G109"/>
    </row>
    <row r="110" spans="4:7">
      <c r="D110"/>
      <c r="E110"/>
      <c r="F110"/>
      <c r="G110"/>
    </row>
    <row r="111" spans="4:7">
      <c r="D111"/>
      <c r="E111"/>
      <c r="F111"/>
      <c r="G111"/>
    </row>
  </sheetData>
  <mergeCells count="12">
    <mergeCell ref="C48:C52"/>
    <mergeCell ref="C54:C69"/>
    <mergeCell ref="C70:C73"/>
    <mergeCell ref="A2:A89"/>
    <mergeCell ref="B2:B89"/>
    <mergeCell ref="C76:C89"/>
    <mergeCell ref="C2:C6"/>
    <mergeCell ref="C9:C13"/>
    <mergeCell ref="C14:C22"/>
    <mergeCell ref="C23:C26"/>
    <mergeCell ref="C27:C36"/>
    <mergeCell ref="C37:C47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4223-7BAA-482C-8BA5-448C4D5E7F5B}">
  <dimension ref="A1:O30"/>
  <sheetViews>
    <sheetView zoomScaleNormal="100" workbookViewId="0">
      <pane ySplit="1" topLeftCell="A2" activePane="bottomLeft" state="frozen"/>
      <selection pane="bottomLeft" activeCell="C18" sqref="C18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12" customWidth="1"/>
    <col min="4" max="4" width="10.7109375" style="12" customWidth="1"/>
    <col min="5" max="5" width="7.7109375" style="12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7" customWidth="1"/>
    <col min="16" max="16384" width="9" style="3"/>
  </cols>
  <sheetData>
    <row r="1" spans="1:15" ht="45">
      <c r="A1" s="6" t="s">
        <v>660</v>
      </c>
      <c r="B1" s="160" t="s">
        <v>4</v>
      </c>
      <c r="C1" s="6" t="s">
        <v>661</v>
      </c>
      <c r="D1" s="162" t="s">
        <v>662</v>
      </c>
      <c r="E1" s="162" t="s">
        <v>663</v>
      </c>
      <c r="F1" s="160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714</v>
      </c>
      <c r="O1" s="162" t="s">
        <v>672</v>
      </c>
    </row>
    <row r="2" spans="1:15">
      <c r="A2" s="274">
        <v>13</v>
      </c>
      <c r="B2" s="277" t="s">
        <v>1375</v>
      </c>
      <c r="C2" s="268">
        <v>126</v>
      </c>
      <c r="D2" s="242"/>
      <c r="E2" s="242">
        <v>1</v>
      </c>
      <c r="F2" s="11" t="s">
        <v>318</v>
      </c>
      <c r="G2" s="216">
        <v>0</v>
      </c>
      <c r="H2" s="216">
        <v>10</v>
      </c>
      <c r="I2" s="216">
        <v>42</v>
      </c>
      <c r="J2" s="216">
        <v>0</v>
      </c>
      <c r="K2" s="216">
        <v>2468</v>
      </c>
      <c r="L2" s="216">
        <v>1</v>
      </c>
      <c r="M2" s="216"/>
      <c r="N2" s="216"/>
      <c r="O2" s="218"/>
    </row>
    <row r="3" spans="1:15">
      <c r="A3" s="274"/>
      <c r="B3" s="277"/>
      <c r="C3" s="269"/>
      <c r="D3" s="242"/>
      <c r="E3" s="242">
        <v>2</v>
      </c>
      <c r="F3" s="11" t="s">
        <v>721</v>
      </c>
      <c r="G3" s="216">
        <v>3</v>
      </c>
      <c r="H3" s="216">
        <v>4</v>
      </c>
      <c r="I3" s="216">
        <v>51</v>
      </c>
      <c r="J3" s="216">
        <v>0</v>
      </c>
      <c r="K3" s="216">
        <v>2188</v>
      </c>
      <c r="L3" s="216">
        <v>0</v>
      </c>
      <c r="M3" s="216"/>
      <c r="N3" s="216"/>
      <c r="O3" s="218" t="s">
        <v>1324</v>
      </c>
    </row>
    <row r="4" spans="1:15">
      <c r="A4" s="274"/>
      <c r="B4" s="277"/>
      <c r="C4" s="269"/>
      <c r="D4" s="242">
        <v>8.7899999999999991</v>
      </c>
      <c r="E4" s="242">
        <v>2</v>
      </c>
      <c r="F4" s="11" t="s">
        <v>1258</v>
      </c>
      <c r="G4" s="216">
        <v>0</v>
      </c>
      <c r="H4" s="216">
        <v>3</v>
      </c>
      <c r="I4" s="216">
        <v>32</v>
      </c>
      <c r="J4" s="216">
        <v>0</v>
      </c>
      <c r="K4" s="216">
        <v>1594</v>
      </c>
      <c r="L4" s="216">
        <v>0</v>
      </c>
      <c r="M4" s="216"/>
      <c r="N4" s="216"/>
      <c r="O4" s="218" t="s">
        <v>1376</v>
      </c>
    </row>
    <row r="5" spans="1:15">
      <c r="A5" s="274"/>
      <c r="B5" s="277"/>
      <c r="C5" s="269"/>
      <c r="D5" s="242">
        <v>13.125</v>
      </c>
      <c r="E5" s="242">
        <v>2</v>
      </c>
      <c r="F5" s="218" t="s">
        <v>1377</v>
      </c>
      <c r="G5" s="216">
        <v>0</v>
      </c>
      <c r="H5" s="216">
        <v>10</v>
      </c>
      <c r="I5" s="216">
        <v>71</v>
      </c>
      <c r="J5" s="216">
        <v>1</v>
      </c>
      <c r="K5" s="216">
        <v>1119</v>
      </c>
      <c r="L5" s="216">
        <v>0</v>
      </c>
      <c r="M5" s="216"/>
      <c r="N5" s="216"/>
      <c r="O5" s="218"/>
    </row>
    <row r="6" spans="1:15" ht="30">
      <c r="A6" s="274"/>
      <c r="B6" s="277"/>
      <c r="C6" s="269"/>
      <c r="D6" s="242"/>
      <c r="E6" s="242"/>
      <c r="F6" s="243" t="s">
        <v>752</v>
      </c>
      <c r="G6" s="216"/>
      <c r="H6" s="216"/>
      <c r="I6" s="216"/>
      <c r="J6" s="216"/>
      <c r="K6" s="216"/>
      <c r="L6" s="216"/>
      <c r="M6" s="216"/>
      <c r="N6" s="216"/>
      <c r="O6" s="218" t="s">
        <v>1378</v>
      </c>
    </row>
    <row r="7" spans="1:15" ht="30">
      <c r="A7" s="274"/>
      <c r="B7" s="277"/>
      <c r="C7" s="270"/>
      <c r="D7" s="242"/>
      <c r="E7" s="242"/>
      <c r="F7" s="243" t="s">
        <v>1320</v>
      </c>
      <c r="G7" s="216"/>
      <c r="H7" s="216"/>
      <c r="I7" s="216"/>
      <c r="J7" s="216"/>
      <c r="K7" s="216"/>
      <c r="L7" s="216"/>
      <c r="M7" s="216"/>
      <c r="N7" s="216"/>
      <c r="O7" s="218" t="s">
        <v>1292</v>
      </c>
    </row>
    <row r="8" spans="1:15">
      <c r="A8" s="274"/>
      <c r="B8" s="277"/>
      <c r="C8" s="265">
        <v>127</v>
      </c>
      <c r="D8" s="238"/>
      <c r="E8" s="238">
        <v>1</v>
      </c>
      <c r="F8" s="15" t="s">
        <v>1379</v>
      </c>
      <c r="G8" s="165">
        <v>0</v>
      </c>
      <c r="H8" s="165">
        <v>10</v>
      </c>
      <c r="I8" s="165">
        <v>71</v>
      </c>
      <c r="J8" s="165">
        <v>1</v>
      </c>
      <c r="K8" s="165">
        <v>1119</v>
      </c>
      <c r="L8" s="165">
        <v>0</v>
      </c>
      <c r="M8" s="165"/>
      <c r="N8" s="165"/>
      <c r="O8" s="174"/>
    </row>
    <row r="9" spans="1:15">
      <c r="A9" s="274"/>
      <c r="B9" s="277"/>
      <c r="C9" s="266"/>
      <c r="D9" s="238"/>
      <c r="E9" s="238">
        <v>2</v>
      </c>
      <c r="F9" s="15" t="s">
        <v>1379</v>
      </c>
      <c r="G9" s="165">
        <v>0</v>
      </c>
      <c r="H9" s="165">
        <v>10</v>
      </c>
      <c r="I9" s="165">
        <v>71</v>
      </c>
      <c r="J9" s="165">
        <v>1</v>
      </c>
      <c r="K9" s="165">
        <v>1119</v>
      </c>
      <c r="L9" s="165">
        <v>0</v>
      </c>
      <c r="M9" s="165"/>
      <c r="N9" s="165"/>
      <c r="O9" s="174"/>
    </row>
    <row r="10" spans="1:15">
      <c r="A10" s="274"/>
      <c r="B10" s="277"/>
      <c r="C10" s="266"/>
      <c r="D10" s="238"/>
      <c r="E10" s="238">
        <v>2</v>
      </c>
      <c r="F10" s="24" t="s">
        <v>678</v>
      </c>
      <c r="G10" s="165">
        <v>0</v>
      </c>
      <c r="H10" s="165">
        <v>2</v>
      </c>
      <c r="I10" s="165">
        <v>12</v>
      </c>
      <c r="J10" s="165">
        <v>0</v>
      </c>
      <c r="K10" s="165">
        <v>563</v>
      </c>
      <c r="L10" s="165">
        <v>0</v>
      </c>
      <c r="M10" s="165"/>
      <c r="N10" s="165"/>
      <c r="O10" s="174"/>
    </row>
    <row r="11" spans="1:15">
      <c r="A11" s="274"/>
      <c r="B11" s="277"/>
      <c r="C11" s="266"/>
      <c r="D11" s="238"/>
      <c r="E11" s="238">
        <v>2</v>
      </c>
      <c r="F11" s="24" t="s">
        <v>679</v>
      </c>
      <c r="G11" s="165">
        <v>3</v>
      </c>
      <c r="H11" s="165">
        <v>4</v>
      </c>
      <c r="I11" s="165">
        <v>51</v>
      </c>
      <c r="J11" s="165">
        <v>0</v>
      </c>
      <c r="K11" s="165">
        <v>2188</v>
      </c>
      <c r="L11" s="165">
        <v>0</v>
      </c>
      <c r="M11" s="165"/>
      <c r="N11" s="165"/>
      <c r="O11" s="174"/>
    </row>
    <row r="12" spans="1:15" ht="30">
      <c r="A12" s="274"/>
      <c r="B12" s="277"/>
      <c r="C12" s="266"/>
      <c r="D12" s="238">
        <v>20.175000000000001</v>
      </c>
      <c r="E12" s="238">
        <v>2</v>
      </c>
      <c r="F12" s="17" t="s">
        <v>848</v>
      </c>
      <c r="G12" s="165">
        <v>0</v>
      </c>
      <c r="H12" s="165">
        <v>5</v>
      </c>
      <c r="I12" s="165">
        <v>37</v>
      </c>
      <c r="J12" s="165">
        <v>1</v>
      </c>
      <c r="K12" s="165">
        <v>1447</v>
      </c>
      <c r="L12" s="165">
        <v>5</v>
      </c>
      <c r="M12" s="165"/>
      <c r="N12" s="165"/>
      <c r="O12" s="174"/>
    </row>
    <row r="13" spans="1:15" ht="30">
      <c r="A13" s="274"/>
      <c r="B13" s="277"/>
      <c r="C13" s="267"/>
      <c r="D13" s="238">
        <v>20.175000000000001</v>
      </c>
      <c r="E13" s="238">
        <v>3</v>
      </c>
      <c r="F13" s="17" t="s">
        <v>775</v>
      </c>
      <c r="G13" s="165">
        <v>0</v>
      </c>
      <c r="H13" s="165">
        <v>2</v>
      </c>
      <c r="I13" s="165">
        <v>3</v>
      </c>
      <c r="J13" s="165">
        <v>0</v>
      </c>
      <c r="K13" s="165">
        <v>33</v>
      </c>
      <c r="L13" s="165">
        <v>0</v>
      </c>
      <c r="M13" s="165"/>
      <c r="N13" s="165"/>
      <c r="O13" s="174"/>
    </row>
    <row r="14" spans="1:15">
      <c r="A14" s="274"/>
      <c r="B14" s="277"/>
      <c r="C14" s="234">
        <v>128</v>
      </c>
      <c r="D14" s="242"/>
      <c r="E14" s="242">
        <v>1</v>
      </c>
      <c r="F14" s="23" t="s">
        <v>1380</v>
      </c>
      <c r="G14" s="216">
        <v>0</v>
      </c>
      <c r="H14" s="216">
        <v>2</v>
      </c>
      <c r="I14" s="216">
        <v>17</v>
      </c>
      <c r="J14" s="216">
        <v>1</v>
      </c>
      <c r="K14" s="216">
        <v>354</v>
      </c>
      <c r="L14" s="216">
        <v>0</v>
      </c>
      <c r="M14" s="216"/>
      <c r="N14" s="216"/>
      <c r="O14" s="218"/>
    </row>
    <row r="15" spans="1:15">
      <c r="A15" s="274"/>
      <c r="B15" s="277"/>
      <c r="C15" s="274">
        <v>129</v>
      </c>
      <c r="D15" s="238"/>
      <c r="E15" s="238">
        <v>1</v>
      </c>
      <c r="F15" s="22" t="s">
        <v>1381</v>
      </c>
      <c r="G15" s="165">
        <v>2</v>
      </c>
      <c r="H15" s="165">
        <v>5</v>
      </c>
      <c r="I15" s="165">
        <v>29</v>
      </c>
      <c r="J15" s="165">
        <v>0</v>
      </c>
      <c r="K15" s="165">
        <v>1584</v>
      </c>
      <c r="L15" s="165">
        <v>2</v>
      </c>
      <c r="M15" s="165"/>
      <c r="N15" s="165"/>
      <c r="O15" s="174"/>
    </row>
    <row r="16" spans="1:15">
      <c r="A16" s="274"/>
      <c r="B16" s="277"/>
      <c r="C16" s="274"/>
      <c r="D16" s="238"/>
      <c r="E16" s="238">
        <v>2</v>
      </c>
      <c r="F16" s="239" t="s">
        <v>1382</v>
      </c>
      <c r="G16" s="165">
        <v>0</v>
      </c>
      <c r="H16" s="165">
        <v>4</v>
      </c>
      <c r="I16" s="165">
        <v>13</v>
      </c>
      <c r="J16" s="165">
        <v>0</v>
      </c>
      <c r="K16" s="165">
        <v>238</v>
      </c>
      <c r="L16" s="165">
        <v>1</v>
      </c>
      <c r="M16" s="165"/>
      <c r="N16" s="165"/>
      <c r="O16" s="174" t="s">
        <v>1383</v>
      </c>
    </row>
    <row r="17" spans="1:15">
      <c r="A17" s="274"/>
      <c r="B17" s="277"/>
      <c r="C17" s="274"/>
      <c r="D17" s="238">
        <v>13.125</v>
      </c>
      <c r="E17" s="238">
        <v>3</v>
      </c>
      <c r="F17" s="15" t="s">
        <v>1379</v>
      </c>
      <c r="G17" s="165">
        <v>0</v>
      </c>
      <c r="H17" s="165">
        <v>10</v>
      </c>
      <c r="I17" s="165">
        <v>71</v>
      </c>
      <c r="J17" s="165">
        <v>1</v>
      </c>
      <c r="K17" s="165">
        <v>1119</v>
      </c>
      <c r="L17" s="165">
        <v>0</v>
      </c>
      <c r="M17" s="165"/>
      <c r="N17" s="165"/>
      <c r="O17" s="174" t="s">
        <v>1384</v>
      </c>
    </row>
    <row r="25" spans="1:15">
      <c r="A25" s="240"/>
      <c r="B25" s="240"/>
      <c r="C25" s="235"/>
      <c r="D25" s="235"/>
      <c r="E25" s="235"/>
      <c r="F25"/>
      <c r="G25" s="240"/>
      <c r="H25" s="240"/>
      <c r="I25" s="240"/>
      <c r="J25" s="240"/>
      <c r="K25" s="240"/>
      <c r="L25" s="240"/>
      <c r="M25" s="240"/>
      <c r="N25" s="240"/>
      <c r="O25" s="237"/>
    </row>
    <row r="26" spans="1:15">
      <c r="A26" s="240"/>
      <c r="B26" s="240"/>
      <c r="C26" s="235"/>
      <c r="D26" s="235"/>
      <c r="E26" s="235"/>
      <c r="F26"/>
      <c r="G26" s="240"/>
      <c r="H26" s="240"/>
      <c r="I26" s="240"/>
      <c r="J26" s="240"/>
      <c r="K26" s="240"/>
      <c r="L26" s="240"/>
      <c r="M26" s="240"/>
      <c r="N26" s="240"/>
      <c r="O26" s="237"/>
    </row>
    <row r="27" spans="1:15">
      <c r="A27" s="240"/>
      <c r="B27" s="240"/>
      <c r="C27" s="235"/>
      <c r="D27" s="235"/>
      <c r="E27" s="235"/>
      <c r="F27"/>
      <c r="G27" s="240"/>
      <c r="H27" s="240"/>
      <c r="I27" s="240"/>
      <c r="J27" s="240"/>
      <c r="K27" s="240"/>
      <c r="L27" s="240"/>
      <c r="M27" s="240"/>
      <c r="N27" s="240"/>
      <c r="O27" s="237"/>
    </row>
    <row r="28" spans="1:15">
      <c r="A28" s="240"/>
      <c r="B28" s="240"/>
      <c r="C28" s="235"/>
      <c r="D28" s="235"/>
      <c r="E28" s="235"/>
      <c r="F28"/>
      <c r="G28" s="240"/>
      <c r="H28" s="240"/>
      <c r="I28" s="240"/>
      <c r="J28" s="240"/>
      <c r="K28" s="240"/>
      <c r="L28" s="240"/>
      <c r="M28" s="240"/>
      <c r="N28" s="240"/>
      <c r="O28" s="237"/>
    </row>
    <row r="29" spans="1:15">
      <c r="A29" s="240"/>
      <c r="B29" s="240"/>
      <c r="C29" s="235"/>
      <c r="D29" s="235"/>
      <c r="E29" s="235"/>
      <c r="F29"/>
      <c r="G29" s="240"/>
      <c r="H29" s="240"/>
      <c r="I29" s="240"/>
      <c r="J29" s="240"/>
      <c r="K29" s="240"/>
      <c r="L29" s="240"/>
      <c r="M29" s="240"/>
      <c r="N29" s="240"/>
      <c r="O29" s="237"/>
    </row>
    <row r="30" spans="1:15">
      <c r="A30" s="240"/>
      <c r="B30" s="240"/>
      <c r="C30" s="235"/>
      <c r="D30" s="235"/>
      <c r="E30" s="235"/>
      <c r="F30"/>
      <c r="G30" s="240"/>
      <c r="H30" s="240"/>
      <c r="I30" s="240"/>
      <c r="J30" s="240"/>
      <c r="K30" s="240"/>
      <c r="L30" s="240"/>
      <c r="M30" s="240"/>
      <c r="N30" s="240"/>
      <c r="O30" s="237"/>
    </row>
  </sheetData>
  <mergeCells count="5">
    <mergeCell ref="A2:A17"/>
    <mergeCell ref="B2:B17"/>
    <mergeCell ref="C8:C13"/>
    <mergeCell ref="C15:C17"/>
    <mergeCell ref="C2:C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2BE5-206B-445E-B2EC-08D400D205CB}">
  <dimension ref="A1:O34"/>
  <sheetViews>
    <sheetView zoomScaleNormal="100" workbookViewId="0">
      <pane ySplit="1" topLeftCell="A2" activePane="bottomLeft" state="frozen"/>
      <selection pane="bottomLeft" activeCell="C13" sqref="C13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3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14</v>
      </c>
      <c r="B2" s="277" t="s">
        <v>1385</v>
      </c>
      <c r="C2" s="222">
        <v>130</v>
      </c>
      <c r="D2" s="238"/>
      <c r="E2" s="238">
        <v>1</v>
      </c>
      <c r="F2" s="48" t="s">
        <v>1386</v>
      </c>
      <c r="G2" s="221">
        <v>0</v>
      </c>
      <c r="H2" s="221">
        <v>2</v>
      </c>
      <c r="I2" s="221">
        <v>19</v>
      </c>
      <c r="J2" s="220">
        <v>1</v>
      </c>
      <c r="K2" s="220">
        <v>289</v>
      </c>
      <c r="L2" s="220">
        <v>0</v>
      </c>
      <c r="M2" s="222"/>
      <c r="N2" s="222"/>
      <c r="O2" s="165"/>
    </row>
    <row r="3" spans="1:15">
      <c r="A3" s="274"/>
      <c r="B3" s="277"/>
      <c r="C3" s="234">
        <v>131</v>
      </c>
      <c r="D3" s="242"/>
      <c r="E3" s="242">
        <v>1</v>
      </c>
      <c r="F3" s="49" t="s">
        <v>1387</v>
      </c>
      <c r="G3" s="216">
        <v>0</v>
      </c>
      <c r="H3" s="216">
        <v>1</v>
      </c>
      <c r="I3" s="216">
        <v>12</v>
      </c>
      <c r="J3" s="216">
        <v>1</v>
      </c>
      <c r="K3" s="216">
        <v>117</v>
      </c>
      <c r="L3" s="216">
        <v>0</v>
      </c>
      <c r="M3" s="234"/>
      <c r="N3" s="234"/>
      <c r="O3" s="216"/>
    </row>
    <row r="4" spans="1:15" ht="30">
      <c r="A4" s="274"/>
      <c r="B4" s="277"/>
      <c r="C4" s="222">
        <v>132</v>
      </c>
      <c r="D4" s="238"/>
      <c r="E4" s="238">
        <v>1</v>
      </c>
      <c r="F4" s="50" t="s">
        <v>1388</v>
      </c>
      <c r="G4" s="165">
        <v>0</v>
      </c>
      <c r="H4" s="165">
        <v>1</v>
      </c>
      <c r="I4" s="165">
        <v>14</v>
      </c>
      <c r="J4" s="174">
        <v>1</v>
      </c>
      <c r="K4" s="174">
        <v>449</v>
      </c>
      <c r="L4" s="174">
        <v>0</v>
      </c>
      <c r="M4" s="225"/>
      <c r="N4" s="238"/>
      <c r="O4" s="165"/>
    </row>
    <row r="5" spans="1:15">
      <c r="A5" s="274"/>
      <c r="B5" s="277"/>
      <c r="C5" s="268">
        <v>133</v>
      </c>
      <c r="D5" s="242"/>
      <c r="E5" s="242">
        <v>1</v>
      </c>
      <c r="F5" s="49" t="s">
        <v>1389</v>
      </c>
      <c r="G5" s="217">
        <v>0</v>
      </c>
      <c r="H5" s="217">
        <v>3</v>
      </c>
      <c r="I5" s="217">
        <v>26</v>
      </c>
      <c r="J5" s="217">
        <v>1</v>
      </c>
      <c r="K5" s="217">
        <v>826</v>
      </c>
      <c r="L5" s="217">
        <v>0</v>
      </c>
      <c r="M5" s="242"/>
      <c r="N5" s="216"/>
      <c r="O5" s="216"/>
    </row>
    <row r="6" spans="1:15" ht="30">
      <c r="A6" s="274"/>
      <c r="B6" s="277"/>
      <c r="C6" s="269"/>
      <c r="D6" s="242"/>
      <c r="E6" s="242"/>
      <c r="F6" s="64" t="s">
        <v>1390</v>
      </c>
      <c r="G6" s="217"/>
      <c r="H6" s="217"/>
      <c r="I6" s="217"/>
      <c r="J6" s="217"/>
      <c r="K6" s="217"/>
      <c r="L6" s="217"/>
      <c r="M6" s="234"/>
      <c r="N6" s="246"/>
      <c r="O6" s="218" t="s">
        <v>1391</v>
      </c>
    </row>
    <row r="7" spans="1:15" ht="30">
      <c r="A7" s="274"/>
      <c r="B7" s="277"/>
      <c r="C7" s="269"/>
      <c r="D7" s="242"/>
      <c r="E7" s="242"/>
      <c r="F7" s="64" t="s">
        <v>1392</v>
      </c>
      <c r="G7" s="217"/>
      <c r="H7" s="217"/>
      <c r="I7" s="217"/>
      <c r="J7" s="217"/>
      <c r="K7" s="217"/>
      <c r="L7" s="217"/>
      <c r="M7" s="234"/>
      <c r="N7" s="246"/>
      <c r="O7" s="218" t="s">
        <v>1393</v>
      </c>
    </row>
    <row r="8" spans="1:15">
      <c r="A8" s="274"/>
      <c r="B8" s="277"/>
      <c r="C8" s="269"/>
      <c r="D8" s="242"/>
      <c r="E8" s="242"/>
      <c r="F8" s="64" t="s">
        <v>1394</v>
      </c>
      <c r="G8" s="217"/>
      <c r="H8" s="217"/>
      <c r="I8" s="217"/>
      <c r="J8" s="217"/>
      <c r="K8" s="217"/>
      <c r="L8" s="217"/>
      <c r="M8" s="234"/>
      <c r="N8" s="246"/>
      <c r="O8" s="218" t="s">
        <v>1395</v>
      </c>
    </row>
    <row r="9" spans="1:15" ht="30">
      <c r="A9" s="274"/>
      <c r="B9" s="277"/>
      <c r="C9" s="270"/>
      <c r="D9" s="242"/>
      <c r="E9" s="242"/>
      <c r="F9" s="64" t="s">
        <v>1396</v>
      </c>
      <c r="G9" s="217"/>
      <c r="H9" s="217"/>
      <c r="I9" s="217"/>
      <c r="J9" s="217"/>
      <c r="K9" s="217"/>
      <c r="L9" s="217"/>
      <c r="M9" s="234"/>
      <c r="N9" s="246"/>
      <c r="O9" s="218" t="s">
        <v>1397</v>
      </c>
    </row>
    <row r="10" spans="1:15">
      <c r="A10" s="274"/>
      <c r="B10" s="277"/>
      <c r="C10" s="222">
        <v>134</v>
      </c>
      <c r="D10" s="238"/>
      <c r="E10" s="238">
        <v>1</v>
      </c>
      <c r="F10" s="48" t="s">
        <v>1398</v>
      </c>
      <c r="G10" s="220">
        <v>0</v>
      </c>
      <c r="H10" s="220">
        <v>1</v>
      </c>
      <c r="I10" s="220">
        <v>14</v>
      </c>
      <c r="J10" s="220">
        <v>1</v>
      </c>
      <c r="K10" s="220">
        <v>191</v>
      </c>
      <c r="L10" s="220">
        <v>0</v>
      </c>
      <c r="M10" s="225"/>
      <c r="N10" s="222"/>
      <c r="O10" s="165"/>
    </row>
    <row r="11" spans="1:15" ht="30">
      <c r="A11" s="274"/>
      <c r="B11" s="277"/>
      <c r="C11" s="268">
        <v>135</v>
      </c>
      <c r="D11" s="242"/>
      <c r="E11" s="242">
        <v>1</v>
      </c>
      <c r="F11" s="51" t="s">
        <v>1399</v>
      </c>
      <c r="G11" s="216">
        <v>5</v>
      </c>
      <c r="H11" s="216">
        <v>7</v>
      </c>
      <c r="I11" s="216">
        <v>54</v>
      </c>
      <c r="J11" s="216">
        <v>1</v>
      </c>
      <c r="K11" s="216">
        <v>1226</v>
      </c>
      <c r="L11" s="216">
        <v>0</v>
      </c>
      <c r="M11" s="242"/>
      <c r="N11" s="242"/>
      <c r="O11" s="216"/>
    </row>
    <row r="12" spans="1:15" ht="30">
      <c r="A12" s="274"/>
      <c r="B12" s="277"/>
      <c r="C12" s="270"/>
      <c r="D12" s="242"/>
      <c r="E12" s="242"/>
      <c r="F12" s="64" t="s">
        <v>1400</v>
      </c>
      <c r="G12" s="216"/>
      <c r="H12" s="216"/>
      <c r="I12" s="216"/>
      <c r="J12" s="216"/>
      <c r="K12" s="216"/>
      <c r="L12" s="216"/>
      <c r="M12" s="242"/>
      <c r="N12" s="242"/>
      <c r="O12" s="218" t="s">
        <v>1391</v>
      </c>
    </row>
    <row r="13" spans="1:15">
      <c r="A13" s="240"/>
      <c r="B13" s="237"/>
      <c r="C13" s="240"/>
      <c r="D13" s="240"/>
      <c r="E13" s="240"/>
      <c r="F13"/>
      <c r="G13" s="240"/>
      <c r="H13" s="240"/>
      <c r="I13" s="240"/>
      <c r="J13" s="240"/>
      <c r="K13" s="240"/>
      <c r="L13" s="240"/>
      <c r="M13" s="240"/>
      <c r="N13" s="240"/>
      <c r="O13" s="240"/>
    </row>
    <row r="14" spans="1:15">
      <c r="A14" s="240"/>
      <c r="B14" s="240"/>
      <c r="C14" s="240"/>
      <c r="D14" s="240"/>
      <c r="E14" s="240"/>
      <c r="F14"/>
      <c r="G14" s="240"/>
      <c r="H14" s="240"/>
      <c r="I14" s="240"/>
      <c r="J14" s="240"/>
      <c r="K14" s="240"/>
      <c r="L14" s="240"/>
      <c r="M14" s="240"/>
      <c r="N14" s="240"/>
      <c r="O14" s="240"/>
    </row>
    <row r="15" spans="1:15">
      <c r="A15" s="240"/>
      <c r="B15" s="240"/>
      <c r="C15" s="240"/>
      <c r="D15" s="240"/>
      <c r="E15" s="240"/>
      <c r="F15"/>
      <c r="G15" s="240"/>
      <c r="H15" s="240"/>
      <c r="I15" s="240"/>
      <c r="J15" s="240"/>
      <c r="K15" s="240"/>
      <c r="L15" s="240"/>
      <c r="M15" s="240"/>
      <c r="N15" s="240"/>
      <c r="O15" s="240"/>
    </row>
    <row r="16" spans="1:15">
      <c r="A16" s="240"/>
      <c r="B16" s="240"/>
      <c r="C16" s="240"/>
      <c r="D16" s="240"/>
      <c r="E16"/>
      <c r="F16"/>
      <c r="G16" s="240"/>
      <c r="H16" s="240"/>
      <c r="I16" s="240"/>
      <c r="J16" s="240"/>
      <c r="K16" s="240"/>
      <c r="L16" s="240"/>
      <c r="M16" s="240"/>
      <c r="N16" s="240"/>
      <c r="O16" s="240"/>
    </row>
    <row r="17" spans="4:7">
      <c r="D17"/>
      <c r="E17"/>
      <c r="F17"/>
      <c r="G17"/>
    </row>
    <row r="18" spans="4:7">
      <c r="D18"/>
      <c r="E18"/>
      <c r="F18"/>
      <c r="G18"/>
    </row>
    <row r="19" spans="4:7">
      <c r="D19"/>
      <c r="E19"/>
      <c r="F19"/>
      <c r="G19"/>
    </row>
    <row r="20" spans="4:7">
      <c r="D20"/>
      <c r="E20"/>
      <c r="F20"/>
      <c r="G20"/>
    </row>
    <row r="21" spans="4:7">
      <c r="D21"/>
      <c r="E21"/>
      <c r="F21"/>
      <c r="G21"/>
    </row>
    <row r="22" spans="4:7">
      <c r="D22"/>
      <c r="E22"/>
      <c r="F22"/>
      <c r="G22"/>
    </row>
    <row r="23" spans="4:7">
      <c r="D23"/>
      <c r="E23"/>
      <c r="F23"/>
      <c r="G23"/>
    </row>
    <row r="24" spans="4:7">
      <c r="D24"/>
      <c r="E24"/>
      <c r="F24"/>
      <c r="G24"/>
    </row>
    <row r="25" spans="4:7">
      <c r="D25"/>
      <c r="E25"/>
      <c r="F25"/>
      <c r="G25"/>
    </row>
    <row r="26" spans="4:7">
      <c r="D26"/>
      <c r="E26"/>
      <c r="F26"/>
      <c r="G26"/>
    </row>
    <row r="27" spans="4:7">
      <c r="D27"/>
      <c r="E27"/>
      <c r="F27"/>
      <c r="G27"/>
    </row>
    <row r="28" spans="4:7">
      <c r="D28"/>
      <c r="E28"/>
      <c r="F28"/>
      <c r="G28"/>
    </row>
    <row r="29" spans="4:7">
      <c r="D29"/>
      <c r="E29"/>
      <c r="F29"/>
      <c r="G29"/>
    </row>
    <row r="30" spans="4:7">
      <c r="D30"/>
      <c r="E30"/>
      <c r="F30"/>
      <c r="G30"/>
    </row>
    <row r="31" spans="4:7">
      <c r="D31"/>
      <c r="E31"/>
      <c r="F31"/>
      <c r="G31"/>
    </row>
    <row r="32" spans="4:7">
      <c r="D32"/>
      <c r="E32"/>
      <c r="F32"/>
      <c r="G32"/>
    </row>
    <row r="33" spans="4:7">
      <c r="D33"/>
      <c r="E33"/>
      <c r="F33"/>
      <c r="G33"/>
    </row>
    <row r="34" spans="4:7">
      <c r="D34"/>
      <c r="E34"/>
      <c r="F34"/>
      <c r="G34"/>
    </row>
  </sheetData>
  <mergeCells count="4">
    <mergeCell ref="A2:A12"/>
    <mergeCell ref="B2:B12"/>
    <mergeCell ref="C5:C9"/>
    <mergeCell ref="C11:C1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0617-8CD1-4B48-A54D-C8148879FECA}">
  <dimension ref="A1:O74"/>
  <sheetViews>
    <sheetView zoomScaleNormal="100" workbookViewId="0">
      <pane ySplit="1" topLeftCell="A2" activePane="bottomLeft" state="frozen"/>
      <selection pane="bottomLeft" activeCell="F14" sqref="F14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7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15</v>
      </c>
      <c r="B2" s="277" t="s">
        <v>1401</v>
      </c>
      <c r="C2" s="265">
        <v>136</v>
      </c>
      <c r="D2" s="238"/>
      <c r="E2" s="238">
        <v>1</v>
      </c>
      <c r="F2" s="17" t="s">
        <v>1402</v>
      </c>
      <c r="G2" s="221">
        <v>3</v>
      </c>
      <c r="H2" s="221">
        <v>4</v>
      </c>
      <c r="I2" s="221">
        <v>29</v>
      </c>
      <c r="J2" s="220">
        <v>1</v>
      </c>
      <c r="K2" s="220">
        <v>3423</v>
      </c>
      <c r="L2" s="220">
        <v>0</v>
      </c>
      <c r="M2" s="222"/>
      <c r="N2" s="222"/>
      <c r="O2" s="174" t="s">
        <v>1403</v>
      </c>
    </row>
    <row r="3" spans="1:15" ht="30">
      <c r="A3" s="274"/>
      <c r="B3" s="277"/>
      <c r="C3" s="266"/>
      <c r="D3" s="238"/>
      <c r="E3" s="238"/>
      <c r="F3" s="243" t="s">
        <v>1404</v>
      </c>
      <c r="G3" s="221"/>
      <c r="H3" s="221"/>
      <c r="I3" s="221"/>
      <c r="J3" s="220"/>
      <c r="K3" s="220"/>
      <c r="L3" s="220"/>
      <c r="M3" s="222"/>
      <c r="N3" s="222"/>
      <c r="O3" s="174" t="s">
        <v>1405</v>
      </c>
    </row>
    <row r="4" spans="1:15" ht="30">
      <c r="A4" s="274"/>
      <c r="B4" s="277"/>
      <c r="C4" s="266"/>
      <c r="D4" s="238"/>
      <c r="E4" s="238"/>
      <c r="F4" s="243" t="s">
        <v>1406</v>
      </c>
      <c r="G4" s="221"/>
      <c r="H4" s="221"/>
      <c r="I4" s="221"/>
      <c r="J4" s="220"/>
      <c r="K4" s="220"/>
      <c r="L4" s="220"/>
      <c r="M4" s="222"/>
      <c r="N4" s="222"/>
      <c r="O4" s="174" t="s">
        <v>1407</v>
      </c>
    </row>
    <row r="5" spans="1:15">
      <c r="A5" s="274"/>
      <c r="B5" s="277"/>
      <c r="C5" s="266"/>
      <c r="D5" s="238"/>
      <c r="E5" s="238"/>
      <c r="F5" s="243" t="s">
        <v>1408</v>
      </c>
      <c r="G5" s="221"/>
      <c r="H5" s="221"/>
      <c r="I5" s="221"/>
      <c r="J5" s="220"/>
      <c r="K5" s="220"/>
      <c r="L5" s="220"/>
      <c r="M5" s="222"/>
      <c r="N5" s="222"/>
      <c r="O5" s="174" t="s">
        <v>886</v>
      </c>
    </row>
    <row r="6" spans="1:15" ht="30">
      <c r="A6" s="274"/>
      <c r="B6" s="277"/>
      <c r="C6" s="266"/>
      <c r="D6" s="238"/>
      <c r="E6" s="238"/>
      <c r="F6" s="243" t="s">
        <v>1409</v>
      </c>
      <c r="G6" s="221"/>
      <c r="H6" s="221"/>
      <c r="I6" s="221"/>
      <c r="J6" s="220"/>
      <c r="K6" s="220"/>
      <c r="L6" s="220"/>
      <c r="M6" s="222"/>
      <c r="N6" s="222"/>
      <c r="O6" s="174" t="s">
        <v>1410</v>
      </c>
    </row>
    <row r="7" spans="1:15" ht="45">
      <c r="A7" s="274"/>
      <c r="B7" s="277"/>
      <c r="C7" s="267"/>
      <c r="D7" s="238"/>
      <c r="E7" s="238"/>
      <c r="F7" s="243" t="s">
        <v>1411</v>
      </c>
      <c r="G7" s="221"/>
      <c r="H7" s="221"/>
      <c r="I7" s="221"/>
      <c r="J7" s="220"/>
      <c r="K7" s="220"/>
      <c r="L7" s="220"/>
      <c r="M7" s="222"/>
      <c r="N7" s="222"/>
      <c r="O7" s="174" t="s">
        <v>1412</v>
      </c>
    </row>
    <row r="8" spans="1:15">
      <c r="A8" s="274"/>
      <c r="B8" s="277"/>
      <c r="C8" s="268">
        <v>137</v>
      </c>
      <c r="D8" s="242"/>
      <c r="E8" s="242">
        <v>1</v>
      </c>
      <c r="F8" s="8" t="s">
        <v>1413</v>
      </c>
      <c r="G8" s="216">
        <v>0</v>
      </c>
      <c r="H8" s="216">
        <v>1</v>
      </c>
      <c r="I8" s="216">
        <v>29</v>
      </c>
      <c r="J8" s="216">
        <v>1</v>
      </c>
      <c r="K8" s="216">
        <v>568</v>
      </c>
      <c r="L8" s="216">
        <v>0</v>
      </c>
      <c r="M8" s="234"/>
      <c r="N8" s="234"/>
      <c r="O8" s="218"/>
    </row>
    <row r="9" spans="1:15">
      <c r="A9" s="274"/>
      <c r="B9" s="277"/>
      <c r="C9" s="269"/>
      <c r="D9" s="242"/>
      <c r="E9" s="242"/>
      <c r="F9" s="243" t="s">
        <v>1414</v>
      </c>
      <c r="G9" s="216"/>
      <c r="H9" s="216"/>
      <c r="I9" s="216"/>
      <c r="J9" s="216"/>
      <c r="K9" s="216"/>
      <c r="L9" s="216"/>
      <c r="M9" s="234"/>
      <c r="N9" s="234"/>
      <c r="O9" s="218" t="s">
        <v>1415</v>
      </c>
    </row>
    <row r="10" spans="1:15">
      <c r="A10" s="274"/>
      <c r="B10" s="277"/>
      <c r="C10" s="269"/>
      <c r="D10" s="242"/>
      <c r="E10" s="242"/>
      <c r="F10" s="243" t="s">
        <v>1416</v>
      </c>
      <c r="G10" s="216"/>
      <c r="H10" s="216"/>
      <c r="I10" s="216"/>
      <c r="J10" s="216"/>
      <c r="K10" s="216"/>
      <c r="L10" s="216"/>
      <c r="M10" s="234"/>
      <c r="N10" s="234"/>
      <c r="O10" s="218" t="s">
        <v>1417</v>
      </c>
    </row>
    <row r="11" spans="1:15">
      <c r="A11" s="274"/>
      <c r="B11" s="277"/>
      <c r="C11" s="269"/>
      <c r="D11" s="242"/>
      <c r="E11" s="242"/>
      <c r="F11" s="243" t="s">
        <v>1418</v>
      </c>
      <c r="G11" s="216"/>
      <c r="H11" s="216"/>
      <c r="I11" s="216"/>
      <c r="J11" s="216"/>
      <c r="K11" s="216"/>
      <c r="L11" s="216"/>
      <c r="M11" s="234"/>
      <c r="N11" s="234"/>
      <c r="O11" s="218" t="s">
        <v>1419</v>
      </c>
    </row>
    <row r="12" spans="1:15" ht="30">
      <c r="A12" s="274"/>
      <c r="B12" s="277"/>
      <c r="C12" s="269"/>
      <c r="D12" s="242"/>
      <c r="E12" s="242"/>
      <c r="F12" s="243" t="s">
        <v>1420</v>
      </c>
      <c r="G12" s="216"/>
      <c r="H12" s="216"/>
      <c r="I12" s="216"/>
      <c r="J12" s="216"/>
      <c r="K12" s="216"/>
      <c r="L12" s="216"/>
      <c r="M12" s="234"/>
      <c r="N12" s="234"/>
      <c r="O12" s="218" t="s">
        <v>1421</v>
      </c>
    </row>
    <row r="13" spans="1:15">
      <c r="A13" s="274"/>
      <c r="B13" s="277"/>
      <c r="C13" s="269"/>
      <c r="D13" s="242"/>
      <c r="E13" s="242">
        <v>2</v>
      </c>
      <c r="F13" s="8" t="s">
        <v>1422</v>
      </c>
      <c r="G13" s="216">
        <v>0</v>
      </c>
      <c r="H13" s="216">
        <v>0</v>
      </c>
      <c r="I13" s="216">
        <v>6</v>
      </c>
      <c r="J13" s="216">
        <v>0</v>
      </c>
      <c r="K13" s="216">
        <v>10</v>
      </c>
      <c r="L13" s="216">
        <v>0</v>
      </c>
      <c r="M13" s="234"/>
      <c r="N13" s="234"/>
      <c r="O13" s="218"/>
    </row>
    <row r="14" spans="1:15" ht="30">
      <c r="A14" s="274"/>
      <c r="B14" s="277"/>
      <c r="C14" s="269"/>
      <c r="D14" s="242"/>
      <c r="E14" s="242">
        <v>2</v>
      </c>
      <c r="F14" s="8" t="s">
        <v>1423</v>
      </c>
      <c r="G14" s="216">
        <v>0</v>
      </c>
      <c r="H14" s="216">
        <v>1</v>
      </c>
      <c r="I14" s="216">
        <v>8</v>
      </c>
      <c r="J14" s="216">
        <v>0</v>
      </c>
      <c r="K14" s="216">
        <v>58</v>
      </c>
      <c r="L14" s="216">
        <v>0</v>
      </c>
      <c r="M14" s="234"/>
      <c r="N14" s="234"/>
      <c r="O14" s="218" t="s">
        <v>1424</v>
      </c>
    </row>
    <row r="15" spans="1:15" ht="30">
      <c r="A15" s="274"/>
      <c r="B15" s="277"/>
      <c r="C15" s="269"/>
      <c r="D15" s="242"/>
      <c r="E15" s="242">
        <v>3</v>
      </c>
      <c r="F15" s="243" t="s">
        <v>1425</v>
      </c>
      <c r="G15" s="216"/>
      <c r="H15" s="216"/>
      <c r="I15" s="216"/>
      <c r="J15" s="216"/>
      <c r="K15" s="216"/>
      <c r="L15" s="216"/>
      <c r="M15" s="234"/>
      <c r="N15" s="234"/>
      <c r="O15" s="218" t="s">
        <v>1426</v>
      </c>
    </row>
    <row r="16" spans="1:15">
      <c r="A16" s="274"/>
      <c r="B16" s="277"/>
      <c r="C16" s="269"/>
      <c r="D16" s="242"/>
      <c r="E16" s="242">
        <v>3</v>
      </c>
      <c r="F16" s="243" t="s">
        <v>1427</v>
      </c>
      <c r="G16" s="216"/>
      <c r="H16" s="216"/>
      <c r="I16" s="216"/>
      <c r="J16" s="216"/>
      <c r="K16" s="216"/>
      <c r="L16" s="216"/>
      <c r="M16" s="234"/>
      <c r="N16" s="234"/>
      <c r="O16" s="218" t="s">
        <v>1428</v>
      </c>
    </row>
    <row r="17" spans="1:15">
      <c r="A17" s="274"/>
      <c r="B17" s="277"/>
      <c r="C17" s="269"/>
      <c r="D17" s="242"/>
      <c r="E17" s="242">
        <v>4</v>
      </c>
      <c r="F17" s="243" t="s">
        <v>1429</v>
      </c>
      <c r="G17" s="216"/>
      <c r="H17" s="216"/>
      <c r="I17" s="216"/>
      <c r="J17" s="216"/>
      <c r="K17" s="216"/>
      <c r="L17" s="216"/>
      <c r="M17" s="234"/>
      <c r="N17" s="234"/>
      <c r="O17" s="218" t="s">
        <v>1430</v>
      </c>
    </row>
    <row r="18" spans="1:15">
      <c r="A18" s="274"/>
      <c r="B18" s="277"/>
      <c r="C18" s="269"/>
      <c r="D18" s="242"/>
      <c r="E18" s="242">
        <v>4</v>
      </c>
      <c r="F18" s="243" t="s">
        <v>1431</v>
      </c>
      <c r="G18" s="216"/>
      <c r="H18" s="216"/>
      <c r="I18" s="216"/>
      <c r="J18" s="216"/>
      <c r="K18" s="216"/>
      <c r="L18" s="216"/>
      <c r="M18" s="234"/>
      <c r="N18" s="234"/>
      <c r="O18" s="218" t="s">
        <v>1432</v>
      </c>
    </row>
    <row r="19" spans="1:15" ht="30">
      <c r="A19" s="274"/>
      <c r="B19" s="277"/>
      <c r="C19" s="269"/>
      <c r="D19" s="242"/>
      <c r="E19" s="242">
        <v>4</v>
      </c>
      <c r="F19" s="243" t="s">
        <v>1433</v>
      </c>
      <c r="G19" s="216"/>
      <c r="H19" s="216"/>
      <c r="I19" s="216"/>
      <c r="J19" s="216"/>
      <c r="K19" s="216"/>
      <c r="L19" s="216"/>
      <c r="M19" s="234"/>
      <c r="N19" s="234"/>
      <c r="O19" s="218" t="s">
        <v>1434</v>
      </c>
    </row>
    <row r="20" spans="1:15" ht="30">
      <c r="A20" s="274"/>
      <c r="B20" s="277"/>
      <c r="C20" s="269"/>
      <c r="D20" s="242"/>
      <c r="E20" s="242">
        <v>3</v>
      </c>
      <c r="F20" s="243" t="s">
        <v>1435</v>
      </c>
      <c r="G20" s="216"/>
      <c r="H20" s="216"/>
      <c r="I20" s="216"/>
      <c r="J20" s="216"/>
      <c r="K20" s="216"/>
      <c r="L20" s="216"/>
      <c r="M20" s="234"/>
      <c r="N20" s="234"/>
      <c r="O20" s="218" t="s">
        <v>1436</v>
      </c>
    </row>
    <row r="21" spans="1:15" ht="30">
      <c r="A21" s="274"/>
      <c r="B21" s="277"/>
      <c r="C21" s="270"/>
      <c r="D21" s="242"/>
      <c r="E21" s="242">
        <v>3</v>
      </c>
      <c r="F21" s="243" t="s">
        <v>1437</v>
      </c>
      <c r="G21" s="216"/>
      <c r="H21" s="216"/>
      <c r="I21" s="216"/>
      <c r="J21" s="216"/>
      <c r="K21" s="216"/>
      <c r="L21" s="216"/>
      <c r="M21" s="234"/>
      <c r="N21" s="234"/>
      <c r="O21" s="218" t="s">
        <v>1438</v>
      </c>
    </row>
    <row r="22" spans="1:15" ht="30">
      <c r="A22" s="274"/>
      <c r="B22" s="277"/>
      <c r="C22" s="265">
        <v>138</v>
      </c>
      <c r="D22" s="238"/>
      <c r="E22" s="238">
        <v>1</v>
      </c>
      <c r="F22" s="17" t="s">
        <v>1439</v>
      </c>
      <c r="G22" s="165">
        <v>0</v>
      </c>
      <c r="H22" s="165">
        <v>6</v>
      </c>
      <c r="I22" s="165">
        <v>37</v>
      </c>
      <c r="J22" s="174">
        <v>1</v>
      </c>
      <c r="K22" s="174">
        <v>790</v>
      </c>
      <c r="L22" s="174">
        <v>0</v>
      </c>
      <c r="M22" s="225"/>
      <c r="N22" s="238"/>
      <c r="O22" s="174" t="s">
        <v>1440</v>
      </c>
    </row>
    <row r="23" spans="1:15">
      <c r="A23" s="274"/>
      <c r="B23" s="277"/>
      <c r="C23" s="266"/>
      <c r="D23" s="238"/>
      <c r="E23" s="238">
        <v>2</v>
      </c>
      <c r="F23" s="17" t="s">
        <v>991</v>
      </c>
      <c r="G23" s="165">
        <v>2</v>
      </c>
      <c r="H23" s="165">
        <v>4</v>
      </c>
      <c r="I23" s="165">
        <v>48</v>
      </c>
      <c r="J23" s="174">
        <v>0</v>
      </c>
      <c r="K23" s="174">
        <v>1931</v>
      </c>
      <c r="L23" s="174">
        <v>0</v>
      </c>
      <c r="M23" s="225"/>
      <c r="N23" s="238"/>
      <c r="O23" s="174" t="s">
        <v>1441</v>
      </c>
    </row>
    <row r="24" spans="1:15" ht="30">
      <c r="A24" s="274"/>
      <c r="B24" s="277"/>
      <c r="C24" s="266"/>
      <c r="D24" s="238"/>
      <c r="E24" s="238">
        <v>2</v>
      </c>
      <c r="F24" s="17" t="s">
        <v>1442</v>
      </c>
      <c r="G24" s="165">
        <v>0</v>
      </c>
      <c r="H24" s="165">
        <v>1</v>
      </c>
      <c r="I24" s="165">
        <v>7</v>
      </c>
      <c r="J24" s="174">
        <v>0</v>
      </c>
      <c r="K24" s="174">
        <v>46</v>
      </c>
      <c r="L24" s="174">
        <v>0</v>
      </c>
      <c r="M24" s="225"/>
      <c r="N24" s="238"/>
      <c r="O24" s="174" t="s">
        <v>1443</v>
      </c>
    </row>
    <row r="25" spans="1:15">
      <c r="A25" s="274"/>
      <c r="B25" s="277"/>
      <c r="C25" s="266"/>
      <c r="D25" s="238">
        <v>15.138</v>
      </c>
      <c r="E25" s="238">
        <v>2</v>
      </c>
      <c r="F25" s="17" t="s">
        <v>982</v>
      </c>
      <c r="G25" s="165">
        <v>10</v>
      </c>
      <c r="H25" s="165">
        <v>17</v>
      </c>
      <c r="I25" s="165">
        <v>136</v>
      </c>
      <c r="J25" s="174">
        <v>1</v>
      </c>
      <c r="K25" s="174">
        <v>4274</v>
      </c>
      <c r="L25" s="174">
        <v>0</v>
      </c>
      <c r="M25" s="225"/>
      <c r="N25" s="238"/>
      <c r="O25" s="174" t="s">
        <v>1444</v>
      </c>
    </row>
    <row r="26" spans="1:15" ht="30">
      <c r="A26" s="274"/>
      <c r="B26" s="277"/>
      <c r="C26" s="267"/>
      <c r="D26" s="238"/>
      <c r="E26" s="238"/>
      <c r="F26" s="243" t="s">
        <v>1445</v>
      </c>
      <c r="G26" s="165"/>
      <c r="H26" s="165"/>
      <c r="I26" s="165"/>
      <c r="J26" s="174"/>
      <c r="K26" s="174"/>
      <c r="L26" s="174"/>
      <c r="M26" s="225"/>
      <c r="N26" s="238"/>
      <c r="O26" s="174" t="s">
        <v>1446</v>
      </c>
    </row>
    <row r="27" spans="1:15" ht="30">
      <c r="A27" s="274"/>
      <c r="B27" s="277"/>
      <c r="C27" s="268">
        <v>139</v>
      </c>
      <c r="D27" s="242"/>
      <c r="E27" s="242">
        <v>1</v>
      </c>
      <c r="F27" s="11" t="s">
        <v>1447</v>
      </c>
      <c r="G27" s="217">
        <v>0</v>
      </c>
      <c r="H27" s="217">
        <v>4</v>
      </c>
      <c r="I27" s="217">
        <v>25</v>
      </c>
      <c r="J27" s="217">
        <v>1</v>
      </c>
      <c r="K27" s="217">
        <v>555</v>
      </c>
      <c r="L27" s="217">
        <v>0</v>
      </c>
      <c r="M27" s="242"/>
      <c r="N27" s="216"/>
      <c r="O27" s="218" t="s">
        <v>1448</v>
      </c>
    </row>
    <row r="28" spans="1:15">
      <c r="A28" s="274"/>
      <c r="B28" s="277"/>
      <c r="C28" s="269"/>
      <c r="D28" s="242"/>
      <c r="E28" s="242">
        <v>2</v>
      </c>
      <c r="F28" s="11" t="s">
        <v>991</v>
      </c>
      <c r="G28" s="217">
        <v>2</v>
      </c>
      <c r="H28" s="217">
        <v>4</v>
      </c>
      <c r="I28" s="217">
        <v>48</v>
      </c>
      <c r="J28" s="217">
        <v>0</v>
      </c>
      <c r="K28" s="217">
        <v>1931</v>
      </c>
      <c r="L28" s="217">
        <v>0</v>
      </c>
      <c r="M28" s="234"/>
      <c r="N28" s="246"/>
      <c r="O28" s="218" t="s">
        <v>1449</v>
      </c>
    </row>
    <row r="29" spans="1:15">
      <c r="A29" s="274"/>
      <c r="B29" s="277"/>
      <c r="C29" s="270"/>
      <c r="D29" s="242">
        <v>15.138</v>
      </c>
      <c r="E29" s="242">
        <v>2</v>
      </c>
      <c r="F29" s="11" t="s">
        <v>858</v>
      </c>
      <c r="G29" s="217">
        <v>10</v>
      </c>
      <c r="H29" s="217">
        <v>17</v>
      </c>
      <c r="I29" s="217">
        <v>136</v>
      </c>
      <c r="J29" s="217">
        <v>1</v>
      </c>
      <c r="K29" s="217">
        <v>4274</v>
      </c>
      <c r="L29" s="217">
        <v>0</v>
      </c>
      <c r="M29" s="234"/>
      <c r="N29" s="246"/>
      <c r="O29" s="218" t="s">
        <v>1444</v>
      </c>
    </row>
    <row r="30" spans="1:15">
      <c r="A30" s="274"/>
      <c r="B30" s="277"/>
      <c r="C30" s="265">
        <v>140</v>
      </c>
      <c r="D30" s="238"/>
      <c r="E30" s="238">
        <v>1</v>
      </c>
      <c r="F30" s="17" t="s">
        <v>982</v>
      </c>
      <c r="G30" s="220">
        <v>10</v>
      </c>
      <c r="H30" s="220">
        <v>17</v>
      </c>
      <c r="I30" s="220">
        <v>136</v>
      </c>
      <c r="J30" s="220">
        <v>1</v>
      </c>
      <c r="K30" s="220">
        <v>4274</v>
      </c>
      <c r="L30" s="220">
        <v>0</v>
      </c>
      <c r="M30" s="225"/>
      <c r="N30" s="222"/>
      <c r="O30" s="174"/>
    </row>
    <row r="31" spans="1:15">
      <c r="A31" s="274"/>
      <c r="B31" s="277"/>
      <c r="C31" s="266"/>
      <c r="D31" s="238"/>
      <c r="E31" s="238">
        <v>2</v>
      </c>
      <c r="F31" s="17" t="s">
        <v>719</v>
      </c>
      <c r="G31" s="165">
        <v>2</v>
      </c>
      <c r="H31" s="165">
        <v>4</v>
      </c>
      <c r="I31" s="165">
        <v>48</v>
      </c>
      <c r="J31" s="174">
        <v>0</v>
      </c>
      <c r="K31" s="174">
        <v>1931</v>
      </c>
      <c r="L31" s="174">
        <v>0</v>
      </c>
      <c r="M31" s="225"/>
      <c r="N31" s="222"/>
      <c r="O31" s="174" t="s">
        <v>1450</v>
      </c>
    </row>
    <row r="32" spans="1:15" ht="30">
      <c r="A32" s="274"/>
      <c r="B32" s="277"/>
      <c r="C32" s="266"/>
      <c r="D32" s="238"/>
      <c r="E32" s="238"/>
      <c r="F32" s="243" t="s">
        <v>1451</v>
      </c>
      <c r="G32" s="165"/>
      <c r="H32" s="165"/>
      <c r="I32" s="165"/>
      <c r="J32" s="174"/>
      <c r="K32" s="174"/>
      <c r="L32" s="174"/>
      <c r="M32" s="225"/>
      <c r="N32" s="222"/>
      <c r="O32" s="174" t="s">
        <v>1452</v>
      </c>
    </row>
    <row r="33" spans="1:15" ht="30">
      <c r="A33" s="274"/>
      <c r="B33" s="277"/>
      <c r="C33" s="266"/>
      <c r="D33" s="238"/>
      <c r="E33" s="238">
        <v>2</v>
      </c>
      <c r="F33" s="17" t="s">
        <v>818</v>
      </c>
      <c r="G33" s="220">
        <v>0</v>
      </c>
      <c r="H33" s="220">
        <v>4</v>
      </c>
      <c r="I33" s="220">
        <v>59</v>
      </c>
      <c r="J33" s="220">
        <v>1</v>
      </c>
      <c r="K33" s="220">
        <v>3430</v>
      </c>
      <c r="L33" s="220">
        <v>2</v>
      </c>
      <c r="M33" s="225"/>
      <c r="N33" s="222"/>
      <c r="O33" s="174" t="s">
        <v>1453</v>
      </c>
    </row>
    <row r="34" spans="1:15" ht="30">
      <c r="A34" s="274"/>
      <c r="B34" s="277"/>
      <c r="C34" s="266"/>
      <c r="D34" s="238"/>
      <c r="E34" s="238">
        <v>2</v>
      </c>
      <c r="F34" s="17" t="s">
        <v>1129</v>
      </c>
      <c r="G34" s="220">
        <v>3</v>
      </c>
      <c r="H34" s="220">
        <v>12</v>
      </c>
      <c r="I34" s="220">
        <v>85</v>
      </c>
      <c r="J34" s="220">
        <v>1</v>
      </c>
      <c r="K34" s="220">
        <v>2750</v>
      </c>
      <c r="L34" s="220">
        <v>0</v>
      </c>
      <c r="M34" s="225"/>
      <c r="N34" s="222"/>
      <c r="O34" s="174" t="s">
        <v>1453</v>
      </c>
    </row>
    <row r="35" spans="1:15" ht="30">
      <c r="A35" s="274"/>
      <c r="B35" s="277"/>
      <c r="C35" s="266"/>
      <c r="D35" s="238"/>
      <c r="E35" s="238">
        <v>2</v>
      </c>
      <c r="F35" s="17" t="s">
        <v>1454</v>
      </c>
      <c r="G35" s="220">
        <v>11</v>
      </c>
      <c r="H35" s="220">
        <v>24</v>
      </c>
      <c r="I35" s="220">
        <v>220</v>
      </c>
      <c r="J35" s="220">
        <v>1</v>
      </c>
      <c r="K35" s="220">
        <v>12238</v>
      </c>
      <c r="L35" s="220">
        <v>3</v>
      </c>
      <c r="M35" s="225"/>
      <c r="N35" s="222"/>
      <c r="O35" s="174" t="s">
        <v>1453</v>
      </c>
    </row>
    <row r="36" spans="1:15" ht="30">
      <c r="A36" s="274"/>
      <c r="B36" s="277"/>
      <c r="C36" s="266"/>
      <c r="D36" s="238"/>
      <c r="E36" s="238">
        <v>2</v>
      </c>
      <c r="F36" s="17" t="s">
        <v>1455</v>
      </c>
      <c r="G36" s="220">
        <v>11</v>
      </c>
      <c r="H36" s="220">
        <v>24</v>
      </c>
      <c r="I36" s="220">
        <v>214</v>
      </c>
      <c r="J36" s="220">
        <v>1</v>
      </c>
      <c r="K36" s="220">
        <v>11731</v>
      </c>
      <c r="L36" s="220">
        <v>3</v>
      </c>
      <c r="M36" s="225"/>
      <c r="N36" s="222"/>
      <c r="O36" s="174" t="s">
        <v>1453</v>
      </c>
    </row>
    <row r="37" spans="1:15" ht="30">
      <c r="A37" s="274"/>
      <c r="B37" s="277"/>
      <c r="C37" s="266"/>
      <c r="D37" s="238"/>
      <c r="E37" s="238">
        <v>2</v>
      </c>
      <c r="F37" s="17" t="s">
        <v>1456</v>
      </c>
      <c r="G37" s="220">
        <v>8</v>
      </c>
      <c r="H37" s="220">
        <v>17</v>
      </c>
      <c r="I37" s="220">
        <v>158</v>
      </c>
      <c r="J37" s="220">
        <v>1</v>
      </c>
      <c r="K37" s="220">
        <v>5675</v>
      </c>
      <c r="L37" s="220">
        <v>1</v>
      </c>
      <c r="M37" s="225"/>
      <c r="N37" s="222"/>
      <c r="O37" s="174" t="s">
        <v>1453</v>
      </c>
    </row>
    <row r="38" spans="1:15" ht="30">
      <c r="A38" s="274"/>
      <c r="B38" s="277"/>
      <c r="C38" s="266"/>
      <c r="D38" s="238"/>
      <c r="E38" s="238">
        <v>2</v>
      </c>
      <c r="F38" s="17" t="s">
        <v>854</v>
      </c>
      <c r="G38" s="220">
        <v>14</v>
      </c>
      <c r="H38" s="220">
        <v>54</v>
      </c>
      <c r="I38" s="220">
        <v>344</v>
      </c>
      <c r="J38" s="220">
        <v>1</v>
      </c>
      <c r="K38" s="220">
        <v>11426</v>
      </c>
      <c r="L38" s="220">
        <v>1</v>
      </c>
      <c r="M38" s="225"/>
      <c r="N38" s="222"/>
      <c r="O38" s="174" t="s">
        <v>1453</v>
      </c>
    </row>
    <row r="39" spans="1:15" ht="30">
      <c r="A39" s="274"/>
      <c r="B39" s="277"/>
      <c r="C39" s="266"/>
      <c r="D39" s="238">
        <v>15.137</v>
      </c>
      <c r="E39" s="238">
        <v>2</v>
      </c>
      <c r="F39" s="17" t="s">
        <v>1447</v>
      </c>
      <c r="G39" s="220">
        <v>0</v>
      </c>
      <c r="H39" s="220">
        <v>4</v>
      </c>
      <c r="I39" s="220">
        <v>25</v>
      </c>
      <c r="J39" s="220">
        <v>1</v>
      </c>
      <c r="K39" s="220">
        <v>555</v>
      </c>
      <c r="L39" s="220">
        <v>0</v>
      </c>
      <c r="M39" s="225"/>
      <c r="N39" s="222"/>
      <c r="O39" s="174" t="s">
        <v>1453</v>
      </c>
    </row>
    <row r="40" spans="1:15">
      <c r="A40" s="274"/>
      <c r="B40" s="277"/>
      <c r="C40" s="267"/>
      <c r="D40" s="238">
        <v>15.138</v>
      </c>
      <c r="E40" s="238">
        <v>2</v>
      </c>
      <c r="F40" s="17" t="s">
        <v>768</v>
      </c>
      <c r="G40" s="220">
        <v>5</v>
      </c>
      <c r="H40" s="220">
        <v>5</v>
      </c>
      <c r="I40" s="220">
        <v>32</v>
      </c>
      <c r="J40" s="220">
        <v>0</v>
      </c>
      <c r="K40" s="220">
        <v>984</v>
      </c>
      <c r="L40" s="220">
        <v>0</v>
      </c>
      <c r="M40" s="225"/>
      <c r="N40" s="222"/>
      <c r="O40" s="174"/>
    </row>
    <row r="41" spans="1:15">
      <c r="A41" s="274"/>
      <c r="B41" s="277"/>
      <c r="C41" s="234">
        <v>141</v>
      </c>
      <c r="D41" s="242"/>
      <c r="E41" s="242">
        <v>1</v>
      </c>
      <c r="F41" s="11" t="s">
        <v>1457</v>
      </c>
      <c r="G41" s="216">
        <v>0</v>
      </c>
      <c r="H41" s="216">
        <v>3</v>
      </c>
      <c r="I41" s="216">
        <v>20</v>
      </c>
      <c r="J41" s="216">
        <v>0</v>
      </c>
      <c r="K41" s="216">
        <v>142</v>
      </c>
      <c r="L41" s="216">
        <v>2</v>
      </c>
      <c r="M41" s="242"/>
      <c r="N41" s="242"/>
      <c r="O41" s="218"/>
    </row>
    <row r="42" spans="1:15" ht="30">
      <c r="A42" s="274"/>
      <c r="B42" s="277"/>
      <c r="C42" s="265">
        <v>142</v>
      </c>
      <c r="D42" s="238"/>
      <c r="E42" s="238">
        <v>1</v>
      </c>
      <c r="F42" s="5" t="s">
        <v>1458</v>
      </c>
      <c r="G42" s="165">
        <v>0</v>
      </c>
      <c r="H42" s="165">
        <v>5</v>
      </c>
      <c r="I42" s="165">
        <v>20</v>
      </c>
      <c r="J42" s="165">
        <v>1</v>
      </c>
      <c r="K42" s="165">
        <v>643</v>
      </c>
      <c r="L42" s="165">
        <v>0</v>
      </c>
      <c r="M42" s="238"/>
      <c r="N42" s="238"/>
      <c r="O42" s="174"/>
    </row>
    <row r="43" spans="1:15" ht="30">
      <c r="A43" s="274"/>
      <c r="B43" s="277"/>
      <c r="C43" s="267"/>
      <c r="D43" s="238"/>
      <c r="E43" s="238">
        <v>2</v>
      </c>
      <c r="F43" s="5" t="s">
        <v>1442</v>
      </c>
      <c r="G43" s="165">
        <v>0</v>
      </c>
      <c r="H43" s="165">
        <v>1</v>
      </c>
      <c r="I43" s="165">
        <v>7</v>
      </c>
      <c r="J43" s="165">
        <v>0</v>
      </c>
      <c r="K43" s="165">
        <v>46</v>
      </c>
      <c r="L43" s="165">
        <v>0</v>
      </c>
      <c r="M43" s="238"/>
      <c r="N43" s="238"/>
      <c r="O43" s="174" t="s">
        <v>1459</v>
      </c>
    </row>
    <row r="44" spans="1:15">
      <c r="A44" s="274"/>
      <c r="B44" s="277"/>
      <c r="C44" s="268">
        <v>143</v>
      </c>
      <c r="D44" s="242"/>
      <c r="E44" s="242">
        <v>1</v>
      </c>
      <c r="F44" s="8" t="s">
        <v>1460</v>
      </c>
      <c r="G44" s="216">
        <v>0</v>
      </c>
      <c r="H44" s="216">
        <v>2</v>
      </c>
      <c r="I44" s="216">
        <v>16</v>
      </c>
      <c r="J44" s="216">
        <v>1</v>
      </c>
      <c r="K44" s="216">
        <v>103</v>
      </c>
      <c r="L44" s="216">
        <v>0</v>
      </c>
      <c r="M44" s="216"/>
      <c r="N44" s="216"/>
      <c r="O44" s="218"/>
    </row>
    <row r="45" spans="1:15">
      <c r="A45" s="274"/>
      <c r="B45" s="277"/>
      <c r="C45" s="269"/>
      <c r="D45" s="242"/>
      <c r="E45" s="242">
        <v>2</v>
      </c>
      <c r="F45" s="8" t="s">
        <v>1461</v>
      </c>
      <c r="G45" s="216">
        <v>0</v>
      </c>
      <c r="H45" s="216">
        <v>0</v>
      </c>
      <c r="I45" s="216">
        <v>14</v>
      </c>
      <c r="J45" s="216">
        <v>0</v>
      </c>
      <c r="K45" s="216">
        <v>356</v>
      </c>
      <c r="L45" s="216">
        <v>0</v>
      </c>
      <c r="M45" s="216"/>
      <c r="N45" s="216"/>
      <c r="O45" s="218" t="s">
        <v>1462</v>
      </c>
    </row>
    <row r="46" spans="1:15" ht="30">
      <c r="A46" s="274"/>
      <c r="B46" s="277"/>
      <c r="C46" s="269"/>
      <c r="D46" s="242"/>
      <c r="E46" s="242"/>
      <c r="F46" s="244" t="s">
        <v>1226</v>
      </c>
      <c r="G46" s="216"/>
      <c r="H46" s="216"/>
      <c r="I46" s="216"/>
      <c r="J46" s="216"/>
      <c r="K46" s="216"/>
      <c r="L46" s="216"/>
      <c r="M46" s="216"/>
      <c r="N46" s="216"/>
      <c r="O46" s="218" t="s">
        <v>1463</v>
      </c>
    </row>
    <row r="47" spans="1:15">
      <c r="A47" s="274"/>
      <c r="B47" s="277"/>
      <c r="C47" s="270"/>
      <c r="D47" s="242"/>
      <c r="E47" s="242"/>
      <c r="F47" s="244" t="s">
        <v>1032</v>
      </c>
      <c r="G47" s="216"/>
      <c r="H47" s="216"/>
      <c r="I47" s="216"/>
      <c r="J47" s="216"/>
      <c r="K47" s="216"/>
      <c r="L47" s="216"/>
      <c r="M47" s="216"/>
      <c r="N47" s="216"/>
      <c r="O47" s="218" t="s">
        <v>886</v>
      </c>
    </row>
    <row r="48" spans="1:15">
      <c r="A48" s="274"/>
      <c r="B48" s="277"/>
      <c r="C48" s="265">
        <v>144</v>
      </c>
      <c r="D48" s="238"/>
      <c r="E48" s="238">
        <v>1</v>
      </c>
      <c r="F48" s="17" t="s">
        <v>1464</v>
      </c>
      <c r="G48" s="165">
        <v>0</v>
      </c>
      <c r="H48" s="165">
        <v>8</v>
      </c>
      <c r="I48" s="165">
        <v>86</v>
      </c>
      <c r="J48" s="165">
        <v>1</v>
      </c>
      <c r="K48" s="165">
        <v>784</v>
      </c>
      <c r="L48" s="165">
        <v>7</v>
      </c>
      <c r="M48" s="165"/>
      <c r="N48" s="165"/>
      <c r="O48" s="174"/>
    </row>
    <row r="49" spans="1:15">
      <c r="A49" s="274"/>
      <c r="B49" s="277"/>
      <c r="C49" s="266"/>
      <c r="D49" s="238"/>
      <c r="E49" s="238"/>
      <c r="F49" s="243" t="s">
        <v>1240</v>
      </c>
      <c r="G49" s="165"/>
      <c r="H49" s="165"/>
      <c r="I49" s="165"/>
      <c r="J49" s="165"/>
      <c r="K49" s="165"/>
      <c r="L49" s="165"/>
      <c r="M49" s="165"/>
      <c r="N49" s="165"/>
      <c r="O49" s="174" t="s">
        <v>1419</v>
      </c>
    </row>
    <row r="50" spans="1:15">
      <c r="A50" s="274"/>
      <c r="B50" s="277"/>
      <c r="C50" s="266"/>
      <c r="D50" s="238"/>
      <c r="E50" s="238"/>
      <c r="F50" s="243" t="s">
        <v>1032</v>
      </c>
      <c r="G50" s="165"/>
      <c r="H50" s="165"/>
      <c r="I50" s="165"/>
      <c r="J50" s="165"/>
      <c r="K50" s="165"/>
      <c r="L50" s="165"/>
      <c r="M50" s="165"/>
      <c r="N50" s="165"/>
      <c r="O50" s="174" t="s">
        <v>886</v>
      </c>
    </row>
    <row r="51" spans="1:15">
      <c r="A51" s="274"/>
      <c r="B51" s="277"/>
      <c r="C51" s="266"/>
      <c r="D51" s="238"/>
      <c r="E51" s="238"/>
      <c r="F51" s="243" t="s">
        <v>1465</v>
      </c>
      <c r="G51" s="165"/>
      <c r="H51" s="165"/>
      <c r="I51" s="165"/>
      <c r="J51" s="165"/>
      <c r="K51" s="165"/>
      <c r="L51" s="165"/>
      <c r="M51" s="165"/>
      <c r="N51" s="165"/>
      <c r="O51" s="174" t="s">
        <v>1466</v>
      </c>
    </row>
    <row r="52" spans="1:15" ht="30">
      <c r="A52" s="274"/>
      <c r="B52" s="277"/>
      <c r="C52" s="267"/>
      <c r="D52" s="238"/>
      <c r="E52" s="238"/>
      <c r="F52" s="243" t="s">
        <v>1467</v>
      </c>
      <c r="G52" s="165"/>
      <c r="H52" s="165"/>
      <c r="I52" s="165"/>
      <c r="J52" s="165"/>
      <c r="K52" s="165"/>
      <c r="L52" s="165"/>
      <c r="M52" s="165"/>
      <c r="N52" s="165"/>
      <c r="O52" s="174" t="s">
        <v>1468</v>
      </c>
    </row>
    <row r="53" spans="1:15">
      <c r="A53" s="240"/>
      <c r="B53" s="237"/>
      <c r="C53" s="240"/>
      <c r="D53" s="240"/>
      <c r="E53" s="240"/>
      <c r="F53"/>
      <c r="G53" s="240"/>
      <c r="H53" s="240"/>
      <c r="I53" s="240"/>
      <c r="J53" s="240"/>
      <c r="K53" s="240"/>
      <c r="L53" s="240"/>
      <c r="M53" s="240"/>
      <c r="N53" s="240"/>
      <c r="O53" s="237"/>
    </row>
    <row r="54" spans="1:15">
      <c r="A54" s="240"/>
      <c r="B54" s="240"/>
      <c r="C54" s="240"/>
      <c r="D54" s="240"/>
      <c r="E54" s="240"/>
      <c r="F54"/>
      <c r="G54" s="240"/>
      <c r="H54" s="240"/>
      <c r="I54" s="240"/>
      <c r="J54" s="240"/>
      <c r="K54" s="240"/>
      <c r="L54" s="240"/>
      <c r="M54" s="240"/>
      <c r="N54" s="240"/>
      <c r="O54" s="237"/>
    </row>
    <row r="55" spans="1:15">
      <c r="A55" s="240"/>
      <c r="B55" s="240"/>
      <c r="C55" s="240"/>
      <c r="D55" s="240"/>
      <c r="E55" s="240"/>
      <c r="F55"/>
      <c r="G55" s="240"/>
      <c r="H55" s="240"/>
      <c r="I55" s="240"/>
      <c r="J55" s="240"/>
      <c r="K55" s="240"/>
      <c r="L55" s="240"/>
      <c r="M55" s="240"/>
      <c r="N55" s="240"/>
      <c r="O55" s="237"/>
    </row>
    <row r="56" spans="1:15">
      <c r="A56" s="240"/>
      <c r="B56" s="240"/>
      <c r="C56" s="240"/>
      <c r="D56" s="240"/>
      <c r="E56"/>
      <c r="F56"/>
      <c r="G56" s="240"/>
      <c r="H56" s="240"/>
      <c r="I56" s="240"/>
      <c r="J56" s="240"/>
      <c r="K56" s="240"/>
      <c r="L56" s="240"/>
      <c r="M56" s="240"/>
      <c r="N56" s="240"/>
      <c r="O56" s="237"/>
    </row>
    <row r="57" spans="1:15">
      <c r="A57" s="240"/>
      <c r="B57" s="240"/>
      <c r="C57" s="240"/>
      <c r="D57"/>
      <c r="E57"/>
      <c r="F57"/>
      <c r="G57"/>
      <c r="H57" s="240"/>
      <c r="I57" s="240"/>
      <c r="J57" s="240"/>
      <c r="K57" s="240"/>
      <c r="L57" s="240"/>
      <c r="M57" s="240"/>
      <c r="N57" s="240"/>
      <c r="O57" s="237"/>
    </row>
    <row r="58" spans="1:15">
      <c r="A58" s="240"/>
      <c r="B58" s="240"/>
      <c r="C58" s="240"/>
      <c r="D58"/>
      <c r="E58"/>
      <c r="F58"/>
      <c r="G58"/>
      <c r="H58" s="240"/>
      <c r="I58" s="240"/>
      <c r="J58" s="240"/>
      <c r="K58" s="240"/>
      <c r="L58" s="240"/>
      <c r="M58" s="240"/>
      <c r="N58" s="240"/>
      <c r="O58" s="237"/>
    </row>
    <row r="59" spans="1:15">
      <c r="A59" s="240"/>
      <c r="B59" s="240"/>
      <c r="C59" s="240"/>
      <c r="D59"/>
      <c r="E59"/>
      <c r="F59"/>
      <c r="G59"/>
      <c r="H59" s="240"/>
      <c r="I59" s="240"/>
      <c r="J59" s="240"/>
      <c r="K59" s="240"/>
      <c r="L59" s="240"/>
      <c r="M59" s="240"/>
      <c r="N59" s="240"/>
      <c r="O59" s="237"/>
    </row>
    <row r="60" spans="1:15">
      <c r="A60" s="240"/>
      <c r="B60" s="240"/>
      <c r="C60" s="240"/>
      <c r="D60"/>
      <c r="E60"/>
      <c r="F60"/>
      <c r="G60"/>
      <c r="H60" s="240"/>
      <c r="I60" s="240"/>
      <c r="J60" s="240"/>
      <c r="K60" s="240"/>
      <c r="L60" s="240"/>
      <c r="M60" s="240"/>
      <c r="N60" s="240"/>
      <c r="O60" s="237"/>
    </row>
    <row r="61" spans="1:15">
      <c r="A61" s="240"/>
      <c r="B61" s="240"/>
      <c r="C61" s="240"/>
      <c r="D61"/>
      <c r="E61"/>
      <c r="F61"/>
      <c r="G61"/>
      <c r="H61" s="240"/>
      <c r="I61" s="240"/>
      <c r="J61" s="240"/>
      <c r="K61" s="240"/>
      <c r="L61" s="240"/>
      <c r="M61" s="240"/>
      <c r="N61" s="240"/>
      <c r="O61" s="237"/>
    </row>
    <row r="62" spans="1:15">
      <c r="A62" s="240"/>
      <c r="B62" s="240"/>
      <c r="C62" s="240"/>
      <c r="D62"/>
      <c r="E62"/>
      <c r="F62"/>
      <c r="G62"/>
      <c r="H62" s="240"/>
      <c r="I62" s="240"/>
      <c r="J62" s="240"/>
      <c r="K62" s="240"/>
      <c r="L62" s="240"/>
      <c r="M62" s="240"/>
      <c r="N62" s="240"/>
      <c r="O62" s="237"/>
    </row>
    <row r="63" spans="1:15">
      <c r="A63" s="240"/>
      <c r="B63" s="240"/>
      <c r="C63" s="240"/>
      <c r="D63"/>
      <c r="E63"/>
      <c r="F63"/>
      <c r="G63"/>
      <c r="H63" s="240"/>
      <c r="I63" s="240"/>
      <c r="J63" s="240"/>
      <c r="K63" s="240"/>
      <c r="L63" s="240"/>
      <c r="M63" s="240"/>
      <c r="N63" s="240"/>
      <c r="O63" s="237"/>
    </row>
    <row r="64" spans="1:15">
      <c r="A64" s="240"/>
      <c r="B64" s="240"/>
      <c r="C64" s="240"/>
      <c r="D64"/>
      <c r="E64"/>
      <c r="F64"/>
      <c r="G64"/>
      <c r="H64" s="240"/>
      <c r="I64" s="240"/>
      <c r="J64" s="240"/>
      <c r="K64" s="240"/>
      <c r="L64" s="240"/>
      <c r="M64" s="240"/>
      <c r="N64" s="240"/>
      <c r="O64" s="237"/>
    </row>
    <row r="65" spans="4:7">
      <c r="D65"/>
      <c r="E65"/>
      <c r="F65"/>
      <c r="G65"/>
    </row>
    <row r="66" spans="4:7">
      <c r="D66"/>
      <c r="E66"/>
      <c r="F66"/>
      <c r="G66"/>
    </row>
    <row r="67" spans="4:7">
      <c r="D67"/>
      <c r="E67"/>
      <c r="F67"/>
      <c r="G67"/>
    </row>
    <row r="68" spans="4:7">
      <c r="D68"/>
      <c r="E68"/>
      <c r="F68"/>
      <c r="G68"/>
    </row>
    <row r="69" spans="4:7">
      <c r="D69"/>
      <c r="E69"/>
      <c r="F69"/>
      <c r="G69"/>
    </row>
    <row r="70" spans="4:7">
      <c r="D70"/>
      <c r="E70"/>
      <c r="F70"/>
      <c r="G70"/>
    </row>
    <row r="71" spans="4:7">
      <c r="D71"/>
      <c r="E71"/>
      <c r="F71"/>
      <c r="G71"/>
    </row>
    <row r="72" spans="4:7">
      <c r="D72"/>
      <c r="E72"/>
      <c r="F72"/>
      <c r="G72"/>
    </row>
    <row r="73" spans="4:7">
      <c r="D73"/>
      <c r="E73"/>
      <c r="F73"/>
      <c r="G73"/>
    </row>
    <row r="74" spans="4:7">
      <c r="D74"/>
      <c r="E74"/>
      <c r="F74"/>
      <c r="G74"/>
    </row>
  </sheetData>
  <mergeCells count="10">
    <mergeCell ref="A2:A52"/>
    <mergeCell ref="B2:B52"/>
    <mergeCell ref="C27:C29"/>
    <mergeCell ref="C30:C40"/>
    <mergeCell ref="C42:C43"/>
    <mergeCell ref="C2:C7"/>
    <mergeCell ref="C8:C21"/>
    <mergeCell ref="C22:C26"/>
    <mergeCell ref="C44:C47"/>
    <mergeCell ref="C48:C5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DF2C-C7AB-4C68-B52E-C648062B0823}">
  <dimension ref="A1:O69"/>
  <sheetViews>
    <sheetView zoomScaleNormal="100" workbookViewId="0">
      <pane ySplit="1" topLeftCell="A13" activePane="bottomLeft" state="frozen"/>
      <selection pane="bottomLeft" activeCell="F39" sqref="F39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3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16</v>
      </c>
      <c r="B2" s="277" t="s">
        <v>1469</v>
      </c>
      <c r="C2" s="265">
        <v>145</v>
      </c>
      <c r="D2" s="238"/>
      <c r="E2" s="238">
        <v>1</v>
      </c>
      <c r="F2" s="17" t="s">
        <v>1470</v>
      </c>
      <c r="G2" s="221">
        <v>0</v>
      </c>
      <c r="H2" s="221">
        <v>3</v>
      </c>
      <c r="I2" s="221">
        <v>19</v>
      </c>
      <c r="J2" s="220">
        <v>1</v>
      </c>
      <c r="K2" s="220">
        <v>664</v>
      </c>
      <c r="L2" s="220">
        <v>0</v>
      </c>
      <c r="M2" s="222"/>
      <c r="N2" s="222"/>
      <c r="O2" s="165"/>
    </row>
    <row r="3" spans="1:15">
      <c r="A3" s="274"/>
      <c r="B3" s="277"/>
      <c r="C3" s="266"/>
      <c r="D3" s="238">
        <v>8.7899999999999991</v>
      </c>
      <c r="E3" s="238">
        <v>2</v>
      </c>
      <c r="F3" s="17" t="s">
        <v>1258</v>
      </c>
      <c r="G3" s="221">
        <v>0</v>
      </c>
      <c r="H3" s="221">
        <v>3</v>
      </c>
      <c r="I3" s="221">
        <v>32</v>
      </c>
      <c r="J3" s="220">
        <v>0</v>
      </c>
      <c r="K3" s="220">
        <v>1594</v>
      </c>
      <c r="L3" s="220">
        <v>0</v>
      </c>
      <c r="M3" s="222"/>
      <c r="N3" s="222"/>
      <c r="O3" s="165" t="s">
        <v>888</v>
      </c>
    </row>
    <row r="4" spans="1:15" ht="30">
      <c r="A4" s="274"/>
      <c r="B4" s="277"/>
      <c r="C4" s="266"/>
      <c r="D4" s="238"/>
      <c r="E4" s="238"/>
      <c r="F4" s="243" t="s">
        <v>740</v>
      </c>
      <c r="G4" s="221"/>
      <c r="H4" s="221"/>
      <c r="I4" s="221"/>
      <c r="J4" s="220"/>
      <c r="K4" s="220"/>
      <c r="L4" s="220"/>
      <c r="M4" s="222"/>
      <c r="N4" s="222"/>
      <c r="O4" s="174" t="s">
        <v>1471</v>
      </c>
    </row>
    <row r="5" spans="1:15" ht="60">
      <c r="A5" s="274"/>
      <c r="B5" s="277"/>
      <c r="C5" s="266"/>
      <c r="D5" s="238"/>
      <c r="E5" s="238"/>
      <c r="F5" s="243" t="s">
        <v>1472</v>
      </c>
      <c r="G5" s="221"/>
      <c r="H5" s="221"/>
      <c r="I5" s="221"/>
      <c r="J5" s="220"/>
      <c r="K5" s="220"/>
      <c r="L5" s="220"/>
      <c r="M5" s="222"/>
      <c r="N5" s="222"/>
      <c r="O5" s="174" t="s">
        <v>1473</v>
      </c>
    </row>
    <row r="6" spans="1:15" ht="60">
      <c r="A6" s="274"/>
      <c r="B6" s="277"/>
      <c r="C6" s="266"/>
      <c r="D6" s="238"/>
      <c r="E6" s="238"/>
      <c r="F6" s="243" t="s">
        <v>1474</v>
      </c>
      <c r="G6" s="221"/>
      <c r="H6" s="221"/>
      <c r="I6" s="221"/>
      <c r="J6" s="220"/>
      <c r="K6" s="220"/>
      <c r="L6" s="220"/>
      <c r="M6" s="222"/>
      <c r="N6" s="222"/>
      <c r="O6" s="174" t="s">
        <v>1475</v>
      </c>
    </row>
    <row r="7" spans="1:15">
      <c r="A7" s="274"/>
      <c r="B7" s="277"/>
      <c r="C7" s="267"/>
      <c r="D7" s="238"/>
      <c r="E7" s="238"/>
      <c r="F7" s="243" t="s">
        <v>1476</v>
      </c>
      <c r="G7" s="221"/>
      <c r="H7" s="221"/>
      <c r="I7" s="221"/>
      <c r="J7" s="220"/>
      <c r="K7" s="220"/>
      <c r="L7" s="220"/>
      <c r="M7" s="222"/>
      <c r="N7" s="222"/>
      <c r="O7" s="174" t="s">
        <v>1477</v>
      </c>
    </row>
    <row r="8" spans="1:15">
      <c r="A8" s="274"/>
      <c r="B8" s="277"/>
      <c r="C8" s="268">
        <v>146</v>
      </c>
      <c r="D8" s="242"/>
      <c r="E8" s="242">
        <v>1</v>
      </c>
      <c r="F8" s="8" t="s">
        <v>1478</v>
      </c>
      <c r="G8" s="216">
        <v>0</v>
      </c>
      <c r="H8" s="216">
        <v>2</v>
      </c>
      <c r="I8" s="216">
        <v>22</v>
      </c>
      <c r="J8" s="216">
        <v>1</v>
      </c>
      <c r="K8" s="216">
        <v>1497</v>
      </c>
      <c r="L8" s="216">
        <v>0</v>
      </c>
      <c r="M8" s="234"/>
      <c r="N8" s="234"/>
      <c r="O8" s="216"/>
    </row>
    <row r="9" spans="1:15">
      <c r="A9" s="274"/>
      <c r="B9" s="277"/>
      <c r="C9" s="270"/>
      <c r="D9" s="242"/>
      <c r="E9" s="242">
        <v>2</v>
      </c>
      <c r="F9" s="8" t="s">
        <v>1479</v>
      </c>
      <c r="G9" s="216">
        <v>0</v>
      </c>
      <c r="H9" s="216">
        <v>2</v>
      </c>
      <c r="I9" s="216">
        <v>5</v>
      </c>
      <c r="J9" s="216">
        <v>0</v>
      </c>
      <c r="K9" s="216">
        <v>176</v>
      </c>
      <c r="L9" s="216">
        <v>0</v>
      </c>
      <c r="M9" s="234"/>
      <c r="N9" s="234"/>
      <c r="O9" s="216" t="s">
        <v>888</v>
      </c>
    </row>
    <row r="10" spans="1:15">
      <c r="A10" s="274"/>
      <c r="B10" s="277"/>
      <c r="C10" s="265">
        <v>147</v>
      </c>
      <c r="D10" s="238"/>
      <c r="E10" s="238">
        <v>1</v>
      </c>
      <c r="F10" s="17" t="s">
        <v>1480</v>
      </c>
      <c r="G10" s="165">
        <v>0</v>
      </c>
      <c r="H10" s="165">
        <v>3</v>
      </c>
      <c r="I10" s="165">
        <v>22</v>
      </c>
      <c r="J10" s="174">
        <v>1</v>
      </c>
      <c r="K10" s="174">
        <v>765</v>
      </c>
      <c r="L10" s="174">
        <v>0</v>
      </c>
      <c r="M10" s="225"/>
      <c r="N10" s="238"/>
      <c r="O10" s="165"/>
    </row>
    <row r="11" spans="1:15">
      <c r="A11" s="274"/>
      <c r="B11" s="277"/>
      <c r="C11" s="266"/>
      <c r="D11" s="238">
        <v>8.7899999999999991</v>
      </c>
      <c r="E11" s="238">
        <v>2</v>
      </c>
      <c r="F11" s="17" t="s">
        <v>1258</v>
      </c>
      <c r="G11" s="221">
        <v>0</v>
      </c>
      <c r="H11" s="221">
        <v>3</v>
      </c>
      <c r="I11" s="221">
        <v>32</v>
      </c>
      <c r="J11" s="220">
        <v>0</v>
      </c>
      <c r="K11" s="220">
        <v>1594</v>
      </c>
      <c r="L11" s="220">
        <v>0</v>
      </c>
      <c r="M11" s="225"/>
      <c r="N11" s="238"/>
      <c r="O11" s="165"/>
    </row>
    <row r="12" spans="1:15" ht="30">
      <c r="A12" s="274"/>
      <c r="B12" s="277"/>
      <c r="C12" s="266"/>
      <c r="D12" s="238"/>
      <c r="E12" s="238"/>
      <c r="F12" s="243" t="s">
        <v>740</v>
      </c>
      <c r="G12" s="221"/>
      <c r="H12" s="221"/>
      <c r="I12" s="221"/>
      <c r="J12" s="220"/>
      <c r="K12" s="220"/>
      <c r="L12" s="220"/>
      <c r="M12" s="222"/>
      <c r="N12" s="222"/>
      <c r="O12" s="174" t="s">
        <v>1471</v>
      </c>
    </row>
    <row r="13" spans="1:15" ht="60">
      <c r="A13" s="274"/>
      <c r="B13" s="277"/>
      <c r="C13" s="266"/>
      <c r="D13" s="238"/>
      <c r="E13" s="238"/>
      <c r="F13" s="243" t="s">
        <v>1472</v>
      </c>
      <c r="G13" s="221"/>
      <c r="H13" s="221"/>
      <c r="I13" s="221"/>
      <c r="J13" s="220"/>
      <c r="K13" s="220"/>
      <c r="L13" s="220"/>
      <c r="M13" s="222"/>
      <c r="N13" s="222"/>
      <c r="O13" s="174" t="s">
        <v>1473</v>
      </c>
    </row>
    <row r="14" spans="1:15" ht="60">
      <c r="A14" s="274"/>
      <c r="B14" s="277"/>
      <c r="C14" s="266"/>
      <c r="D14" s="238"/>
      <c r="E14" s="238"/>
      <c r="F14" s="243" t="s">
        <v>1474</v>
      </c>
      <c r="G14" s="221"/>
      <c r="H14" s="221"/>
      <c r="I14" s="221"/>
      <c r="J14" s="220"/>
      <c r="K14" s="220"/>
      <c r="L14" s="220"/>
      <c r="M14" s="222"/>
      <c r="N14" s="222"/>
      <c r="O14" s="174" t="s">
        <v>1475</v>
      </c>
    </row>
    <row r="15" spans="1:15">
      <c r="A15" s="274"/>
      <c r="B15" s="277"/>
      <c r="C15" s="267"/>
      <c r="D15" s="238"/>
      <c r="E15" s="238"/>
      <c r="F15" s="243" t="s">
        <v>1476</v>
      </c>
      <c r="G15" s="221"/>
      <c r="H15" s="221"/>
      <c r="I15" s="221"/>
      <c r="J15" s="220"/>
      <c r="K15" s="220"/>
      <c r="L15" s="220"/>
      <c r="M15" s="222"/>
      <c r="N15" s="222"/>
      <c r="O15" s="174" t="s">
        <v>1477</v>
      </c>
    </row>
    <row r="16" spans="1:15">
      <c r="A16" s="274"/>
      <c r="B16" s="277"/>
      <c r="C16" s="268">
        <v>148</v>
      </c>
      <c r="D16" s="242"/>
      <c r="E16" s="242">
        <v>1</v>
      </c>
      <c r="F16" s="11" t="s">
        <v>1481</v>
      </c>
      <c r="G16" s="217">
        <v>0</v>
      </c>
      <c r="H16" s="217">
        <v>2</v>
      </c>
      <c r="I16" s="217">
        <v>22</v>
      </c>
      <c r="J16" s="217">
        <v>1</v>
      </c>
      <c r="K16" s="217">
        <v>2016</v>
      </c>
      <c r="L16" s="217">
        <v>0</v>
      </c>
      <c r="M16" s="242"/>
      <c r="N16" s="216"/>
      <c r="O16" s="216"/>
    </row>
    <row r="17" spans="1:15">
      <c r="A17" s="274"/>
      <c r="B17" s="277"/>
      <c r="C17" s="270"/>
      <c r="D17" s="242"/>
      <c r="E17" s="242">
        <v>2</v>
      </c>
      <c r="F17" s="8" t="s">
        <v>1479</v>
      </c>
      <c r="G17" s="217">
        <v>0</v>
      </c>
      <c r="H17" s="217">
        <v>2</v>
      </c>
      <c r="I17" s="217">
        <v>5</v>
      </c>
      <c r="J17" s="217">
        <v>0</v>
      </c>
      <c r="K17" s="217">
        <v>176</v>
      </c>
      <c r="L17" s="217">
        <v>0</v>
      </c>
      <c r="M17" s="234"/>
      <c r="N17" s="246"/>
      <c r="O17" s="216" t="s">
        <v>888</v>
      </c>
    </row>
    <row r="18" spans="1:15">
      <c r="A18" s="274"/>
      <c r="B18" s="277"/>
      <c r="C18" s="265">
        <v>149</v>
      </c>
      <c r="D18" s="238"/>
      <c r="E18" s="238">
        <v>1</v>
      </c>
      <c r="F18" s="17" t="s">
        <v>371</v>
      </c>
      <c r="G18" s="220">
        <v>0</v>
      </c>
      <c r="H18" s="220">
        <v>2</v>
      </c>
      <c r="I18" s="220">
        <v>17</v>
      </c>
      <c r="J18" s="220">
        <v>1</v>
      </c>
      <c r="K18" s="220">
        <v>1039</v>
      </c>
      <c r="L18" s="220">
        <v>0</v>
      </c>
      <c r="M18" s="225"/>
      <c r="N18" s="222"/>
      <c r="O18" s="165"/>
    </row>
    <row r="19" spans="1:15">
      <c r="A19" s="274"/>
      <c r="B19" s="277"/>
      <c r="C19" s="266"/>
      <c r="D19" s="238"/>
      <c r="E19" s="238">
        <v>2</v>
      </c>
      <c r="F19" s="17" t="s">
        <v>1482</v>
      </c>
      <c r="G19" s="220">
        <v>3</v>
      </c>
      <c r="H19" s="220">
        <v>4</v>
      </c>
      <c r="I19" s="220">
        <v>51</v>
      </c>
      <c r="J19" s="220">
        <v>0</v>
      </c>
      <c r="K19" s="220">
        <v>2188</v>
      </c>
      <c r="L19" s="220">
        <v>0</v>
      </c>
      <c r="M19" s="225"/>
      <c r="N19" s="222"/>
      <c r="O19" s="165"/>
    </row>
    <row r="20" spans="1:15">
      <c r="A20" s="274"/>
      <c r="B20" s="277"/>
      <c r="C20" s="266"/>
      <c r="D20" s="238"/>
      <c r="E20" s="238">
        <v>2</v>
      </c>
      <c r="F20" s="17" t="s">
        <v>1483</v>
      </c>
      <c r="G20" s="220">
        <v>0</v>
      </c>
      <c r="H20" s="220">
        <v>2</v>
      </c>
      <c r="I20" s="220">
        <v>5</v>
      </c>
      <c r="J20" s="220">
        <v>0</v>
      </c>
      <c r="K20" s="220">
        <v>176</v>
      </c>
      <c r="L20" s="220">
        <v>0</v>
      </c>
      <c r="M20" s="225"/>
      <c r="N20" s="222"/>
      <c r="O20" s="165" t="s">
        <v>1484</v>
      </c>
    </row>
    <row r="21" spans="1:15">
      <c r="A21" s="274"/>
      <c r="B21" s="277"/>
      <c r="C21" s="267"/>
      <c r="D21" s="238"/>
      <c r="E21" s="238"/>
      <c r="F21" s="65" t="s">
        <v>1485</v>
      </c>
      <c r="G21" s="220"/>
      <c r="H21" s="220"/>
      <c r="I21" s="220"/>
      <c r="J21" s="220"/>
      <c r="K21" s="220"/>
      <c r="L21" s="220"/>
      <c r="M21" s="225"/>
      <c r="N21" s="222"/>
      <c r="O21" s="165" t="s">
        <v>1486</v>
      </c>
    </row>
    <row r="22" spans="1:15">
      <c r="A22" s="274"/>
      <c r="B22" s="277"/>
      <c r="C22" s="268">
        <v>150</v>
      </c>
      <c r="D22" s="242"/>
      <c r="E22" s="242">
        <v>1</v>
      </c>
      <c r="F22" s="11" t="s">
        <v>1487</v>
      </c>
      <c r="G22" s="216">
        <v>0</v>
      </c>
      <c r="H22" s="216">
        <v>2</v>
      </c>
      <c r="I22" s="216">
        <v>8</v>
      </c>
      <c r="J22" s="216">
        <v>0</v>
      </c>
      <c r="K22" s="216">
        <v>560</v>
      </c>
      <c r="L22" s="216">
        <v>0</v>
      </c>
      <c r="M22" s="242"/>
      <c r="N22" s="242"/>
      <c r="O22" s="216"/>
    </row>
    <row r="23" spans="1:15">
      <c r="A23" s="274"/>
      <c r="B23" s="277"/>
      <c r="C23" s="270"/>
      <c r="D23" s="242"/>
      <c r="E23" s="242">
        <v>2</v>
      </c>
      <c r="F23" s="11" t="s">
        <v>1483</v>
      </c>
      <c r="G23" s="216">
        <v>0</v>
      </c>
      <c r="H23" s="216">
        <v>2</v>
      </c>
      <c r="I23" s="216">
        <v>5</v>
      </c>
      <c r="J23" s="216">
        <v>0</v>
      </c>
      <c r="K23" s="216">
        <v>176</v>
      </c>
      <c r="L23" s="216">
        <v>0</v>
      </c>
      <c r="M23" s="242"/>
      <c r="N23" s="242"/>
      <c r="O23" s="216" t="s">
        <v>888</v>
      </c>
    </row>
    <row r="24" spans="1:15">
      <c r="A24" s="274"/>
      <c r="B24" s="277"/>
      <c r="C24" s="265">
        <v>151</v>
      </c>
      <c r="D24" s="238"/>
      <c r="E24" s="238">
        <v>1</v>
      </c>
      <c r="F24" s="36" t="s">
        <v>1488</v>
      </c>
      <c r="G24" s="165">
        <v>0</v>
      </c>
      <c r="H24" s="165">
        <v>2</v>
      </c>
      <c r="I24" s="165">
        <v>20</v>
      </c>
      <c r="J24" s="165">
        <v>1</v>
      </c>
      <c r="K24" s="165">
        <v>1157</v>
      </c>
      <c r="L24" s="165">
        <v>0</v>
      </c>
      <c r="M24" s="238"/>
      <c r="N24" s="238"/>
      <c r="O24" s="165"/>
    </row>
    <row r="25" spans="1:15">
      <c r="A25" s="274"/>
      <c r="B25" s="277"/>
      <c r="C25" s="266"/>
      <c r="D25" s="238"/>
      <c r="E25" s="238">
        <v>2</v>
      </c>
      <c r="F25" s="17" t="s">
        <v>1483</v>
      </c>
      <c r="G25" s="165">
        <v>0</v>
      </c>
      <c r="H25" s="165">
        <v>2</v>
      </c>
      <c r="I25" s="165">
        <v>5</v>
      </c>
      <c r="J25" s="165">
        <v>0</v>
      </c>
      <c r="K25" s="165">
        <v>176</v>
      </c>
      <c r="L25" s="165">
        <v>0</v>
      </c>
      <c r="M25" s="238"/>
      <c r="N25" s="238"/>
      <c r="O25" s="165" t="s">
        <v>888</v>
      </c>
    </row>
    <row r="26" spans="1:15">
      <c r="A26" s="274"/>
      <c r="B26" s="277"/>
      <c r="C26" s="267"/>
      <c r="D26" s="238"/>
      <c r="E26" s="238"/>
      <c r="F26" s="65" t="s">
        <v>1485</v>
      </c>
      <c r="G26" s="220"/>
      <c r="H26" s="220"/>
      <c r="I26" s="220"/>
      <c r="J26" s="220"/>
      <c r="K26" s="220"/>
      <c r="L26" s="220"/>
      <c r="M26" s="225"/>
      <c r="N26" s="222"/>
      <c r="O26" s="165" t="s">
        <v>1486</v>
      </c>
    </row>
    <row r="27" spans="1:15">
      <c r="A27" s="274"/>
      <c r="B27" s="277"/>
      <c r="C27" s="234">
        <v>152</v>
      </c>
      <c r="D27" s="242"/>
      <c r="E27" s="242"/>
      <c r="F27" s="42" t="s">
        <v>653</v>
      </c>
      <c r="G27" s="216"/>
      <c r="H27" s="216"/>
      <c r="I27" s="216"/>
      <c r="J27" s="216"/>
      <c r="K27" s="216"/>
      <c r="L27" s="216"/>
      <c r="M27" s="216"/>
      <c r="N27" s="216"/>
      <c r="O27" s="216" t="s">
        <v>1489</v>
      </c>
    </row>
    <row r="28" spans="1:15">
      <c r="A28" s="274"/>
      <c r="B28" s="277"/>
      <c r="C28" s="265">
        <v>153</v>
      </c>
      <c r="D28" s="238"/>
      <c r="E28" s="238">
        <v>1</v>
      </c>
      <c r="F28" s="17" t="s">
        <v>1490</v>
      </c>
      <c r="G28" s="165">
        <v>0</v>
      </c>
      <c r="H28" s="165">
        <v>3</v>
      </c>
      <c r="I28" s="165">
        <v>35</v>
      </c>
      <c r="J28" s="165">
        <v>1</v>
      </c>
      <c r="K28" s="165">
        <v>3008</v>
      </c>
      <c r="L28" s="165">
        <v>0</v>
      </c>
      <c r="M28" s="165"/>
      <c r="N28" s="165"/>
      <c r="O28" s="165"/>
    </row>
    <row r="29" spans="1:15">
      <c r="A29" s="274"/>
      <c r="B29" s="277"/>
      <c r="C29" s="266"/>
      <c r="D29" s="238"/>
      <c r="E29" s="238">
        <v>2</v>
      </c>
      <c r="F29" s="17" t="s">
        <v>855</v>
      </c>
      <c r="G29" s="165">
        <v>0</v>
      </c>
      <c r="H29" s="165">
        <v>2</v>
      </c>
      <c r="I29" s="165">
        <v>12</v>
      </c>
      <c r="J29" s="165">
        <v>0</v>
      </c>
      <c r="K29" s="165">
        <v>563</v>
      </c>
      <c r="L29" s="165">
        <v>0</v>
      </c>
      <c r="M29" s="165"/>
      <c r="N29" s="165"/>
      <c r="O29" s="165"/>
    </row>
    <row r="30" spans="1:15">
      <c r="A30" s="274"/>
      <c r="B30" s="277"/>
      <c r="C30" s="266"/>
      <c r="D30" s="238"/>
      <c r="E30" s="238">
        <v>2</v>
      </c>
      <c r="F30" s="17" t="s">
        <v>679</v>
      </c>
      <c r="G30" s="165">
        <v>3</v>
      </c>
      <c r="H30" s="165">
        <v>4</v>
      </c>
      <c r="I30" s="165">
        <v>51</v>
      </c>
      <c r="J30" s="165">
        <v>0</v>
      </c>
      <c r="K30" s="165">
        <v>2188</v>
      </c>
      <c r="L30" s="165">
        <v>0</v>
      </c>
      <c r="M30" s="165"/>
      <c r="N30" s="165"/>
      <c r="O30" s="165"/>
    </row>
    <row r="31" spans="1:15">
      <c r="A31" s="274"/>
      <c r="B31" s="277"/>
      <c r="C31" s="266"/>
      <c r="D31" s="238"/>
      <c r="E31" s="238">
        <v>2</v>
      </c>
      <c r="F31" s="16" t="s">
        <v>1491</v>
      </c>
      <c r="G31" s="165">
        <v>0</v>
      </c>
      <c r="H31" s="165">
        <v>1</v>
      </c>
      <c r="I31" s="165">
        <v>5</v>
      </c>
      <c r="J31" s="165">
        <v>0</v>
      </c>
      <c r="K31" s="165">
        <v>156</v>
      </c>
      <c r="L31" s="165">
        <v>0</v>
      </c>
      <c r="M31" s="165"/>
      <c r="N31" s="165"/>
      <c r="O31" s="165" t="s">
        <v>1492</v>
      </c>
    </row>
    <row r="32" spans="1:15" ht="30">
      <c r="A32" s="274"/>
      <c r="B32" s="277"/>
      <c r="C32" s="266"/>
      <c r="D32" s="238"/>
      <c r="E32" s="238">
        <v>3</v>
      </c>
      <c r="F32" s="244" t="s">
        <v>1493</v>
      </c>
      <c r="G32" s="165"/>
      <c r="H32" s="165"/>
      <c r="I32" s="165"/>
      <c r="J32" s="165"/>
      <c r="K32" s="165"/>
      <c r="L32" s="165"/>
      <c r="M32" s="165"/>
      <c r="N32" s="165"/>
      <c r="O32" s="174" t="s">
        <v>1494</v>
      </c>
    </row>
    <row r="33" spans="1:15" ht="30">
      <c r="A33" s="274"/>
      <c r="B33" s="277"/>
      <c r="C33" s="266"/>
      <c r="D33" s="238"/>
      <c r="E33" s="238">
        <v>3</v>
      </c>
      <c r="F33" s="244" t="s">
        <v>1495</v>
      </c>
      <c r="G33" s="165"/>
      <c r="H33" s="165"/>
      <c r="I33" s="165"/>
      <c r="J33" s="165"/>
      <c r="K33" s="165"/>
      <c r="L33" s="165"/>
      <c r="M33" s="165"/>
      <c r="N33" s="165"/>
      <c r="O33" s="174" t="s">
        <v>1496</v>
      </c>
    </row>
    <row r="34" spans="1:15" ht="30">
      <c r="A34" s="274"/>
      <c r="B34" s="277"/>
      <c r="C34" s="266"/>
      <c r="D34" s="238"/>
      <c r="E34" s="238"/>
      <c r="F34" s="244" t="s">
        <v>1497</v>
      </c>
      <c r="G34" s="165"/>
      <c r="H34" s="165"/>
      <c r="I34" s="165"/>
      <c r="J34" s="165"/>
      <c r="K34" s="165"/>
      <c r="L34" s="165"/>
      <c r="M34" s="165"/>
      <c r="N34" s="165"/>
      <c r="O34" s="174" t="s">
        <v>1498</v>
      </c>
    </row>
    <row r="35" spans="1:15" ht="30">
      <c r="A35" s="274"/>
      <c r="B35" s="277"/>
      <c r="C35" s="266"/>
      <c r="D35" s="238"/>
      <c r="E35" s="238"/>
      <c r="F35" s="244" t="s">
        <v>1347</v>
      </c>
      <c r="G35" s="165"/>
      <c r="H35" s="165"/>
      <c r="I35" s="165"/>
      <c r="J35" s="165"/>
      <c r="K35" s="165"/>
      <c r="L35" s="165"/>
      <c r="M35" s="165"/>
      <c r="N35" s="165"/>
      <c r="O35" s="174" t="s">
        <v>1499</v>
      </c>
    </row>
    <row r="36" spans="1:15">
      <c r="A36" s="274"/>
      <c r="B36" s="277"/>
      <c r="C36" s="266"/>
      <c r="D36" s="238"/>
      <c r="E36" s="238"/>
      <c r="F36" s="244" t="s">
        <v>1500</v>
      </c>
      <c r="G36" s="165"/>
      <c r="H36" s="165"/>
      <c r="I36" s="165"/>
      <c r="J36" s="165"/>
      <c r="K36" s="165"/>
      <c r="L36" s="165"/>
      <c r="M36" s="165"/>
      <c r="N36" s="165"/>
      <c r="O36" s="174" t="s">
        <v>1417</v>
      </c>
    </row>
    <row r="37" spans="1:15">
      <c r="A37" s="274"/>
      <c r="B37" s="277"/>
      <c r="C37" s="266"/>
      <c r="D37" s="238"/>
      <c r="E37" s="238"/>
      <c r="F37" s="244" t="s">
        <v>1240</v>
      </c>
      <c r="G37" s="165"/>
      <c r="H37" s="165"/>
      <c r="I37" s="165"/>
      <c r="J37" s="165"/>
      <c r="K37" s="165"/>
      <c r="L37" s="165"/>
      <c r="M37" s="165"/>
      <c r="N37" s="165"/>
      <c r="O37" s="174" t="s">
        <v>1419</v>
      </c>
    </row>
    <row r="38" spans="1:15">
      <c r="A38" s="274"/>
      <c r="B38" s="277"/>
      <c r="C38" s="267"/>
      <c r="D38" s="238"/>
      <c r="E38" s="238"/>
      <c r="F38" s="244" t="s">
        <v>1242</v>
      </c>
      <c r="G38" s="165"/>
      <c r="H38" s="165"/>
      <c r="I38" s="165"/>
      <c r="J38" s="165"/>
      <c r="K38" s="165"/>
      <c r="L38" s="165"/>
      <c r="M38" s="165"/>
      <c r="N38" s="165"/>
      <c r="O38" s="174" t="s">
        <v>886</v>
      </c>
    </row>
    <row r="39" spans="1:15">
      <c r="A39" s="274"/>
      <c r="B39" s="277"/>
      <c r="C39" s="268">
        <v>154</v>
      </c>
      <c r="D39" s="255"/>
      <c r="E39" s="242">
        <v>1</v>
      </c>
      <c r="F39" s="216" t="s">
        <v>1501</v>
      </c>
      <c r="G39" s="216">
        <v>0</v>
      </c>
      <c r="H39" s="216">
        <v>1</v>
      </c>
      <c r="I39" s="216">
        <v>7</v>
      </c>
      <c r="J39" s="216">
        <v>0</v>
      </c>
      <c r="K39" s="216">
        <v>121</v>
      </c>
      <c r="L39" s="216">
        <v>0</v>
      </c>
      <c r="M39" s="216"/>
      <c r="N39" s="216"/>
      <c r="O39" s="216"/>
    </row>
    <row r="40" spans="1:15" ht="30">
      <c r="A40" s="274"/>
      <c r="B40" s="277"/>
      <c r="C40" s="269"/>
      <c r="D40" s="242"/>
      <c r="E40" s="242">
        <v>2</v>
      </c>
      <c r="F40" s="218" t="s">
        <v>770</v>
      </c>
      <c r="G40" s="216">
        <v>0</v>
      </c>
      <c r="H40" s="216">
        <v>2</v>
      </c>
      <c r="I40" s="216">
        <v>12</v>
      </c>
      <c r="J40" s="218">
        <v>0</v>
      </c>
      <c r="K40" s="218">
        <v>563</v>
      </c>
      <c r="L40" s="218">
        <v>0</v>
      </c>
      <c r="M40" s="216"/>
      <c r="N40" s="216"/>
      <c r="O40" s="218" t="s">
        <v>1502</v>
      </c>
    </row>
    <row r="41" spans="1:15">
      <c r="A41" s="274"/>
      <c r="B41" s="277"/>
      <c r="C41" s="269"/>
      <c r="D41" s="242"/>
      <c r="E41" s="242">
        <v>2</v>
      </c>
      <c r="F41" s="218" t="s">
        <v>771</v>
      </c>
      <c r="G41" s="216">
        <v>3</v>
      </c>
      <c r="H41" s="216">
        <v>4</v>
      </c>
      <c r="I41" s="216">
        <v>51</v>
      </c>
      <c r="J41" s="218">
        <v>0</v>
      </c>
      <c r="K41" s="218">
        <v>2188</v>
      </c>
      <c r="L41" s="218">
        <v>0</v>
      </c>
      <c r="M41" s="216"/>
      <c r="N41" s="216"/>
      <c r="O41" s="216"/>
    </row>
    <row r="42" spans="1:15">
      <c r="A42" s="274"/>
      <c r="B42" s="277"/>
      <c r="C42" s="269"/>
      <c r="D42" s="242"/>
      <c r="E42" s="242">
        <v>2</v>
      </c>
      <c r="F42" s="218" t="s">
        <v>1503</v>
      </c>
      <c r="G42" s="216">
        <v>0</v>
      </c>
      <c r="H42" s="216">
        <v>0</v>
      </c>
      <c r="I42" s="216">
        <v>5</v>
      </c>
      <c r="J42" s="218">
        <v>0</v>
      </c>
      <c r="K42" s="218">
        <v>293</v>
      </c>
      <c r="L42" s="218">
        <v>0</v>
      </c>
      <c r="M42" s="216"/>
      <c r="N42" s="216"/>
      <c r="O42" s="216" t="s">
        <v>1504</v>
      </c>
    </row>
    <row r="43" spans="1:15" ht="30">
      <c r="A43" s="274"/>
      <c r="B43" s="277"/>
      <c r="C43" s="269"/>
      <c r="D43" s="242"/>
      <c r="E43" s="242"/>
      <c r="F43" s="243" t="s">
        <v>1505</v>
      </c>
      <c r="G43" s="216"/>
      <c r="H43" s="216"/>
      <c r="I43" s="216"/>
      <c r="J43" s="218"/>
      <c r="K43" s="218"/>
      <c r="L43" s="218"/>
      <c r="M43" s="216"/>
      <c r="N43" s="216"/>
      <c r="O43" s="218" t="s">
        <v>1506</v>
      </c>
    </row>
    <row r="44" spans="1:15">
      <c r="A44" s="274"/>
      <c r="B44" s="277"/>
      <c r="C44" s="269"/>
      <c r="D44" s="242"/>
      <c r="E44" s="242"/>
      <c r="F44" s="243" t="s">
        <v>1507</v>
      </c>
      <c r="G44" s="216"/>
      <c r="H44" s="216"/>
      <c r="I44" s="216"/>
      <c r="J44" s="218"/>
      <c r="K44" s="218"/>
      <c r="L44" s="218"/>
      <c r="M44" s="216"/>
      <c r="N44" s="216"/>
      <c r="O44" s="218" t="s">
        <v>1419</v>
      </c>
    </row>
    <row r="45" spans="1:15">
      <c r="A45" s="274"/>
      <c r="B45" s="277"/>
      <c r="C45" s="269"/>
      <c r="D45" s="242"/>
      <c r="E45" s="242"/>
      <c r="F45" s="243" t="s">
        <v>1508</v>
      </c>
      <c r="G45" s="216"/>
      <c r="H45" s="216"/>
      <c r="I45" s="216"/>
      <c r="J45" s="218"/>
      <c r="K45" s="218"/>
      <c r="L45" s="218"/>
      <c r="M45" s="216"/>
      <c r="N45" s="216"/>
      <c r="O45" s="218" t="s">
        <v>1184</v>
      </c>
    </row>
    <row r="46" spans="1:15">
      <c r="A46" s="274"/>
      <c r="B46" s="277"/>
      <c r="C46" s="270"/>
      <c r="D46" s="242"/>
      <c r="E46" s="242"/>
      <c r="F46" s="243" t="s">
        <v>1509</v>
      </c>
      <c r="G46" s="216"/>
      <c r="H46" s="216"/>
      <c r="I46" s="216"/>
      <c r="J46" s="218"/>
      <c r="K46" s="218"/>
      <c r="L46" s="218"/>
      <c r="M46" s="216"/>
      <c r="N46" s="216"/>
      <c r="O46" s="218" t="s">
        <v>1184</v>
      </c>
    </row>
    <row r="47" spans="1:15">
      <c r="A47" s="274"/>
      <c r="B47" s="277"/>
      <c r="C47" s="222">
        <v>155</v>
      </c>
      <c r="D47" s="238"/>
      <c r="E47" s="238"/>
      <c r="F47" s="20" t="s">
        <v>369</v>
      </c>
      <c r="G47" s="165"/>
      <c r="H47" s="165"/>
      <c r="I47" s="165"/>
      <c r="J47" s="165"/>
      <c r="K47" s="165"/>
      <c r="L47" s="165"/>
      <c r="M47" s="165"/>
      <c r="N47" s="165"/>
      <c r="O47" s="174" t="s">
        <v>1489</v>
      </c>
    </row>
    <row r="48" spans="1:15">
      <c r="A48" s="274"/>
      <c r="B48" s="277"/>
      <c r="C48" s="268">
        <v>156</v>
      </c>
      <c r="D48" s="242"/>
      <c r="E48" s="242">
        <v>1</v>
      </c>
      <c r="F48" s="8" t="s">
        <v>612</v>
      </c>
      <c r="G48" s="216">
        <v>0</v>
      </c>
      <c r="H48" s="216">
        <v>5</v>
      </c>
      <c r="I48" s="216">
        <v>18</v>
      </c>
      <c r="J48" s="216">
        <v>0</v>
      </c>
      <c r="K48" s="216">
        <v>1361</v>
      </c>
      <c r="L48" s="216">
        <v>0</v>
      </c>
      <c r="M48" s="216"/>
      <c r="N48" s="216"/>
      <c r="O48" s="218"/>
    </row>
    <row r="49" spans="1:15">
      <c r="A49" s="274"/>
      <c r="B49" s="277"/>
      <c r="C49" s="269"/>
      <c r="D49" s="242"/>
      <c r="E49" s="242">
        <v>2</v>
      </c>
      <c r="F49" s="8" t="s">
        <v>678</v>
      </c>
      <c r="G49" s="216">
        <v>0</v>
      </c>
      <c r="H49" s="216">
        <v>2</v>
      </c>
      <c r="I49" s="216">
        <v>12</v>
      </c>
      <c r="J49" s="216">
        <v>0</v>
      </c>
      <c r="K49" s="216">
        <v>563</v>
      </c>
      <c r="L49" s="216">
        <v>0</v>
      </c>
      <c r="M49" s="216"/>
      <c r="N49" s="216"/>
      <c r="O49" s="218" t="s">
        <v>1324</v>
      </c>
    </row>
    <row r="50" spans="1:15">
      <c r="A50" s="274"/>
      <c r="B50" s="277"/>
      <c r="C50" s="269"/>
      <c r="D50" s="242"/>
      <c r="E50" s="242">
        <v>2</v>
      </c>
      <c r="F50" s="8" t="s">
        <v>721</v>
      </c>
      <c r="G50" s="216">
        <v>3</v>
      </c>
      <c r="H50" s="216">
        <v>4</v>
      </c>
      <c r="I50" s="216">
        <v>51</v>
      </c>
      <c r="J50" s="216">
        <v>0</v>
      </c>
      <c r="K50" s="216">
        <v>2188</v>
      </c>
      <c r="L50" s="216">
        <v>0</v>
      </c>
      <c r="M50" s="216"/>
      <c r="N50" s="216"/>
      <c r="O50" s="218"/>
    </row>
    <row r="51" spans="1:15">
      <c r="A51" s="274"/>
      <c r="B51" s="277"/>
      <c r="C51" s="269"/>
      <c r="D51" s="242">
        <v>8.7899999999999991</v>
      </c>
      <c r="E51" s="242">
        <v>2</v>
      </c>
      <c r="F51" s="8" t="s">
        <v>1258</v>
      </c>
      <c r="G51" s="216">
        <v>0</v>
      </c>
      <c r="H51" s="216">
        <v>3</v>
      </c>
      <c r="I51" s="216">
        <v>32</v>
      </c>
      <c r="J51" s="216">
        <v>0</v>
      </c>
      <c r="K51" s="216">
        <v>1594</v>
      </c>
      <c r="L51" s="216">
        <v>0</v>
      </c>
      <c r="M51" s="216"/>
      <c r="N51" s="216"/>
      <c r="O51" s="218" t="s">
        <v>1510</v>
      </c>
    </row>
    <row r="52" spans="1:15">
      <c r="A52" s="274"/>
      <c r="B52" s="277"/>
      <c r="C52" s="269"/>
      <c r="D52" s="242"/>
      <c r="E52" s="242">
        <v>2</v>
      </c>
      <c r="F52" s="8" t="s">
        <v>1511</v>
      </c>
      <c r="G52" s="216">
        <v>0</v>
      </c>
      <c r="H52" s="216">
        <v>1</v>
      </c>
      <c r="I52" s="216">
        <v>5</v>
      </c>
      <c r="J52" s="216">
        <v>0</v>
      </c>
      <c r="K52" s="216">
        <v>159</v>
      </c>
      <c r="L52" s="216">
        <v>0</v>
      </c>
      <c r="M52" s="216"/>
      <c r="N52" s="216"/>
      <c r="O52" s="218" t="s">
        <v>1147</v>
      </c>
    </row>
    <row r="53" spans="1:15">
      <c r="A53" s="274"/>
      <c r="B53" s="277"/>
      <c r="C53" s="269"/>
      <c r="D53" s="242"/>
      <c r="E53" s="242"/>
      <c r="F53" s="59" t="s">
        <v>1512</v>
      </c>
      <c r="G53" s="216"/>
      <c r="H53" s="216"/>
      <c r="I53" s="216"/>
      <c r="J53" s="216"/>
      <c r="K53" s="216"/>
      <c r="L53" s="216"/>
      <c r="M53" s="216"/>
      <c r="N53" s="216"/>
      <c r="O53" s="218" t="s">
        <v>1513</v>
      </c>
    </row>
    <row r="54" spans="1:15">
      <c r="A54" s="274"/>
      <c r="B54" s="277"/>
      <c r="C54" s="269"/>
      <c r="D54" s="242"/>
      <c r="E54" s="242"/>
      <c r="F54" s="59" t="s">
        <v>1514</v>
      </c>
      <c r="G54" s="216"/>
      <c r="H54" s="216"/>
      <c r="I54" s="216"/>
      <c r="J54" s="216"/>
      <c r="K54" s="216"/>
      <c r="L54" s="216"/>
      <c r="M54" s="216"/>
      <c r="N54" s="216"/>
      <c r="O54" s="218" t="s">
        <v>1515</v>
      </c>
    </row>
    <row r="55" spans="1:15" ht="30">
      <c r="A55" s="274"/>
      <c r="B55" s="277"/>
      <c r="C55" s="269"/>
      <c r="D55" s="242"/>
      <c r="E55" s="242"/>
      <c r="F55" s="59" t="s">
        <v>1302</v>
      </c>
      <c r="G55" s="216"/>
      <c r="H55" s="216"/>
      <c r="I55" s="216"/>
      <c r="J55" s="216"/>
      <c r="K55" s="216"/>
      <c r="L55" s="216"/>
      <c r="M55" s="216"/>
      <c r="N55" s="216"/>
      <c r="O55" s="218" t="s">
        <v>1342</v>
      </c>
    </row>
    <row r="56" spans="1:15">
      <c r="A56" s="274"/>
      <c r="B56" s="277"/>
      <c r="C56" s="270"/>
      <c r="D56" s="242"/>
      <c r="E56" s="242"/>
      <c r="F56" s="59" t="s">
        <v>1516</v>
      </c>
      <c r="G56" s="216"/>
      <c r="H56" s="216"/>
      <c r="I56" s="216"/>
      <c r="J56" s="216"/>
      <c r="K56" s="216"/>
      <c r="L56" s="216"/>
      <c r="M56" s="216"/>
      <c r="N56" s="216"/>
      <c r="O56" s="218" t="s">
        <v>1088</v>
      </c>
    </row>
    <row r="57" spans="1:15" ht="30">
      <c r="A57" s="274"/>
      <c r="B57" s="277"/>
      <c r="C57" s="265">
        <v>157</v>
      </c>
      <c r="D57" s="238"/>
      <c r="E57" s="238"/>
      <c r="F57" s="17" t="s">
        <v>1517</v>
      </c>
      <c r="G57" s="165">
        <v>0</v>
      </c>
      <c r="H57" s="165">
        <v>3</v>
      </c>
      <c r="I57" s="165">
        <v>24</v>
      </c>
      <c r="J57" s="165">
        <v>1</v>
      </c>
      <c r="K57" s="165">
        <v>705</v>
      </c>
      <c r="L57" s="165">
        <v>0</v>
      </c>
      <c r="M57" s="165"/>
      <c r="N57" s="165"/>
      <c r="O57" s="174"/>
    </row>
    <row r="58" spans="1:15">
      <c r="A58" s="274"/>
      <c r="B58" s="277"/>
      <c r="C58" s="266"/>
      <c r="D58" s="238">
        <v>8.7899999999999991</v>
      </c>
      <c r="E58" s="238">
        <v>2</v>
      </c>
      <c r="F58" s="16" t="s">
        <v>1258</v>
      </c>
      <c r="G58" s="165">
        <v>0</v>
      </c>
      <c r="H58" s="165">
        <v>3</v>
      </c>
      <c r="I58" s="165">
        <v>32</v>
      </c>
      <c r="J58" s="165">
        <v>0</v>
      </c>
      <c r="K58" s="165">
        <v>1594</v>
      </c>
      <c r="L58" s="165">
        <v>0</v>
      </c>
      <c r="M58" s="165"/>
      <c r="N58" s="165"/>
      <c r="O58" s="174"/>
    </row>
    <row r="59" spans="1:15" ht="30">
      <c r="A59" s="274"/>
      <c r="B59" s="277"/>
      <c r="C59" s="266"/>
      <c r="D59" s="238"/>
      <c r="E59" s="238"/>
      <c r="F59" s="243" t="s">
        <v>740</v>
      </c>
      <c r="G59" s="221"/>
      <c r="H59" s="221"/>
      <c r="I59" s="221"/>
      <c r="J59" s="220"/>
      <c r="K59" s="220"/>
      <c r="L59" s="220"/>
      <c r="M59" s="222"/>
      <c r="N59" s="222"/>
      <c r="O59" s="174" t="s">
        <v>1471</v>
      </c>
    </row>
    <row r="60" spans="1:15" ht="60">
      <c r="A60" s="274"/>
      <c r="B60" s="277"/>
      <c r="C60" s="266"/>
      <c r="D60" s="238"/>
      <c r="E60" s="238"/>
      <c r="F60" s="243" t="s">
        <v>1472</v>
      </c>
      <c r="G60" s="221"/>
      <c r="H60" s="221"/>
      <c r="I60" s="221"/>
      <c r="J60" s="220"/>
      <c r="K60" s="220"/>
      <c r="L60" s="220"/>
      <c r="M60" s="222"/>
      <c r="N60" s="222"/>
      <c r="O60" s="174" t="s">
        <v>1473</v>
      </c>
    </row>
    <row r="61" spans="1:15" ht="60">
      <c r="A61" s="274"/>
      <c r="B61" s="277"/>
      <c r="C61" s="266"/>
      <c r="D61" s="238"/>
      <c r="E61" s="238"/>
      <c r="F61" s="243" t="s">
        <v>1474</v>
      </c>
      <c r="G61" s="221"/>
      <c r="H61" s="221"/>
      <c r="I61" s="221"/>
      <c r="J61" s="220"/>
      <c r="K61" s="220"/>
      <c r="L61" s="220"/>
      <c r="M61" s="222"/>
      <c r="N61" s="222"/>
      <c r="O61" s="174" t="s">
        <v>1475</v>
      </c>
    </row>
    <row r="62" spans="1:15">
      <c r="A62" s="274"/>
      <c r="B62" s="277"/>
      <c r="C62" s="267"/>
      <c r="D62" s="238"/>
      <c r="E62" s="238"/>
      <c r="F62" s="243" t="s">
        <v>1476</v>
      </c>
      <c r="G62" s="221"/>
      <c r="H62" s="221"/>
      <c r="I62" s="221"/>
      <c r="J62" s="220"/>
      <c r="K62" s="220"/>
      <c r="L62" s="220"/>
      <c r="M62" s="222"/>
      <c r="N62" s="222"/>
      <c r="O62" s="174" t="s">
        <v>1477</v>
      </c>
    </row>
    <row r="63" spans="1:15">
      <c r="A63" s="240"/>
      <c r="B63" s="240"/>
      <c r="C63" s="240"/>
      <c r="D63"/>
      <c r="E63"/>
      <c r="F63"/>
      <c r="G63"/>
      <c r="H63" s="240"/>
      <c r="I63" s="240"/>
      <c r="J63" s="240"/>
      <c r="K63" s="240"/>
      <c r="L63" s="240"/>
      <c r="M63" s="240"/>
      <c r="N63" s="240"/>
      <c r="O63" s="240"/>
    </row>
    <row r="64" spans="1:15">
      <c r="A64" s="240"/>
      <c r="B64" s="240"/>
      <c r="C64" s="240"/>
      <c r="D64"/>
      <c r="E64"/>
      <c r="F64"/>
      <c r="G64"/>
      <c r="H64" s="240"/>
      <c r="I64" s="240"/>
      <c r="J64" s="240"/>
      <c r="K64" s="240"/>
      <c r="L64" s="240"/>
      <c r="M64" s="240"/>
      <c r="N64" s="240"/>
      <c r="O64" s="240"/>
    </row>
    <row r="65" spans="4:7">
      <c r="D65"/>
      <c r="E65"/>
      <c r="F65"/>
      <c r="G65"/>
    </row>
    <row r="66" spans="4:7">
      <c r="D66"/>
      <c r="E66"/>
      <c r="F66"/>
      <c r="G66"/>
    </row>
    <row r="67" spans="4:7">
      <c r="D67"/>
      <c r="E67"/>
      <c r="F67"/>
      <c r="G67"/>
    </row>
    <row r="68" spans="4:7">
      <c r="D68"/>
      <c r="E68"/>
      <c r="F68"/>
      <c r="G68"/>
    </row>
    <row r="69" spans="4:7">
      <c r="D69"/>
      <c r="E69"/>
      <c r="F69"/>
      <c r="G69"/>
    </row>
  </sheetData>
  <mergeCells count="13">
    <mergeCell ref="B2:B62"/>
    <mergeCell ref="A2:A62"/>
    <mergeCell ref="C8:C9"/>
    <mergeCell ref="C16:C17"/>
    <mergeCell ref="C22:C23"/>
    <mergeCell ref="C2:C7"/>
    <mergeCell ref="C10:C15"/>
    <mergeCell ref="C18:C21"/>
    <mergeCell ref="C24:C26"/>
    <mergeCell ref="C28:C38"/>
    <mergeCell ref="C39:C46"/>
    <mergeCell ref="C48:C56"/>
    <mergeCell ref="C57:C6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6EE4-1761-4B44-BBB8-F66CE3E3C7D7}">
  <dimension ref="A1:O40"/>
  <sheetViews>
    <sheetView zoomScaleNormal="100" workbookViewId="0">
      <pane ySplit="1" topLeftCell="A2" activePane="bottomLeft" state="frozen"/>
      <selection pane="bottomLeft" activeCell="F2" sqref="F2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3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17</v>
      </c>
      <c r="B2" s="277" t="s">
        <v>1518</v>
      </c>
      <c r="C2" s="265">
        <v>158</v>
      </c>
      <c r="D2" s="238"/>
      <c r="E2" s="238">
        <v>1</v>
      </c>
      <c r="F2" s="17" t="s">
        <v>1519</v>
      </c>
      <c r="G2" s="221">
        <v>0</v>
      </c>
      <c r="H2" s="221">
        <v>3</v>
      </c>
      <c r="I2" s="221">
        <v>23</v>
      </c>
      <c r="J2" s="220">
        <v>0</v>
      </c>
      <c r="K2" s="220">
        <v>316</v>
      </c>
      <c r="L2" s="220">
        <v>1</v>
      </c>
      <c r="M2" s="222"/>
      <c r="N2" s="222"/>
      <c r="O2" s="165"/>
    </row>
    <row r="3" spans="1:15" ht="30">
      <c r="A3" s="274"/>
      <c r="B3" s="277"/>
      <c r="C3" s="266"/>
      <c r="D3" s="238"/>
      <c r="E3" s="238"/>
      <c r="F3" s="243" t="s">
        <v>1520</v>
      </c>
      <c r="G3" s="221"/>
      <c r="H3" s="221"/>
      <c r="I3" s="221"/>
      <c r="J3" s="220"/>
      <c r="K3" s="220"/>
      <c r="L3" s="220"/>
      <c r="M3" s="222"/>
      <c r="N3" s="222"/>
      <c r="O3" s="174" t="s">
        <v>1521</v>
      </c>
    </row>
    <row r="4" spans="1:15">
      <c r="A4" s="274"/>
      <c r="B4" s="277"/>
      <c r="C4" s="266"/>
      <c r="D4" s="238"/>
      <c r="E4" s="238"/>
      <c r="F4" s="243" t="s">
        <v>1164</v>
      </c>
      <c r="G4" s="221"/>
      <c r="H4" s="221"/>
      <c r="I4" s="221"/>
      <c r="J4" s="220"/>
      <c r="K4" s="220"/>
      <c r="L4" s="220"/>
      <c r="M4" s="222"/>
      <c r="N4" s="222"/>
      <c r="O4" s="165" t="s">
        <v>1088</v>
      </c>
    </row>
    <row r="5" spans="1:15">
      <c r="A5" s="274"/>
      <c r="B5" s="277"/>
      <c r="C5" s="267"/>
      <c r="D5" s="238"/>
      <c r="E5" s="238"/>
      <c r="F5" s="243" t="s">
        <v>1522</v>
      </c>
      <c r="G5" s="221"/>
      <c r="H5" s="221"/>
      <c r="I5" s="221"/>
      <c r="J5" s="220"/>
      <c r="K5" s="220"/>
      <c r="L5" s="220"/>
      <c r="M5" s="222"/>
      <c r="N5" s="222"/>
      <c r="O5" s="165" t="s">
        <v>1088</v>
      </c>
    </row>
    <row r="6" spans="1:15" ht="30">
      <c r="A6" s="274"/>
      <c r="B6" s="277"/>
      <c r="C6" s="268">
        <v>159</v>
      </c>
      <c r="D6" s="242"/>
      <c r="E6" s="242">
        <v>1</v>
      </c>
      <c r="F6" s="11" t="s">
        <v>1523</v>
      </c>
      <c r="G6" s="216">
        <v>0</v>
      </c>
      <c r="H6" s="216">
        <v>4</v>
      </c>
      <c r="I6" s="216">
        <v>27</v>
      </c>
      <c r="J6" s="216">
        <v>1</v>
      </c>
      <c r="K6" s="216">
        <v>516</v>
      </c>
      <c r="L6" s="216">
        <v>0</v>
      </c>
      <c r="M6" s="234"/>
      <c r="N6" s="234"/>
      <c r="O6" s="216"/>
    </row>
    <row r="7" spans="1:15">
      <c r="A7" s="274"/>
      <c r="B7" s="277"/>
      <c r="C7" s="269"/>
      <c r="D7" s="242"/>
      <c r="E7" s="242"/>
      <c r="F7" s="243" t="s">
        <v>1524</v>
      </c>
      <c r="G7" s="216"/>
      <c r="H7" s="216"/>
      <c r="I7" s="216"/>
      <c r="J7" s="216"/>
      <c r="K7" s="216"/>
      <c r="L7" s="216"/>
      <c r="M7" s="234"/>
      <c r="N7" s="234"/>
      <c r="O7" s="216" t="s">
        <v>1088</v>
      </c>
    </row>
    <row r="8" spans="1:15" ht="75">
      <c r="A8" s="274"/>
      <c r="B8" s="277"/>
      <c r="C8" s="269"/>
      <c r="D8" s="242"/>
      <c r="E8" s="242"/>
      <c r="F8" s="53" t="s">
        <v>1302</v>
      </c>
      <c r="G8" s="216"/>
      <c r="H8" s="216"/>
      <c r="I8" s="216"/>
      <c r="J8" s="216"/>
      <c r="K8" s="216"/>
      <c r="L8" s="216"/>
      <c r="M8" s="234"/>
      <c r="N8" s="234"/>
      <c r="O8" s="218" t="s">
        <v>1525</v>
      </c>
    </row>
    <row r="9" spans="1:15" ht="30">
      <c r="A9" s="274"/>
      <c r="B9" s="277"/>
      <c r="C9" s="270"/>
      <c r="D9" s="242"/>
      <c r="E9" s="242"/>
      <c r="F9" s="243" t="s">
        <v>1522</v>
      </c>
      <c r="G9" s="216"/>
      <c r="H9" s="216"/>
      <c r="I9" s="216"/>
      <c r="J9" s="216"/>
      <c r="K9" s="216"/>
      <c r="L9" s="216"/>
      <c r="M9" s="234"/>
      <c r="N9" s="234"/>
      <c r="O9" s="218" t="s">
        <v>1337</v>
      </c>
    </row>
    <row r="10" spans="1:15">
      <c r="A10" s="274"/>
      <c r="B10" s="277"/>
      <c r="C10" s="265">
        <v>160</v>
      </c>
      <c r="D10" s="238"/>
      <c r="E10" s="238">
        <v>1</v>
      </c>
      <c r="F10" s="17" t="s">
        <v>1526</v>
      </c>
      <c r="G10" s="165">
        <v>0</v>
      </c>
      <c r="H10" s="165">
        <v>1</v>
      </c>
      <c r="I10" s="165">
        <v>6</v>
      </c>
      <c r="J10" s="174">
        <v>0</v>
      </c>
      <c r="K10" s="174">
        <v>168</v>
      </c>
      <c r="L10" s="174">
        <v>0</v>
      </c>
      <c r="M10" s="225"/>
      <c r="N10" s="238"/>
      <c r="O10" s="165"/>
    </row>
    <row r="11" spans="1:15">
      <c r="A11" s="274"/>
      <c r="B11" s="277"/>
      <c r="C11" s="266"/>
      <c r="D11" s="238"/>
      <c r="E11" s="238">
        <v>2</v>
      </c>
      <c r="F11" s="17" t="s">
        <v>1169</v>
      </c>
      <c r="G11" s="165">
        <v>2</v>
      </c>
      <c r="H11" s="165">
        <v>3</v>
      </c>
      <c r="I11" s="165">
        <v>51</v>
      </c>
      <c r="J11" s="174">
        <v>1</v>
      </c>
      <c r="K11" s="174">
        <v>10535</v>
      </c>
      <c r="L11" s="174">
        <v>0</v>
      </c>
      <c r="M11" s="225"/>
      <c r="N11" s="238"/>
      <c r="O11" s="165"/>
    </row>
    <row r="12" spans="1:15">
      <c r="A12" s="274"/>
      <c r="B12" s="277"/>
      <c r="C12" s="266"/>
      <c r="D12" s="238"/>
      <c r="E12" s="238"/>
      <c r="F12" s="243" t="s">
        <v>1527</v>
      </c>
      <c r="G12" s="165"/>
      <c r="H12" s="165"/>
      <c r="I12" s="165"/>
      <c r="J12" s="174"/>
      <c r="K12" s="174"/>
      <c r="L12" s="174"/>
      <c r="M12" s="225"/>
      <c r="N12" s="238"/>
      <c r="O12" s="165" t="s">
        <v>1528</v>
      </c>
    </row>
    <row r="13" spans="1:15" ht="30">
      <c r="A13" s="274"/>
      <c r="B13" s="277"/>
      <c r="C13" s="267"/>
      <c r="D13" s="238"/>
      <c r="E13" s="238"/>
      <c r="F13" s="243" t="s">
        <v>1242</v>
      </c>
      <c r="G13" s="165"/>
      <c r="H13" s="165"/>
      <c r="I13" s="165"/>
      <c r="J13" s="174"/>
      <c r="K13" s="174"/>
      <c r="L13" s="174"/>
      <c r="M13" s="225"/>
      <c r="N13" s="238"/>
      <c r="O13" s="174" t="s">
        <v>1529</v>
      </c>
    </row>
    <row r="14" spans="1:15">
      <c r="A14" s="274"/>
      <c r="B14" s="277"/>
      <c r="C14" s="268">
        <v>161</v>
      </c>
      <c r="D14" s="242"/>
      <c r="E14" s="242">
        <v>1</v>
      </c>
      <c r="F14" s="11" t="s">
        <v>1530</v>
      </c>
      <c r="G14" s="217">
        <v>4</v>
      </c>
      <c r="H14" s="217">
        <v>11</v>
      </c>
      <c r="I14" s="217">
        <v>25</v>
      </c>
      <c r="J14" s="217">
        <v>0</v>
      </c>
      <c r="K14" s="217">
        <v>275</v>
      </c>
      <c r="L14" s="217">
        <v>0</v>
      </c>
      <c r="M14" s="242"/>
      <c r="N14" s="216"/>
      <c r="O14" s="216"/>
    </row>
    <row r="15" spans="1:15">
      <c r="A15" s="274"/>
      <c r="B15" s="277"/>
      <c r="C15" s="269"/>
      <c r="D15" s="242"/>
      <c r="E15" s="242">
        <v>2</v>
      </c>
      <c r="F15" s="42" t="s">
        <v>678</v>
      </c>
      <c r="G15" s="216">
        <v>0</v>
      </c>
      <c r="H15" s="216">
        <v>2</v>
      </c>
      <c r="I15" s="216">
        <v>12</v>
      </c>
      <c r="J15" s="216">
        <v>0</v>
      </c>
      <c r="K15" s="216">
        <v>563</v>
      </c>
      <c r="L15" s="216">
        <v>0</v>
      </c>
      <c r="M15" s="216"/>
      <c r="N15" s="216"/>
      <c r="O15" s="216" t="s">
        <v>1531</v>
      </c>
    </row>
    <row r="16" spans="1:15">
      <c r="A16" s="274"/>
      <c r="B16" s="277"/>
      <c r="C16" s="269"/>
      <c r="D16" s="242"/>
      <c r="E16" s="242">
        <v>1</v>
      </c>
      <c r="F16" s="42" t="s">
        <v>721</v>
      </c>
      <c r="G16" s="216">
        <v>3</v>
      </c>
      <c r="H16" s="216">
        <v>4</v>
      </c>
      <c r="I16" s="216">
        <v>51</v>
      </c>
      <c r="J16" s="216">
        <v>0</v>
      </c>
      <c r="K16" s="216">
        <v>2188</v>
      </c>
      <c r="L16" s="216">
        <v>0</v>
      </c>
      <c r="M16" s="216"/>
      <c r="N16" s="216"/>
      <c r="O16" s="216" t="s">
        <v>1531</v>
      </c>
    </row>
    <row r="17" spans="1:15" ht="30">
      <c r="A17" s="274"/>
      <c r="B17" s="277"/>
      <c r="C17" s="269"/>
      <c r="D17" s="242"/>
      <c r="E17" s="242"/>
      <c r="F17" s="244" t="s">
        <v>1532</v>
      </c>
      <c r="G17" s="216"/>
      <c r="H17" s="216"/>
      <c r="I17" s="216"/>
      <c r="J17" s="216"/>
      <c r="K17" s="216"/>
      <c r="L17" s="216"/>
      <c r="M17" s="216"/>
      <c r="N17" s="216"/>
      <c r="O17" s="218" t="s">
        <v>1533</v>
      </c>
    </row>
    <row r="18" spans="1:15" ht="30">
      <c r="A18" s="274"/>
      <c r="B18" s="277"/>
      <c r="C18" s="270"/>
      <c r="D18" s="242"/>
      <c r="E18" s="242"/>
      <c r="F18" s="244" t="s">
        <v>1534</v>
      </c>
      <c r="G18" s="216"/>
      <c r="H18" s="216"/>
      <c r="I18" s="216"/>
      <c r="J18" s="216"/>
      <c r="K18" s="216"/>
      <c r="L18" s="216"/>
      <c r="M18" s="216"/>
      <c r="N18" s="216"/>
      <c r="O18" s="218" t="s">
        <v>1342</v>
      </c>
    </row>
    <row r="19" spans="1:15">
      <c r="A19" s="240"/>
      <c r="B19" s="237"/>
      <c r="C19" s="240"/>
      <c r="D19" s="240"/>
      <c r="E19" s="240"/>
      <c r="F19"/>
      <c r="G19" s="240"/>
      <c r="H19" s="240"/>
      <c r="I19" s="240"/>
      <c r="J19" s="240"/>
      <c r="K19" s="240"/>
      <c r="L19" s="240"/>
      <c r="M19" s="240"/>
      <c r="N19" s="240"/>
      <c r="O19" s="240"/>
    </row>
    <row r="20" spans="1:15">
      <c r="A20" s="240"/>
      <c r="B20" s="240"/>
      <c r="C20" s="240"/>
      <c r="D20" s="240"/>
      <c r="E20" s="240"/>
      <c r="F20"/>
      <c r="G20" s="240"/>
      <c r="H20" s="240"/>
      <c r="I20" s="240"/>
      <c r="J20" s="240"/>
      <c r="K20" s="240"/>
      <c r="L20" s="240"/>
      <c r="M20" s="240"/>
      <c r="N20" s="240"/>
      <c r="O20" s="240"/>
    </row>
    <row r="21" spans="1:15">
      <c r="A21" s="240"/>
      <c r="B21" s="240"/>
      <c r="C21" s="240"/>
      <c r="D21" s="240"/>
      <c r="E21" s="240"/>
      <c r="F21"/>
      <c r="G21" s="240"/>
      <c r="H21" s="240"/>
      <c r="I21" s="240"/>
      <c r="J21" s="240"/>
      <c r="K21" s="240"/>
      <c r="L21" s="240"/>
      <c r="M21" s="240"/>
      <c r="N21" s="240"/>
      <c r="O21" s="240"/>
    </row>
    <row r="22" spans="1:15">
      <c r="A22" s="240"/>
      <c r="B22" s="240"/>
      <c r="C22" s="240"/>
      <c r="D22" s="240"/>
      <c r="E22"/>
      <c r="F22"/>
      <c r="G22" s="240"/>
      <c r="H22" s="240"/>
      <c r="I22" s="240"/>
      <c r="J22" s="240"/>
      <c r="K22" s="240"/>
      <c r="L22" s="240"/>
      <c r="M22" s="240"/>
      <c r="N22" s="240"/>
      <c r="O22" s="240"/>
    </row>
    <row r="23" spans="1:15">
      <c r="A23" s="240"/>
      <c r="B23" s="240"/>
      <c r="C23" s="240"/>
      <c r="D23"/>
      <c r="E23"/>
      <c r="F23"/>
      <c r="G23"/>
      <c r="H23" s="240"/>
      <c r="I23" s="240"/>
      <c r="J23" s="240"/>
      <c r="K23" s="240"/>
      <c r="L23" s="240"/>
      <c r="M23" s="240"/>
      <c r="N23" s="240"/>
      <c r="O23" s="240"/>
    </row>
    <row r="24" spans="1:15">
      <c r="A24" s="240"/>
      <c r="B24" s="240"/>
      <c r="C24" s="240"/>
      <c r="D24"/>
      <c r="E24"/>
      <c r="F24"/>
      <c r="G24"/>
      <c r="H24" s="240"/>
      <c r="I24" s="240"/>
      <c r="J24" s="240"/>
      <c r="K24" s="240"/>
      <c r="L24" s="240"/>
      <c r="M24" s="240"/>
      <c r="N24" s="240"/>
      <c r="O24" s="240"/>
    </row>
    <row r="25" spans="1:15">
      <c r="A25" s="240"/>
      <c r="B25" s="240"/>
      <c r="C25" s="240"/>
      <c r="D25"/>
      <c r="E25"/>
      <c r="F25"/>
      <c r="G25"/>
      <c r="H25" s="240"/>
      <c r="I25" s="240"/>
      <c r="J25" s="240"/>
      <c r="K25" s="240"/>
      <c r="L25" s="240"/>
      <c r="M25" s="240"/>
      <c r="N25" s="240"/>
      <c r="O25" s="240"/>
    </row>
    <row r="26" spans="1:15">
      <c r="A26" s="240"/>
      <c r="B26" s="240"/>
      <c r="C26" s="240"/>
      <c r="D26"/>
      <c r="E26"/>
      <c r="F26"/>
      <c r="G26"/>
      <c r="H26" s="240"/>
      <c r="I26" s="240"/>
      <c r="J26" s="240"/>
      <c r="K26" s="240"/>
      <c r="L26" s="240"/>
      <c r="M26" s="240"/>
      <c r="N26" s="240"/>
      <c r="O26" s="240"/>
    </row>
    <row r="27" spans="1:15">
      <c r="A27" s="240"/>
      <c r="B27" s="240"/>
      <c r="C27" s="240"/>
      <c r="D27"/>
      <c r="E27"/>
      <c r="F27"/>
      <c r="G27"/>
      <c r="H27" s="240"/>
      <c r="I27" s="240"/>
      <c r="J27" s="240"/>
      <c r="K27" s="240"/>
      <c r="L27" s="240"/>
      <c r="M27" s="240"/>
      <c r="N27" s="240"/>
      <c r="O27" s="240"/>
    </row>
    <row r="28" spans="1:15">
      <c r="A28" s="240"/>
      <c r="B28" s="240"/>
      <c r="C28" s="240"/>
      <c r="D28"/>
      <c r="E28"/>
      <c r="F28"/>
      <c r="G28"/>
      <c r="H28" s="240"/>
      <c r="I28" s="240"/>
      <c r="J28" s="240"/>
      <c r="K28" s="240"/>
      <c r="L28" s="240"/>
      <c r="M28" s="240"/>
      <c r="N28" s="240"/>
      <c r="O28" s="240"/>
    </row>
    <row r="29" spans="1:15">
      <c r="A29" s="240"/>
      <c r="B29" s="240"/>
      <c r="C29" s="240"/>
      <c r="D29"/>
      <c r="E29"/>
      <c r="F29"/>
      <c r="G29"/>
      <c r="H29" s="240"/>
      <c r="I29" s="240"/>
      <c r="J29" s="240"/>
      <c r="K29" s="240"/>
      <c r="L29" s="240"/>
      <c r="M29" s="240"/>
      <c r="N29" s="240"/>
      <c r="O29" s="240"/>
    </row>
    <row r="30" spans="1:15">
      <c r="A30" s="240"/>
      <c r="B30" s="240"/>
      <c r="C30" s="240"/>
      <c r="D30"/>
      <c r="E30"/>
      <c r="F30"/>
      <c r="G30"/>
      <c r="H30" s="240"/>
      <c r="I30" s="240"/>
      <c r="J30" s="240"/>
      <c r="K30" s="240"/>
      <c r="L30" s="240"/>
      <c r="M30" s="240"/>
      <c r="N30" s="240"/>
      <c r="O30" s="240"/>
    </row>
    <row r="31" spans="1:15">
      <c r="A31" s="240"/>
      <c r="B31" s="240"/>
      <c r="C31" s="240"/>
      <c r="D31"/>
      <c r="E31"/>
      <c r="F31"/>
      <c r="G31"/>
      <c r="H31" s="240"/>
      <c r="I31" s="240"/>
      <c r="J31" s="240"/>
      <c r="K31" s="240"/>
      <c r="L31" s="240"/>
      <c r="M31" s="240"/>
      <c r="N31" s="240"/>
      <c r="O31" s="240"/>
    </row>
    <row r="32" spans="1:15">
      <c r="A32" s="240"/>
      <c r="B32" s="240"/>
      <c r="C32" s="240"/>
      <c r="D32"/>
      <c r="E32"/>
      <c r="F32"/>
      <c r="G32"/>
      <c r="H32" s="240"/>
      <c r="I32" s="240"/>
      <c r="J32" s="240"/>
      <c r="K32" s="240"/>
      <c r="L32" s="240"/>
      <c r="M32" s="240"/>
      <c r="N32" s="240"/>
      <c r="O32" s="240"/>
    </row>
    <row r="33" spans="4:7">
      <c r="D33"/>
      <c r="E33"/>
      <c r="F33"/>
      <c r="G33"/>
    </row>
    <row r="34" spans="4:7">
      <c r="D34"/>
      <c r="E34"/>
      <c r="F34"/>
      <c r="G34"/>
    </row>
    <row r="35" spans="4:7">
      <c r="D35"/>
      <c r="E35"/>
      <c r="F35"/>
      <c r="G35"/>
    </row>
    <row r="36" spans="4:7">
      <c r="D36"/>
      <c r="E36"/>
      <c r="F36"/>
      <c r="G36"/>
    </row>
    <row r="37" spans="4:7">
      <c r="D37"/>
      <c r="E37"/>
      <c r="F37"/>
      <c r="G37"/>
    </row>
    <row r="38" spans="4:7">
      <c r="D38"/>
      <c r="E38"/>
      <c r="F38"/>
      <c r="G38"/>
    </row>
    <row r="39" spans="4:7">
      <c r="D39"/>
      <c r="E39"/>
      <c r="F39"/>
      <c r="G39"/>
    </row>
    <row r="40" spans="4:7">
      <c r="D40"/>
      <c r="E40"/>
      <c r="F40"/>
      <c r="G40"/>
    </row>
  </sheetData>
  <mergeCells count="6">
    <mergeCell ref="A2:A18"/>
    <mergeCell ref="B2:B18"/>
    <mergeCell ref="C2:C5"/>
    <mergeCell ref="C6:C9"/>
    <mergeCell ref="C14:C18"/>
    <mergeCell ref="C10:C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885B-5304-4DBC-A0D5-33852A1D2DDE}">
  <dimension ref="A1:O6"/>
  <sheetViews>
    <sheetView zoomScaleNormal="100" workbookViewId="0">
      <pane ySplit="1" topLeftCell="A2" activePane="bottomLeft" state="frozen"/>
      <selection pane="bottomLeft" activeCell="C7" sqref="C7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12" customWidth="1"/>
    <col min="4" max="4" width="10.7109375" style="12" customWidth="1"/>
    <col min="5" max="5" width="7.7109375" style="12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7" customWidth="1"/>
    <col min="16" max="16384" width="9" style="3"/>
  </cols>
  <sheetData>
    <row r="1" spans="1:15" ht="45">
      <c r="A1" s="6" t="s">
        <v>660</v>
      </c>
      <c r="B1" s="160" t="s">
        <v>4</v>
      </c>
      <c r="C1" s="6" t="s">
        <v>661</v>
      </c>
      <c r="D1" s="162" t="s">
        <v>662</v>
      </c>
      <c r="E1" s="162" t="s">
        <v>663</v>
      </c>
      <c r="F1" s="160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714</v>
      </c>
      <c r="O1" s="162" t="s">
        <v>672</v>
      </c>
    </row>
    <row r="2" spans="1:15">
      <c r="A2" s="274">
        <v>18</v>
      </c>
      <c r="B2" s="277" t="s">
        <v>1535</v>
      </c>
      <c r="C2" s="234">
        <v>162</v>
      </c>
      <c r="D2" s="242"/>
      <c r="E2" s="242">
        <v>1</v>
      </c>
      <c r="F2" s="218" t="s">
        <v>1536</v>
      </c>
      <c r="G2" s="216">
        <v>0</v>
      </c>
      <c r="H2" s="216">
        <v>2</v>
      </c>
      <c r="I2" s="216">
        <v>18</v>
      </c>
      <c r="J2" s="216">
        <v>1</v>
      </c>
      <c r="K2" s="216">
        <v>782</v>
      </c>
      <c r="L2" s="216">
        <v>0</v>
      </c>
      <c r="M2" s="216"/>
      <c r="N2" s="216"/>
      <c r="O2" s="218"/>
    </row>
    <row r="3" spans="1:15">
      <c r="A3" s="274"/>
      <c r="B3" s="277"/>
      <c r="C3" s="265">
        <v>163</v>
      </c>
      <c r="D3" s="238"/>
      <c r="E3" s="238">
        <v>1</v>
      </c>
      <c r="F3" s="174" t="s">
        <v>1537</v>
      </c>
      <c r="G3" s="165">
        <v>0</v>
      </c>
      <c r="H3" s="165">
        <v>2</v>
      </c>
      <c r="I3" s="165">
        <v>24</v>
      </c>
      <c r="J3" s="165">
        <v>1</v>
      </c>
      <c r="K3" s="165">
        <v>1442</v>
      </c>
      <c r="L3" s="165">
        <v>0</v>
      </c>
      <c r="M3" s="165"/>
      <c r="N3" s="165"/>
      <c r="O3" s="174"/>
    </row>
    <row r="4" spans="1:15">
      <c r="A4" s="274"/>
      <c r="B4" s="277"/>
      <c r="C4" s="267"/>
      <c r="D4" s="238"/>
      <c r="E4" s="238">
        <v>2</v>
      </c>
      <c r="F4" s="239" t="s">
        <v>1538</v>
      </c>
      <c r="G4" s="165">
        <v>0</v>
      </c>
      <c r="H4" s="165">
        <v>0</v>
      </c>
      <c r="I4" s="165">
        <v>5</v>
      </c>
      <c r="J4" s="165">
        <v>0</v>
      </c>
      <c r="K4" s="165">
        <v>0</v>
      </c>
      <c r="L4" s="165">
        <v>0</v>
      </c>
      <c r="M4" s="165"/>
      <c r="N4" s="165"/>
      <c r="O4" s="174" t="s">
        <v>1539</v>
      </c>
    </row>
    <row r="5" spans="1:15">
      <c r="A5" s="274"/>
      <c r="B5" s="277"/>
      <c r="C5" s="269">
        <v>164</v>
      </c>
      <c r="D5" s="242"/>
      <c r="E5" s="242">
        <v>1</v>
      </c>
      <c r="F5" s="252" t="s">
        <v>1540</v>
      </c>
      <c r="G5" s="216">
        <v>0</v>
      </c>
      <c r="H5" s="216">
        <v>2</v>
      </c>
      <c r="I5" s="216">
        <v>24</v>
      </c>
      <c r="J5" s="216">
        <v>1</v>
      </c>
      <c r="K5" s="216">
        <v>1442</v>
      </c>
      <c r="L5" s="216">
        <v>0</v>
      </c>
      <c r="M5" s="216"/>
      <c r="N5" s="216"/>
      <c r="O5" s="218"/>
    </row>
    <row r="6" spans="1:15">
      <c r="A6" s="274"/>
      <c r="B6" s="277"/>
      <c r="C6" s="270"/>
      <c r="D6" s="242"/>
      <c r="E6" s="242">
        <v>2</v>
      </c>
      <c r="F6" s="252" t="s">
        <v>1541</v>
      </c>
      <c r="G6" s="216">
        <v>0</v>
      </c>
      <c r="H6" s="216">
        <v>0</v>
      </c>
      <c r="I6" s="216">
        <v>5</v>
      </c>
      <c r="J6" s="216">
        <v>0</v>
      </c>
      <c r="K6" s="216">
        <v>0</v>
      </c>
      <c r="L6" s="216">
        <v>0</v>
      </c>
      <c r="M6" s="216"/>
      <c r="N6" s="216"/>
      <c r="O6" s="218" t="s">
        <v>1539</v>
      </c>
    </row>
  </sheetData>
  <mergeCells count="4">
    <mergeCell ref="A2:A6"/>
    <mergeCell ref="B2:B6"/>
    <mergeCell ref="C3:C4"/>
    <mergeCell ref="C5:C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8D49-19EC-4076-ACC1-C3ECBD9E9374}">
  <dimension ref="A1:O56"/>
  <sheetViews>
    <sheetView zoomScaleNormal="100" workbookViewId="0">
      <pane ySplit="1" topLeftCell="A2" activePane="bottomLeft" state="frozen"/>
      <selection pane="bottomLeft" activeCell="F13" sqref="F13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3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19</v>
      </c>
      <c r="B2" s="277" t="s">
        <v>1542</v>
      </c>
      <c r="C2" s="265">
        <v>165</v>
      </c>
      <c r="D2" s="238"/>
      <c r="E2" s="238">
        <v>1</v>
      </c>
      <c r="F2" s="17" t="s">
        <v>1543</v>
      </c>
      <c r="G2" s="221">
        <v>0</v>
      </c>
      <c r="H2" s="221">
        <v>6</v>
      </c>
      <c r="I2" s="221">
        <v>39</v>
      </c>
      <c r="J2" s="220">
        <v>1</v>
      </c>
      <c r="K2" s="220">
        <v>96</v>
      </c>
      <c r="L2" s="220">
        <v>0</v>
      </c>
      <c r="M2" s="222"/>
      <c r="N2" s="222"/>
      <c r="O2" s="174"/>
    </row>
    <row r="3" spans="1:15" ht="30">
      <c r="A3" s="274"/>
      <c r="B3" s="277"/>
      <c r="C3" s="266"/>
      <c r="D3" s="238"/>
      <c r="E3" s="238"/>
      <c r="F3" s="243" t="s">
        <v>1544</v>
      </c>
      <c r="G3" s="221"/>
      <c r="H3" s="221"/>
      <c r="I3" s="221"/>
      <c r="J3" s="220"/>
      <c r="K3" s="220"/>
      <c r="L3" s="220"/>
      <c r="M3" s="222"/>
      <c r="N3" s="222"/>
      <c r="O3" s="174" t="s">
        <v>1545</v>
      </c>
    </row>
    <row r="4" spans="1:15" ht="30">
      <c r="A4" s="274"/>
      <c r="B4" s="277"/>
      <c r="C4" s="266"/>
      <c r="D4" s="238"/>
      <c r="E4" s="238"/>
      <c r="F4" s="243" t="s">
        <v>1546</v>
      </c>
      <c r="G4" s="221"/>
      <c r="H4" s="221"/>
      <c r="I4" s="221"/>
      <c r="J4" s="220"/>
      <c r="K4" s="220"/>
      <c r="L4" s="220"/>
      <c r="M4" s="222"/>
      <c r="N4" s="222"/>
      <c r="O4" s="174" t="s">
        <v>1547</v>
      </c>
    </row>
    <row r="5" spans="1:15" ht="30">
      <c r="A5" s="274"/>
      <c r="B5" s="277"/>
      <c r="C5" s="266"/>
      <c r="D5" s="238"/>
      <c r="E5" s="238"/>
      <c r="F5" s="243" t="s">
        <v>1548</v>
      </c>
      <c r="G5" s="221"/>
      <c r="H5" s="221"/>
      <c r="I5" s="221"/>
      <c r="J5" s="220"/>
      <c r="K5" s="220"/>
      <c r="L5" s="220"/>
      <c r="M5" s="222"/>
      <c r="N5" s="222"/>
      <c r="O5" s="174" t="s">
        <v>1549</v>
      </c>
    </row>
    <row r="6" spans="1:15">
      <c r="A6" s="274"/>
      <c r="B6" s="277"/>
      <c r="C6" s="267"/>
      <c r="D6" s="238"/>
      <c r="E6" s="238"/>
      <c r="F6" s="243" t="s">
        <v>1240</v>
      </c>
      <c r="G6" s="221"/>
      <c r="H6" s="221"/>
      <c r="I6" s="221"/>
      <c r="J6" s="220"/>
      <c r="K6" s="220"/>
      <c r="L6" s="220"/>
      <c r="M6" s="222"/>
      <c r="N6" s="222"/>
      <c r="O6" s="174" t="s">
        <v>1550</v>
      </c>
    </row>
    <row r="7" spans="1:15">
      <c r="A7" s="274"/>
      <c r="B7" s="277"/>
      <c r="C7" s="268">
        <v>166</v>
      </c>
      <c r="D7" s="242"/>
      <c r="E7" s="242">
        <v>1</v>
      </c>
      <c r="F7" s="11" t="s">
        <v>1551</v>
      </c>
      <c r="G7" s="216">
        <v>0</v>
      </c>
      <c r="H7" s="216">
        <v>5</v>
      </c>
      <c r="I7" s="216">
        <v>30</v>
      </c>
      <c r="J7" s="216">
        <v>1</v>
      </c>
      <c r="K7" s="216">
        <v>52</v>
      </c>
      <c r="L7" s="216">
        <v>0</v>
      </c>
      <c r="M7" s="234"/>
      <c r="N7" s="234"/>
      <c r="O7" s="216"/>
    </row>
    <row r="8" spans="1:15" ht="30">
      <c r="A8" s="274"/>
      <c r="B8" s="277"/>
      <c r="C8" s="269"/>
      <c r="D8" s="242"/>
      <c r="E8" s="242">
        <v>2</v>
      </c>
      <c r="F8" s="11" t="s">
        <v>1552</v>
      </c>
      <c r="G8" s="216">
        <v>0</v>
      </c>
      <c r="H8" s="216">
        <v>2</v>
      </c>
      <c r="I8" s="216">
        <v>10</v>
      </c>
      <c r="J8" s="216">
        <v>0</v>
      </c>
      <c r="K8" s="216">
        <v>38</v>
      </c>
      <c r="L8" s="216">
        <v>0</v>
      </c>
      <c r="M8" s="234"/>
      <c r="N8" s="234"/>
      <c r="O8" s="216" t="s">
        <v>1553</v>
      </c>
    </row>
    <row r="9" spans="1:15" ht="30">
      <c r="A9" s="274"/>
      <c r="B9" s="277"/>
      <c r="C9" s="269"/>
      <c r="D9" s="242"/>
      <c r="E9" s="242"/>
      <c r="F9" s="243" t="s">
        <v>1544</v>
      </c>
      <c r="G9" s="221"/>
      <c r="H9" s="221"/>
      <c r="I9" s="221"/>
      <c r="J9" s="220"/>
      <c r="K9" s="220"/>
      <c r="L9" s="220"/>
      <c r="M9" s="222"/>
      <c r="N9" s="222"/>
      <c r="O9" s="174" t="s">
        <v>1545</v>
      </c>
    </row>
    <row r="10" spans="1:15" ht="30">
      <c r="A10" s="274"/>
      <c r="B10" s="277"/>
      <c r="C10" s="269"/>
      <c r="D10" s="242"/>
      <c r="E10" s="242"/>
      <c r="F10" s="243" t="s">
        <v>1546</v>
      </c>
      <c r="G10" s="221"/>
      <c r="H10" s="221"/>
      <c r="I10" s="221"/>
      <c r="J10" s="220"/>
      <c r="K10" s="220"/>
      <c r="L10" s="220"/>
      <c r="M10" s="222"/>
      <c r="N10" s="222"/>
      <c r="O10" s="174" t="s">
        <v>1547</v>
      </c>
    </row>
    <row r="11" spans="1:15">
      <c r="A11" s="274"/>
      <c r="B11" s="277"/>
      <c r="C11" s="270"/>
      <c r="D11" s="242"/>
      <c r="E11" s="242"/>
      <c r="F11" s="243" t="s">
        <v>1240</v>
      </c>
      <c r="G11" s="221"/>
      <c r="H11" s="221"/>
      <c r="I11" s="221"/>
      <c r="J11" s="220"/>
      <c r="K11" s="220"/>
      <c r="L11" s="220"/>
      <c r="M11" s="222"/>
      <c r="N11" s="222"/>
      <c r="O11" s="174" t="s">
        <v>1550</v>
      </c>
    </row>
    <row r="12" spans="1:15">
      <c r="A12" s="274"/>
      <c r="B12" s="277"/>
      <c r="C12" s="222">
        <v>167</v>
      </c>
      <c r="D12" s="238"/>
      <c r="E12" s="238"/>
      <c r="F12" s="20" t="s">
        <v>654</v>
      </c>
      <c r="G12" s="165"/>
      <c r="H12" s="165"/>
      <c r="I12" s="165"/>
      <c r="J12" s="174"/>
      <c r="K12" s="174"/>
      <c r="L12" s="174"/>
      <c r="M12" s="225"/>
      <c r="N12" s="238"/>
      <c r="O12" s="165" t="s">
        <v>1489</v>
      </c>
    </row>
    <row r="13" spans="1:15">
      <c r="A13" s="274"/>
      <c r="B13" s="277"/>
      <c r="C13" s="234">
        <v>168</v>
      </c>
      <c r="D13" s="242"/>
      <c r="E13" s="242">
        <v>1</v>
      </c>
      <c r="F13" s="11" t="s">
        <v>1554</v>
      </c>
      <c r="G13" s="217">
        <v>0</v>
      </c>
      <c r="H13" s="217">
        <v>2</v>
      </c>
      <c r="I13" s="217">
        <v>11</v>
      </c>
      <c r="J13" s="217">
        <v>0</v>
      </c>
      <c r="K13" s="217">
        <v>6</v>
      </c>
      <c r="L13" s="217">
        <v>0</v>
      </c>
      <c r="M13" s="242"/>
      <c r="N13" s="216"/>
      <c r="O13" s="216" t="s">
        <v>1555</v>
      </c>
    </row>
    <row r="14" spans="1:15" ht="30">
      <c r="A14" s="274"/>
      <c r="B14" s="277"/>
      <c r="C14" s="265">
        <v>169</v>
      </c>
      <c r="D14" s="238"/>
      <c r="E14" s="238"/>
      <c r="F14" s="20" t="s">
        <v>423</v>
      </c>
      <c r="G14" s="220">
        <v>4</v>
      </c>
      <c r="H14" s="220"/>
      <c r="I14" s="220"/>
      <c r="J14" s="220"/>
      <c r="K14" s="220"/>
      <c r="L14" s="220"/>
      <c r="M14" s="225"/>
      <c r="N14" s="222"/>
      <c r="O14" s="174" t="s">
        <v>1556</v>
      </c>
    </row>
    <row r="15" spans="1:15" ht="30">
      <c r="A15" s="274"/>
      <c r="B15" s="277"/>
      <c r="C15" s="266"/>
      <c r="D15" s="238"/>
      <c r="E15" s="238"/>
      <c r="F15" s="243" t="s">
        <v>1557</v>
      </c>
      <c r="G15" s="220"/>
      <c r="H15" s="220"/>
      <c r="I15" s="220"/>
      <c r="J15" s="220"/>
      <c r="K15" s="220"/>
      <c r="L15" s="220"/>
      <c r="M15" s="225"/>
      <c r="N15" s="222"/>
      <c r="O15" s="174" t="s">
        <v>1558</v>
      </c>
    </row>
    <row r="16" spans="1:15" ht="30">
      <c r="A16" s="274"/>
      <c r="B16" s="277"/>
      <c r="C16" s="266"/>
      <c r="D16" s="238"/>
      <c r="E16" s="238"/>
      <c r="F16" s="243" t="s">
        <v>1559</v>
      </c>
      <c r="G16" s="220"/>
      <c r="H16" s="220"/>
      <c r="I16" s="220"/>
      <c r="J16" s="220"/>
      <c r="K16" s="220"/>
      <c r="L16" s="220"/>
      <c r="M16" s="225"/>
      <c r="N16" s="222"/>
      <c r="O16" s="174" t="s">
        <v>1560</v>
      </c>
    </row>
    <row r="17" spans="1:15" ht="30">
      <c r="A17" s="274"/>
      <c r="B17" s="277"/>
      <c r="C17" s="266"/>
      <c r="D17" s="238"/>
      <c r="E17" s="238"/>
      <c r="F17" s="243" t="s">
        <v>1561</v>
      </c>
      <c r="G17" s="220"/>
      <c r="H17" s="220"/>
      <c r="I17" s="220"/>
      <c r="J17" s="220"/>
      <c r="K17" s="220"/>
      <c r="L17" s="220"/>
      <c r="M17" s="225"/>
      <c r="N17" s="222"/>
      <c r="O17" s="174" t="s">
        <v>850</v>
      </c>
    </row>
    <row r="18" spans="1:15">
      <c r="A18" s="274"/>
      <c r="B18" s="277"/>
      <c r="C18" s="266"/>
      <c r="D18" s="238"/>
      <c r="E18" s="238"/>
      <c r="F18" s="243" t="s">
        <v>1562</v>
      </c>
      <c r="G18" s="220"/>
      <c r="H18" s="220"/>
      <c r="I18" s="220"/>
      <c r="J18" s="220"/>
      <c r="K18" s="220"/>
      <c r="L18" s="220"/>
      <c r="M18" s="225"/>
      <c r="N18" s="222"/>
      <c r="O18" s="174" t="s">
        <v>1184</v>
      </c>
    </row>
    <row r="19" spans="1:15">
      <c r="A19" s="274"/>
      <c r="B19" s="277"/>
      <c r="C19" s="266"/>
      <c r="D19" s="238"/>
      <c r="E19" s="238"/>
      <c r="F19" s="243" t="s">
        <v>1563</v>
      </c>
      <c r="G19" s="220"/>
      <c r="H19" s="220"/>
      <c r="I19" s="220"/>
      <c r="J19" s="220"/>
      <c r="K19" s="220"/>
      <c r="L19" s="220"/>
      <c r="M19" s="225"/>
      <c r="N19" s="222"/>
      <c r="O19" s="174" t="s">
        <v>1184</v>
      </c>
    </row>
    <row r="20" spans="1:15">
      <c r="A20" s="274"/>
      <c r="B20" s="277"/>
      <c r="C20" s="266"/>
      <c r="D20" s="238"/>
      <c r="E20" s="238"/>
      <c r="F20" s="243" t="s">
        <v>1465</v>
      </c>
      <c r="G20" s="220"/>
      <c r="H20" s="220"/>
      <c r="I20" s="220"/>
      <c r="J20" s="220"/>
      <c r="K20" s="220"/>
      <c r="L20" s="220"/>
      <c r="M20" s="225"/>
      <c r="N20" s="222"/>
      <c r="O20" s="174" t="s">
        <v>1184</v>
      </c>
    </row>
    <row r="21" spans="1:15">
      <c r="A21" s="274"/>
      <c r="B21" s="277"/>
      <c r="C21" s="267"/>
      <c r="D21" s="238"/>
      <c r="E21" s="238"/>
      <c r="F21" s="243" t="s">
        <v>1032</v>
      </c>
      <c r="G21" s="220"/>
      <c r="H21" s="220"/>
      <c r="I21" s="220"/>
      <c r="J21" s="220"/>
      <c r="K21" s="220"/>
      <c r="L21" s="220"/>
      <c r="M21" s="225"/>
      <c r="N21" s="222"/>
      <c r="O21" s="174" t="s">
        <v>886</v>
      </c>
    </row>
    <row r="22" spans="1:15">
      <c r="A22" s="274"/>
      <c r="B22" s="277"/>
      <c r="C22" s="268">
        <v>170</v>
      </c>
      <c r="D22" s="242"/>
      <c r="E22" s="242">
        <v>1</v>
      </c>
      <c r="F22" s="11" t="s">
        <v>1564</v>
      </c>
      <c r="G22" s="216">
        <v>0</v>
      </c>
      <c r="H22" s="216">
        <v>2</v>
      </c>
      <c r="I22" s="216">
        <v>5</v>
      </c>
      <c r="J22" s="216">
        <v>0</v>
      </c>
      <c r="K22" s="216">
        <v>0</v>
      </c>
      <c r="L22" s="216">
        <v>0</v>
      </c>
      <c r="M22" s="242"/>
      <c r="N22" s="242"/>
      <c r="O22" s="216"/>
    </row>
    <row r="23" spans="1:15">
      <c r="A23" s="274"/>
      <c r="B23" s="277"/>
      <c r="C23" s="270"/>
      <c r="D23" s="242"/>
      <c r="E23" s="242">
        <v>2</v>
      </c>
      <c r="F23" s="20" t="s">
        <v>1565</v>
      </c>
      <c r="G23" s="216">
        <v>0</v>
      </c>
      <c r="H23" s="216">
        <v>1</v>
      </c>
      <c r="I23" s="216">
        <v>4</v>
      </c>
      <c r="J23" s="216">
        <v>0</v>
      </c>
      <c r="K23" s="216">
        <v>0</v>
      </c>
      <c r="L23" s="216">
        <v>0</v>
      </c>
      <c r="M23" s="242"/>
      <c r="N23" s="242"/>
      <c r="O23" s="216" t="s">
        <v>682</v>
      </c>
    </row>
    <row r="24" spans="1:15">
      <c r="A24" s="274"/>
      <c r="B24" s="277"/>
      <c r="C24" s="222">
        <v>171</v>
      </c>
      <c r="D24" s="238"/>
      <c r="E24" s="238">
        <v>1</v>
      </c>
      <c r="F24" s="20" t="s">
        <v>657</v>
      </c>
      <c r="G24" s="165"/>
      <c r="H24" s="165"/>
      <c r="I24" s="165"/>
      <c r="J24" s="165"/>
      <c r="K24" s="165"/>
      <c r="L24" s="165"/>
      <c r="M24" s="238"/>
      <c r="N24" s="238"/>
      <c r="O24" s="165" t="s">
        <v>1489</v>
      </c>
    </row>
    <row r="25" spans="1:15">
      <c r="A25" s="274"/>
      <c r="B25" s="277"/>
      <c r="C25" s="268">
        <v>172</v>
      </c>
      <c r="D25" s="242"/>
      <c r="E25" s="242">
        <v>1</v>
      </c>
      <c r="F25" s="20" t="s">
        <v>425</v>
      </c>
      <c r="G25" s="216"/>
      <c r="H25" s="216"/>
      <c r="I25" s="216"/>
      <c r="J25" s="216"/>
      <c r="K25" s="216"/>
      <c r="L25" s="216"/>
      <c r="M25" s="216"/>
      <c r="N25" s="216"/>
      <c r="O25" s="218" t="s">
        <v>850</v>
      </c>
    </row>
    <row r="26" spans="1:15">
      <c r="A26" s="274"/>
      <c r="B26" s="277"/>
      <c r="C26" s="269"/>
      <c r="D26" s="242"/>
      <c r="E26" s="242">
        <v>2</v>
      </c>
      <c r="F26" s="243" t="s">
        <v>1500</v>
      </c>
      <c r="G26" s="216"/>
      <c r="H26" s="216"/>
      <c r="I26" s="216"/>
      <c r="J26" s="216"/>
      <c r="K26" s="216"/>
      <c r="L26" s="216"/>
      <c r="M26" s="216"/>
      <c r="N26" s="216"/>
      <c r="O26" s="218" t="s">
        <v>1417</v>
      </c>
    </row>
    <row r="27" spans="1:15">
      <c r="A27" s="274"/>
      <c r="B27" s="277"/>
      <c r="C27" s="269"/>
      <c r="D27" s="242"/>
      <c r="E27" s="242">
        <v>2</v>
      </c>
      <c r="F27" s="243" t="s">
        <v>1566</v>
      </c>
      <c r="G27" s="216"/>
      <c r="H27" s="216"/>
      <c r="I27" s="216"/>
      <c r="J27" s="216"/>
      <c r="K27" s="216"/>
      <c r="L27" s="216"/>
      <c r="M27" s="216"/>
      <c r="N27" s="216"/>
      <c r="O27" s="218" t="s">
        <v>1567</v>
      </c>
    </row>
    <row r="28" spans="1:15" ht="30">
      <c r="A28" s="274"/>
      <c r="B28" s="277"/>
      <c r="C28" s="269"/>
      <c r="D28" s="242"/>
      <c r="E28" s="242">
        <v>3</v>
      </c>
      <c r="F28" s="14" t="s">
        <v>769</v>
      </c>
      <c r="G28" s="216">
        <v>2</v>
      </c>
      <c r="H28" s="216">
        <v>4</v>
      </c>
      <c r="I28" s="216">
        <v>48</v>
      </c>
      <c r="J28" s="218">
        <v>0</v>
      </c>
      <c r="K28" s="218">
        <v>1931</v>
      </c>
      <c r="L28" s="218">
        <v>0</v>
      </c>
      <c r="M28" s="216"/>
      <c r="N28" s="216"/>
      <c r="O28" s="218" t="s">
        <v>1568</v>
      </c>
    </row>
    <row r="29" spans="1:15">
      <c r="A29" s="274"/>
      <c r="B29" s="277"/>
      <c r="C29" s="269"/>
      <c r="D29" s="242"/>
      <c r="E29" s="242">
        <v>3</v>
      </c>
      <c r="F29" s="243" t="s">
        <v>1240</v>
      </c>
      <c r="G29" s="216"/>
      <c r="H29" s="216"/>
      <c r="I29" s="216"/>
      <c r="J29" s="218"/>
      <c r="K29" s="218"/>
      <c r="L29" s="218"/>
      <c r="M29" s="216"/>
      <c r="N29" s="216"/>
      <c r="O29" s="218" t="s">
        <v>1569</v>
      </c>
    </row>
    <row r="30" spans="1:15" ht="30">
      <c r="A30" s="274"/>
      <c r="B30" s="277"/>
      <c r="C30" s="269"/>
      <c r="D30" s="242"/>
      <c r="E30" s="242">
        <v>3</v>
      </c>
      <c r="F30" s="243" t="s">
        <v>1032</v>
      </c>
      <c r="G30" s="216"/>
      <c r="H30" s="216"/>
      <c r="I30" s="216"/>
      <c r="J30" s="218"/>
      <c r="K30" s="218"/>
      <c r="L30" s="218"/>
      <c r="M30" s="216"/>
      <c r="N30" s="216"/>
      <c r="O30" s="218" t="s">
        <v>1570</v>
      </c>
    </row>
    <row r="31" spans="1:15">
      <c r="A31" s="274"/>
      <c r="B31" s="277"/>
      <c r="C31" s="269"/>
      <c r="D31" s="242"/>
      <c r="E31" s="242">
        <v>2</v>
      </c>
      <c r="F31" s="243" t="s">
        <v>1240</v>
      </c>
      <c r="G31" s="216"/>
      <c r="H31" s="216"/>
      <c r="I31" s="216"/>
      <c r="J31" s="216"/>
      <c r="K31" s="216"/>
      <c r="L31" s="216"/>
      <c r="M31" s="216"/>
      <c r="N31" s="216"/>
      <c r="O31" s="218" t="s">
        <v>1419</v>
      </c>
    </row>
    <row r="32" spans="1:15">
      <c r="A32" s="274"/>
      <c r="B32" s="277"/>
      <c r="C32" s="269"/>
      <c r="D32" s="242"/>
      <c r="E32" s="242">
        <v>2</v>
      </c>
      <c r="F32" s="243" t="s">
        <v>1032</v>
      </c>
      <c r="G32" s="216"/>
      <c r="H32" s="216"/>
      <c r="I32" s="216"/>
      <c r="J32" s="216"/>
      <c r="K32" s="216"/>
      <c r="L32" s="216"/>
      <c r="M32" s="216"/>
      <c r="N32" s="216"/>
      <c r="O32" s="218" t="s">
        <v>886</v>
      </c>
    </row>
    <row r="33" spans="1:15">
      <c r="A33" s="274"/>
      <c r="B33" s="277"/>
      <c r="C33" s="269"/>
      <c r="D33" s="242"/>
      <c r="E33" s="242">
        <v>2</v>
      </c>
      <c r="F33" s="243" t="s">
        <v>1465</v>
      </c>
      <c r="G33" s="216"/>
      <c r="H33" s="216"/>
      <c r="I33" s="216"/>
      <c r="J33" s="216"/>
      <c r="K33" s="216"/>
      <c r="L33" s="216"/>
      <c r="M33" s="216"/>
      <c r="N33" s="216"/>
      <c r="O33" s="218" t="s">
        <v>1466</v>
      </c>
    </row>
    <row r="34" spans="1:15">
      <c r="A34" s="274"/>
      <c r="B34" s="277"/>
      <c r="C34" s="238">
        <v>173</v>
      </c>
      <c r="D34" s="238"/>
      <c r="E34" s="238"/>
      <c r="F34" s="17" t="s">
        <v>1571</v>
      </c>
      <c r="G34" s="165">
        <v>0</v>
      </c>
      <c r="H34" s="165">
        <v>1</v>
      </c>
      <c r="I34" s="165">
        <v>7</v>
      </c>
      <c r="J34" s="165">
        <v>1</v>
      </c>
      <c r="K34" s="165">
        <v>22</v>
      </c>
      <c r="L34" s="165">
        <v>0</v>
      </c>
      <c r="M34" s="165"/>
      <c r="N34" s="165"/>
      <c r="O34" s="165"/>
    </row>
    <row r="35" spans="1:15">
      <c r="A35" s="240"/>
      <c r="B35" s="237"/>
      <c r="C35" s="240"/>
      <c r="D35" s="240"/>
      <c r="E35" s="240"/>
      <c r="F35" s="66"/>
      <c r="G35" s="240"/>
      <c r="H35" s="240"/>
      <c r="I35" s="240"/>
      <c r="J35" s="240"/>
      <c r="K35" s="240"/>
      <c r="L35" s="240"/>
      <c r="M35" s="240"/>
      <c r="N35" s="240"/>
      <c r="O35" s="240"/>
    </row>
    <row r="36" spans="1:15">
      <c r="A36" s="240"/>
      <c r="B36" s="240"/>
      <c r="C36" s="240"/>
      <c r="D36" s="240"/>
      <c r="E36" s="240"/>
      <c r="F36" s="66"/>
      <c r="G36" s="240"/>
      <c r="H36" s="240"/>
      <c r="I36" s="240"/>
      <c r="J36" s="240"/>
      <c r="K36" s="240"/>
      <c r="L36" s="240"/>
      <c r="M36" s="240"/>
      <c r="N36" s="240"/>
      <c r="O36" s="240"/>
    </row>
    <row r="37" spans="1:15">
      <c r="A37" s="240"/>
      <c r="B37" s="240"/>
      <c r="C37" s="240"/>
      <c r="D37" s="240"/>
      <c r="E37" s="240"/>
      <c r="F37" s="66"/>
      <c r="G37" s="240"/>
      <c r="H37" s="240"/>
      <c r="I37" s="240"/>
      <c r="J37" s="240"/>
      <c r="K37" s="240"/>
      <c r="L37" s="240"/>
      <c r="M37" s="240"/>
      <c r="N37" s="240"/>
      <c r="O37" s="240"/>
    </row>
    <row r="38" spans="1:15">
      <c r="A38" s="240"/>
      <c r="B38" s="240"/>
      <c r="C38" s="240"/>
      <c r="D38" s="240"/>
      <c r="E38"/>
      <c r="F38" s="66"/>
      <c r="G38" s="240"/>
      <c r="H38" s="240"/>
      <c r="I38" s="240"/>
      <c r="J38" s="240"/>
      <c r="K38" s="240"/>
      <c r="L38" s="240"/>
      <c r="M38" s="240"/>
      <c r="N38" s="240"/>
      <c r="O38" s="240"/>
    </row>
    <row r="39" spans="1:15">
      <c r="A39" s="240"/>
      <c r="B39" s="240"/>
      <c r="C39" s="240"/>
      <c r="D39"/>
      <c r="E39"/>
      <c r="F39" s="66"/>
      <c r="G39"/>
      <c r="H39" s="240"/>
      <c r="I39" s="240"/>
      <c r="J39" s="240"/>
      <c r="K39" s="240"/>
      <c r="L39" s="240"/>
      <c r="M39" s="240"/>
      <c r="N39" s="240"/>
      <c r="O39" s="240"/>
    </row>
    <row r="40" spans="1:15">
      <c r="A40" s="240"/>
      <c r="B40" s="240"/>
      <c r="C40" s="240"/>
      <c r="D40"/>
      <c r="E40"/>
      <c r="F40" s="66"/>
      <c r="G40"/>
      <c r="H40" s="240"/>
      <c r="I40" s="240"/>
      <c r="J40" s="240"/>
      <c r="K40" s="240"/>
      <c r="L40" s="240"/>
      <c r="M40" s="240"/>
      <c r="N40" s="240"/>
      <c r="O40" s="240"/>
    </row>
    <row r="41" spans="1:15">
      <c r="A41" s="240"/>
      <c r="B41" s="240"/>
      <c r="C41" s="240"/>
      <c r="D41"/>
      <c r="E41"/>
      <c r="F41" s="66"/>
      <c r="G41"/>
      <c r="H41" s="240"/>
      <c r="I41" s="240"/>
      <c r="J41" s="240"/>
      <c r="K41" s="240"/>
      <c r="L41" s="240"/>
      <c r="M41" s="240"/>
      <c r="N41" s="240"/>
      <c r="O41" s="240"/>
    </row>
    <row r="42" spans="1:15">
      <c r="A42" s="240"/>
      <c r="B42" s="240"/>
      <c r="C42" s="240"/>
      <c r="D42"/>
      <c r="E42"/>
      <c r="F42" s="66"/>
      <c r="G42"/>
      <c r="H42" s="240"/>
      <c r="I42" s="240"/>
      <c r="J42" s="240"/>
      <c r="K42" s="240"/>
      <c r="L42" s="240"/>
      <c r="M42" s="240"/>
      <c r="N42" s="240"/>
      <c r="O42" s="240"/>
    </row>
    <row r="43" spans="1:15">
      <c r="A43" s="240"/>
      <c r="B43" s="240"/>
      <c r="C43" s="240"/>
      <c r="D43"/>
      <c r="E43"/>
      <c r="F43" s="66"/>
      <c r="G43"/>
      <c r="H43" s="240"/>
      <c r="I43" s="240"/>
      <c r="J43" s="240"/>
      <c r="K43" s="240"/>
      <c r="L43" s="240"/>
      <c r="M43" s="240"/>
      <c r="N43" s="240"/>
      <c r="O43" s="240"/>
    </row>
    <row r="44" spans="1:15">
      <c r="A44" s="240"/>
      <c r="B44" s="240"/>
      <c r="C44" s="240"/>
      <c r="D44"/>
      <c r="E44"/>
      <c r="F44" s="66"/>
      <c r="G44"/>
      <c r="H44" s="240"/>
      <c r="I44" s="240"/>
      <c r="J44" s="240"/>
      <c r="K44" s="240"/>
      <c r="L44" s="240"/>
      <c r="M44" s="240"/>
      <c r="N44" s="240"/>
      <c r="O44" s="240"/>
    </row>
    <row r="45" spans="1:15">
      <c r="A45" s="240"/>
      <c r="B45" s="240"/>
      <c r="C45" s="240"/>
      <c r="D45"/>
      <c r="E45"/>
      <c r="F45" s="66"/>
      <c r="G45"/>
      <c r="H45" s="240"/>
      <c r="I45" s="240"/>
      <c r="J45" s="240"/>
      <c r="K45" s="240"/>
      <c r="L45" s="240"/>
      <c r="M45" s="240"/>
      <c r="N45" s="240"/>
      <c r="O45" s="240"/>
    </row>
    <row r="46" spans="1:15">
      <c r="A46" s="240"/>
      <c r="B46" s="240"/>
      <c r="C46" s="240"/>
      <c r="D46"/>
      <c r="E46"/>
      <c r="F46" s="66"/>
      <c r="G46"/>
      <c r="H46" s="240"/>
      <c r="I46" s="240"/>
      <c r="J46" s="240"/>
      <c r="K46" s="240"/>
      <c r="L46" s="240"/>
      <c r="M46" s="240"/>
      <c r="N46" s="240"/>
      <c r="O46" s="240"/>
    </row>
    <row r="47" spans="1:15">
      <c r="A47" s="240"/>
      <c r="B47" s="240"/>
      <c r="C47" s="240"/>
      <c r="D47"/>
      <c r="E47"/>
      <c r="F47" s="66"/>
      <c r="G47"/>
      <c r="H47" s="240"/>
      <c r="I47" s="240"/>
      <c r="J47" s="240"/>
      <c r="K47" s="240"/>
      <c r="L47" s="240"/>
      <c r="M47" s="240"/>
      <c r="N47" s="240"/>
      <c r="O47" s="240"/>
    </row>
    <row r="48" spans="1:15">
      <c r="A48" s="240"/>
      <c r="B48" s="240"/>
      <c r="C48" s="240"/>
      <c r="D48"/>
      <c r="E48"/>
      <c r="F48" s="66"/>
      <c r="G48"/>
      <c r="H48" s="240"/>
      <c r="I48" s="240"/>
      <c r="J48" s="240"/>
      <c r="K48" s="240"/>
      <c r="L48" s="240"/>
      <c r="M48" s="240"/>
      <c r="N48" s="240"/>
      <c r="O48" s="240"/>
    </row>
    <row r="49" spans="4:7">
      <c r="D49"/>
      <c r="E49"/>
      <c r="F49" s="66"/>
      <c r="G49"/>
    </row>
    <row r="50" spans="4:7">
      <c r="D50"/>
      <c r="E50"/>
      <c r="F50" s="66"/>
      <c r="G50"/>
    </row>
    <row r="51" spans="4:7">
      <c r="D51"/>
      <c r="E51"/>
      <c r="F51" s="66"/>
      <c r="G51"/>
    </row>
    <row r="52" spans="4:7">
      <c r="D52"/>
      <c r="E52"/>
      <c r="F52" s="66"/>
      <c r="G52"/>
    </row>
    <row r="53" spans="4:7">
      <c r="D53"/>
      <c r="E53"/>
      <c r="F53" s="66"/>
      <c r="G53"/>
    </row>
    <row r="54" spans="4:7">
      <c r="D54"/>
      <c r="E54"/>
      <c r="F54" s="66"/>
      <c r="G54"/>
    </row>
    <row r="55" spans="4:7">
      <c r="D55"/>
      <c r="E55"/>
      <c r="F55" s="66"/>
      <c r="G55"/>
    </row>
    <row r="56" spans="4:7">
      <c r="D56"/>
      <c r="E56"/>
      <c r="F56" s="66"/>
      <c r="G56"/>
    </row>
  </sheetData>
  <mergeCells count="7">
    <mergeCell ref="A2:A34"/>
    <mergeCell ref="B2:B34"/>
    <mergeCell ref="C22:C23"/>
    <mergeCell ref="C2:C6"/>
    <mergeCell ref="C7:C11"/>
    <mergeCell ref="C25:C33"/>
    <mergeCell ref="C14:C2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7C89-B7A9-40F0-980B-E615A42E96E7}">
  <dimension ref="A1:O99"/>
  <sheetViews>
    <sheetView zoomScaleNormal="100" workbookViewId="0">
      <pane ySplit="1" topLeftCell="A26" activePane="bottomLeft" state="frozen"/>
      <selection pane="bottomLeft" activeCell="F58" sqref="F58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7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3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2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20</v>
      </c>
      <c r="B2" s="277" t="s">
        <v>1572</v>
      </c>
      <c r="C2" s="222">
        <v>174</v>
      </c>
      <c r="D2" s="238"/>
      <c r="E2" s="238">
        <v>1</v>
      </c>
      <c r="F2" s="17" t="s">
        <v>1573</v>
      </c>
      <c r="G2" s="221">
        <v>6</v>
      </c>
      <c r="H2" s="221">
        <v>9</v>
      </c>
      <c r="I2" s="221">
        <v>52</v>
      </c>
      <c r="J2" s="220">
        <v>1</v>
      </c>
      <c r="K2" s="220">
        <v>292</v>
      </c>
      <c r="L2" s="220">
        <v>0</v>
      </c>
      <c r="M2" s="222"/>
      <c r="N2" s="222"/>
      <c r="O2" s="165"/>
    </row>
    <row r="3" spans="1:15" ht="30">
      <c r="A3" s="274"/>
      <c r="B3" s="277"/>
      <c r="C3" s="234">
        <v>175</v>
      </c>
      <c r="D3" s="242"/>
      <c r="E3" s="242">
        <v>1</v>
      </c>
      <c r="F3" s="11" t="s">
        <v>1574</v>
      </c>
      <c r="G3" s="216">
        <v>0</v>
      </c>
      <c r="H3" s="216">
        <v>1</v>
      </c>
      <c r="I3" s="216">
        <v>9</v>
      </c>
      <c r="J3" s="216">
        <v>1</v>
      </c>
      <c r="K3" s="216">
        <v>184</v>
      </c>
      <c r="L3" s="216">
        <v>0</v>
      </c>
      <c r="M3" s="234"/>
      <c r="N3" s="234"/>
      <c r="O3" s="216"/>
    </row>
    <row r="4" spans="1:15">
      <c r="A4" s="274"/>
      <c r="B4" s="277"/>
      <c r="C4" s="222">
        <v>176</v>
      </c>
      <c r="D4" s="238"/>
      <c r="E4" s="238">
        <v>1</v>
      </c>
      <c r="F4" s="17" t="s">
        <v>1575</v>
      </c>
      <c r="G4" s="165">
        <v>0</v>
      </c>
      <c r="H4" s="165">
        <v>2</v>
      </c>
      <c r="I4" s="165">
        <v>13</v>
      </c>
      <c r="J4" s="174">
        <v>1</v>
      </c>
      <c r="K4" s="174">
        <v>210</v>
      </c>
      <c r="L4" s="174">
        <v>0</v>
      </c>
      <c r="M4" s="225"/>
      <c r="N4" s="238"/>
      <c r="O4" s="165"/>
    </row>
    <row r="5" spans="1:15">
      <c r="A5" s="274"/>
      <c r="B5" s="277"/>
      <c r="C5" s="268">
        <v>177</v>
      </c>
      <c r="D5" s="242"/>
      <c r="E5" s="242">
        <v>1</v>
      </c>
      <c r="F5" s="11" t="s">
        <v>1576</v>
      </c>
      <c r="G5" s="217">
        <v>0</v>
      </c>
      <c r="H5" s="217">
        <v>5</v>
      </c>
      <c r="I5" s="217">
        <v>53</v>
      </c>
      <c r="J5" s="217">
        <v>1</v>
      </c>
      <c r="K5" s="217">
        <v>2504</v>
      </c>
      <c r="L5" s="217">
        <v>1</v>
      </c>
      <c r="M5" s="242"/>
      <c r="N5" s="216"/>
      <c r="O5" s="216"/>
    </row>
    <row r="6" spans="1:15">
      <c r="A6" s="274"/>
      <c r="B6" s="277"/>
      <c r="C6" s="269"/>
      <c r="D6" s="242"/>
      <c r="E6" s="242">
        <v>2</v>
      </c>
      <c r="F6" s="8" t="s">
        <v>1577</v>
      </c>
      <c r="G6" s="217">
        <v>0</v>
      </c>
      <c r="H6" s="217">
        <v>2</v>
      </c>
      <c r="I6" s="217">
        <v>3</v>
      </c>
      <c r="J6" s="217">
        <v>0</v>
      </c>
      <c r="K6" s="217">
        <v>33</v>
      </c>
      <c r="L6" s="217">
        <v>0</v>
      </c>
      <c r="M6" s="234"/>
      <c r="N6" s="246"/>
      <c r="O6" s="216"/>
    </row>
    <row r="7" spans="1:15" ht="30">
      <c r="A7" s="274"/>
      <c r="B7" s="277"/>
      <c r="C7" s="270"/>
      <c r="D7" s="242"/>
      <c r="E7" s="242">
        <v>1</v>
      </c>
      <c r="F7" s="11" t="s">
        <v>1578</v>
      </c>
      <c r="G7" s="217">
        <v>0</v>
      </c>
      <c r="H7" s="217">
        <v>0</v>
      </c>
      <c r="I7" s="217">
        <v>3</v>
      </c>
      <c r="J7" s="217">
        <v>0</v>
      </c>
      <c r="K7" s="217">
        <v>72</v>
      </c>
      <c r="L7" s="217">
        <v>0</v>
      </c>
      <c r="M7" s="234"/>
      <c r="N7" s="246"/>
      <c r="O7" s="216"/>
    </row>
    <row r="8" spans="1:15">
      <c r="A8" s="274"/>
      <c r="B8" s="277"/>
      <c r="C8" s="265">
        <v>178</v>
      </c>
      <c r="D8" s="238"/>
      <c r="E8" s="238">
        <v>1</v>
      </c>
      <c r="F8" s="17" t="s">
        <v>1579</v>
      </c>
      <c r="G8" s="220">
        <v>0</v>
      </c>
      <c r="H8" s="220">
        <v>5</v>
      </c>
      <c r="I8" s="220">
        <v>53</v>
      </c>
      <c r="J8" s="220">
        <v>1</v>
      </c>
      <c r="K8" s="220">
        <v>2504</v>
      </c>
      <c r="L8" s="220">
        <v>1</v>
      </c>
      <c r="M8" s="225"/>
      <c r="N8" s="222"/>
      <c r="O8" s="165"/>
    </row>
    <row r="9" spans="1:15">
      <c r="A9" s="274"/>
      <c r="B9" s="277"/>
      <c r="C9" s="267"/>
      <c r="D9" s="238"/>
      <c r="E9" s="238">
        <v>2</v>
      </c>
      <c r="F9" s="16" t="s">
        <v>1580</v>
      </c>
      <c r="G9" s="220">
        <v>0</v>
      </c>
      <c r="H9" s="220">
        <v>2</v>
      </c>
      <c r="I9" s="220">
        <v>3</v>
      </c>
      <c r="J9" s="220">
        <v>0</v>
      </c>
      <c r="K9" s="220">
        <v>33</v>
      </c>
      <c r="L9" s="220">
        <v>0</v>
      </c>
      <c r="M9" s="225"/>
      <c r="N9" s="222"/>
      <c r="O9" s="165"/>
    </row>
    <row r="10" spans="1:15">
      <c r="A10" s="274"/>
      <c r="B10" s="277"/>
      <c r="C10" s="268">
        <v>179</v>
      </c>
      <c r="D10" s="242"/>
      <c r="E10" s="242">
        <v>1</v>
      </c>
      <c r="F10" s="11" t="s">
        <v>1581</v>
      </c>
      <c r="G10" s="216">
        <v>5</v>
      </c>
      <c r="H10" s="216">
        <v>15</v>
      </c>
      <c r="I10" s="216">
        <v>134</v>
      </c>
      <c r="J10" s="216">
        <v>1</v>
      </c>
      <c r="K10" s="216">
        <v>3964</v>
      </c>
      <c r="L10" s="216">
        <v>0</v>
      </c>
      <c r="M10" s="242"/>
      <c r="N10" s="242"/>
      <c r="O10" s="216"/>
    </row>
    <row r="11" spans="1:15" ht="30">
      <c r="A11" s="274"/>
      <c r="B11" s="277"/>
      <c r="C11" s="270"/>
      <c r="D11" s="242"/>
      <c r="E11" s="242"/>
      <c r="F11" s="243" t="s">
        <v>1582</v>
      </c>
      <c r="G11" s="216"/>
      <c r="H11" s="216"/>
      <c r="I11" s="216"/>
      <c r="J11" s="216"/>
      <c r="K11" s="216"/>
      <c r="L11" s="216"/>
      <c r="M11" s="242"/>
      <c r="N11" s="242"/>
      <c r="O11" s="218" t="s">
        <v>1583</v>
      </c>
    </row>
    <row r="12" spans="1:15">
      <c r="A12" s="274"/>
      <c r="B12" s="277"/>
      <c r="C12" s="222">
        <v>180</v>
      </c>
      <c r="D12" s="238"/>
      <c r="E12" s="238">
        <v>1</v>
      </c>
      <c r="F12" s="5" t="s">
        <v>1584</v>
      </c>
      <c r="G12" s="165">
        <v>6</v>
      </c>
      <c r="H12" s="165">
        <v>1</v>
      </c>
      <c r="I12" s="165">
        <v>9</v>
      </c>
      <c r="J12" s="165">
        <v>0</v>
      </c>
      <c r="K12" s="165">
        <v>168</v>
      </c>
      <c r="L12" s="165">
        <v>0</v>
      </c>
      <c r="M12" s="238"/>
      <c r="N12" s="238"/>
      <c r="O12" s="165"/>
    </row>
    <row r="13" spans="1:15">
      <c r="A13" s="274"/>
      <c r="B13" s="277"/>
      <c r="C13" s="268">
        <v>181</v>
      </c>
      <c r="D13" s="242"/>
      <c r="E13" s="242">
        <v>1</v>
      </c>
      <c r="F13" s="11" t="s">
        <v>1585</v>
      </c>
      <c r="G13" s="216">
        <v>2</v>
      </c>
      <c r="H13" s="216">
        <v>6</v>
      </c>
      <c r="I13" s="216">
        <v>72</v>
      </c>
      <c r="J13" s="216">
        <v>1</v>
      </c>
      <c r="K13" s="216">
        <v>504</v>
      </c>
      <c r="L13" s="216">
        <v>2</v>
      </c>
      <c r="M13" s="216"/>
      <c r="N13" s="216"/>
      <c r="O13" s="216"/>
    </row>
    <row r="14" spans="1:15">
      <c r="A14" s="274"/>
      <c r="B14" s="277"/>
      <c r="C14" s="270"/>
      <c r="D14" s="242"/>
      <c r="E14" s="242">
        <v>1</v>
      </c>
      <c r="F14" s="11" t="s">
        <v>1586</v>
      </c>
      <c r="G14" s="216">
        <v>0</v>
      </c>
      <c r="H14" s="216">
        <v>0</v>
      </c>
      <c r="I14" s="216">
        <v>4</v>
      </c>
      <c r="J14" s="216">
        <v>0</v>
      </c>
      <c r="K14" s="216">
        <v>6</v>
      </c>
      <c r="L14" s="216">
        <v>0</v>
      </c>
      <c r="M14" s="216"/>
      <c r="N14" s="216"/>
      <c r="O14" s="216"/>
    </row>
    <row r="15" spans="1:15">
      <c r="A15" s="274"/>
      <c r="B15" s="277"/>
      <c r="C15" s="222">
        <v>182</v>
      </c>
      <c r="D15" s="238"/>
      <c r="E15" s="238">
        <v>1</v>
      </c>
      <c r="F15" s="5" t="s">
        <v>1587</v>
      </c>
      <c r="G15" s="165">
        <v>0</v>
      </c>
      <c r="H15" s="165">
        <v>2</v>
      </c>
      <c r="I15" s="165">
        <v>11</v>
      </c>
      <c r="J15" s="165">
        <v>1</v>
      </c>
      <c r="K15" s="165">
        <v>905</v>
      </c>
      <c r="L15" s="165">
        <v>0</v>
      </c>
      <c r="M15" s="238"/>
      <c r="N15" s="238"/>
      <c r="O15" s="165"/>
    </row>
    <row r="16" spans="1:15">
      <c r="A16" s="274"/>
      <c r="B16" s="277"/>
      <c r="C16" s="268">
        <v>183</v>
      </c>
      <c r="D16" s="242"/>
      <c r="E16" s="242">
        <v>1</v>
      </c>
      <c r="F16" s="11" t="s">
        <v>1588</v>
      </c>
      <c r="G16" s="216">
        <v>0</v>
      </c>
      <c r="H16" s="216">
        <v>1</v>
      </c>
      <c r="I16" s="216">
        <v>24</v>
      </c>
      <c r="J16" s="216">
        <v>1</v>
      </c>
      <c r="K16" s="216">
        <v>546</v>
      </c>
      <c r="L16" s="216">
        <v>0</v>
      </c>
      <c r="M16" s="216"/>
      <c r="N16" s="216"/>
      <c r="O16" s="216"/>
    </row>
    <row r="17" spans="1:15">
      <c r="A17" s="274"/>
      <c r="B17" s="277"/>
      <c r="C17" s="269"/>
      <c r="D17" s="242"/>
      <c r="E17" s="242">
        <v>2</v>
      </c>
      <c r="F17" s="11" t="s">
        <v>1589</v>
      </c>
      <c r="G17" s="216">
        <v>0</v>
      </c>
      <c r="H17" s="216">
        <v>3</v>
      </c>
      <c r="I17" s="216">
        <v>23</v>
      </c>
      <c r="J17" s="216">
        <v>1</v>
      </c>
      <c r="K17" s="216">
        <v>201</v>
      </c>
      <c r="L17" s="216">
        <v>0</v>
      </c>
      <c r="M17" s="216"/>
      <c r="N17" s="216"/>
      <c r="O17" s="216"/>
    </row>
    <row r="18" spans="1:15" ht="30">
      <c r="A18" s="274"/>
      <c r="B18" s="277"/>
      <c r="C18" s="270"/>
      <c r="D18" s="242"/>
      <c r="E18" s="242"/>
      <c r="F18" s="243" t="s">
        <v>1590</v>
      </c>
      <c r="G18" s="216"/>
      <c r="H18" s="216"/>
      <c r="I18" s="216"/>
      <c r="J18" s="216"/>
      <c r="K18" s="216"/>
      <c r="L18" s="216"/>
      <c r="M18" s="216"/>
      <c r="N18" s="216"/>
      <c r="O18" s="216" t="s">
        <v>1184</v>
      </c>
    </row>
    <row r="19" spans="1:15">
      <c r="A19" s="274"/>
      <c r="B19" s="277"/>
      <c r="C19" s="222">
        <v>184</v>
      </c>
      <c r="D19" s="238"/>
      <c r="E19" s="238">
        <v>1</v>
      </c>
      <c r="F19" s="5" t="s">
        <v>1591</v>
      </c>
      <c r="G19" s="165">
        <v>0</v>
      </c>
      <c r="H19" s="165">
        <v>18</v>
      </c>
      <c r="I19" s="165">
        <v>37</v>
      </c>
      <c r="J19" s="165">
        <v>1</v>
      </c>
      <c r="K19" s="165">
        <v>466</v>
      </c>
      <c r="L19" s="165">
        <v>12</v>
      </c>
      <c r="M19" s="238"/>
      <c r="N19" s="238"/>
      <c r="O19" s="165"/>
    </row>
    <row r="20" spans="1:15">
      <c r="A20" s="274"/>
      <c r="B20" s="277"/>
      <c r="C20" s="234">
        <v>185</v>
      </c>
      <c r="D20" s="242"/>
      <c r="E20" s="242">
        <v>1</v>
      </c>
      <c r="F20" s="11" t="s">
        <v>1592</v>
      </c>
      <c r="G20" s="216">
        <v>0</v>
      </c>
      <c r="H20" s="216">
        <v>2</v>
      </c>
      <c r="I20" s="216">
        <v>19</v>
      </c>
      <c r="J20" s="216">
        <v>1</v>
      </c>
      <c r="K20" s="216">
        <v>33</v>
      </c>
      <c r="L20" s="216">
        <v>0</v>
      </c>
      <c r="M20" s="216"/>
      <c r="N20" s="216"/>
      <c r="O20" s="216" t="s">
        <v>1555</v>
      </c>
    </row>
    <row r="21" spans="1:15" ht="30">
      <c r="A21" s="274"/>
      <c r="B21" s="277"/>
      <c r="C21" s="265">
        <v>186</v>
      </c>
      <c r="D21" s="238"/>
      <c r="E21" s="238">
        <v>1</v>
      </c>
      <c r="F21" s="5" t="s">
        <v>1593</v>
      </c>
      <c r="G21" s="165">
        <v>0</v>
      </c>
      <c r="H21" s="165">
        <v>5</v>
      </c>
      <c r="I21" s="165">
        <v>61</v>
      </c>
      <c r="J21" s="165">
        <v>1</v>
      </c>
      <c r="K21" s="165">
        <v>4131</v>
      </c>
      <c r="L21" s="165">
        <v>1</v>
      </c>
      <c r="M21" s="238"/>
      <c r="N21" s="238"/>
      <c r="O21" s="165"/>
    </row>
    <row r="22" spans="1:15" ht="30">
      <c r="A22" s="274"/>
      <c r="B22" s="277"/>
      <c r="C22" s="266"/>
      <c r="D22" s="238"/>
      <c r="E22" s="238"/>
      <c r="F22" s="256" t="s">
        <v>1594</v>
      </c>
      <c r="G22" s="165"/>
      <c r="H22" s="165"/>
      <c r="I22" s="165"/>
      <c r="J22" s="165"/>
      <c r="K22" s="165"/>
      <c r="L22" s="165"/>
      <c r="M22" s="238"/>
      <c r="N22" s="238"/>
      <c r="O22" s="174" t="s">
        <v>1595</v>
      </c>
    </row>
    <row r="23" spans="1:15" ht="45">
      <c r="A23" s="274"/>
      <c r="B23" s="277"/>
      <c r="C23" s="267"/>
      <c r="D23" s="238"/>
      <c r="E23" s="238"/>
      <c r="F23" s="256" t="s">
        <v>1596</v>
      </c>
      <c r="G23" s="165"/>
      <c r="H23" s="165"/>
      <c r="I23" s="165"/>
      <c r="J23" s="165"/>
      <c r="K23" s="165"/>
      <c r="L23" s="165"/>
      <c r="M23" s="238"/>
      <c r="N23" s="238"/>
      <c r="O23" s="174" t="s">
        <v>1597</v>
      </c>
    </row>
    <row r="24" spans="1:15" ht="30">
      <c r="A24" s="274"/>
      <c r="B24" s="277"/>
      <c r="C24" s="268">
        <v>187</v>
      </c>
      <c r="D24" s="242"/>
      <c r="E24" s="242">
        <v>1</v>
      </c>
      <c r="F24" s="11" t="s">
        <v>1598</v>
      </c>
      <c r="G24" s="216">
        <v>3</v>
      </c>
      <c r="H24" s="216">
        <v>6</v>
      </c>
      <c r="I24" s="216">
        <v>92</v>
      </c>
      <c r="J24" s="216">
        <v>1</v>
      </c>
      <c r="K24" s="216">
        <v>3133</v>
      </c>
      <c r="L24" s="216">
        <v>0</v>
      </c>
      <c r="M24" s="216"/>
      <c r="N24" s="216"/>
      <c r="O24" s="216"/>
    </row>
    <row r="25" spans="1:15">
      <c r="A25" s="274"/>
      <c r="B25" s="277"/>
      <c r="C25" s="269"/>
      <c r="D25" s="242"/>
      <c r="E25" s="242">
        <v>2</v>
      </c>
      <c r="F25" s="11" t="s">
        <v>1599</v>
      </c>
      <c r="G25" s="216">
        <v>0</v>
      </c>
      <c r="H25" s="216">
        <v>5</v>
      </c>
      <c r="I25" s="216">
        <v>46</v>
      </c>
      <c r="J25" s="216">
        <v>1</v>
      </c>
      <c r="K25" s="216">
        <v>2792</v>
      </c>
      <c r="L25" s="216">
        <v>1</v>
      </c>
      <c r="M25" s="216"/>
      <c r="N25" s="216"/>
      <c r="O25" s="216" t="s">
        <v>1600</v>
      </c>
    </row>
    <row r="26" spans="1:15" ht="30">
      <c r="A26" s="274"/>
      <c r="B26" s="277"/>
      <c r="C26" s="270"/>
      <c r="D26" s="242"/>
      <c r="E26" s="242">
        <v>3</v>
      </c>
      <c r="F26" s="11" t="s">
        <v>1601</v>
      </c>
      <c r="G26" s="216">
        <v>0</v>
      </c>
      <c r="H26" s="216">
        <v>4</v>
      </c>
      <c r="I26" s="216">
        <v>19</v>
      </c>
      <c r="J26" s="216">
        <v>0</v>
      </c>
      <c r="K26" s="216">
        <v>116</v>
      </c>
      <c r="L26" s="216">
        <v>0</v>
      </c>
      <c r="M26" s="216"/>
      <c r="N26" s="216"/>
      <c r="O26" s="218" t="s">
        <v>1602</v>
      </c>
    </row>
    <row r="27" spans="1:15" ht="30">
      <c r="A27" s="274"/>
      <c r="B27" s="277"/>
      <c r="C27" s="222">
        <v>188</v>
      </c>
      <c r="D27" s="238"/>
      <c r="E27" s="238">
        <v>1</v>
      </c>
      <c r="F27" s="5" t="s">
        <v>1603</v>
      </c>
      <c r="G27" s="165">
        <v>0</v>
      </c>
      <c r="H27" s="165">
        <v>15</v>
      </c>
      <c r="I27" s="165">
        <v>29</v>
      </c>
      <c r="J27" s="165">
        <v>0</v>
      </c>
      <c r="K27" s="165">
        <v>427</v>
      </c>
      <c r="L27" s="165">
        <v>11</v>
      </c>
      <c r="M27" s="238"/>
      <c r="N27" s="238"/>
      <c r="O27" s="165"/>
    </row>
    <row r="28" spans="1:15" ht="30">
      <c r="A28" s="274"/>
      <c r="B28" s="277"/>
      <c r="C28" s="268">
        <v>189</v>
      </c>
      <c r="D28" s="242"/>
      <c r="E28" s="242">
        <v>1</v>
      </c>
      <c r="F28" s="11" t="s">
        <v>1604</v>
      </c>
      <c r="G28" s="216">
        <v>11</v>
      </c>
      <c r="H28" s="216">
        <v>26</v>
      </c>
      <c r="I28" s="216">
        <v>279</v>
      </c>
      <c r="J28" s="216">
        <v>1</v>
      </c>
      <c r="K28" s="216">
        <v>10864</v>
      </c>
      <c r="L28" s="216">
        <v>0</v>
      </c>
      <c r="M28" s="216"/>
      <c r="N28" s="216"/>
      <c r="O28" s="216" t="s">
        <v>1605</v>
      </c>
    </row>
    <row r="29" spans="1:15">
      <c r="A29" s="274"/>
      <c r="B29" s="277"/>
      <c r="C29" s="269"/>
      <c r="D29" s="242"/>
      <c r="E29" s="242">
        <v>2</v>
      </c>
      <c r="F29" s="11" t="s">
        <v>1601</v>
      </c>
      <c r="G29" s="216">
        <v>0</v>
      </c>
      <c r="H29" s="216">
        <v>4</v>
      </c>
      <c r="I29" s="216">
        <v>19</v>
      </c>
      <c r="J29" s="216">
        <v>0</v>
      </c>
      <c r="K29" s="216">
        <v>116</v>
      </c>
      <c r="L29" s="216">
        <v>0</v>
      </c>
      <c r="M29" s="216"/>
      <c r="N29" s="216"/>
      <c r="O29" s="216" t="s">
        <v>1606</v>
      </c>
    </row>
    <row r="30" spans="1:15">
      <c r="A30" s="274"/>
      <c r="B30" s="277"/>
      <c r="C30" s="269"/>
      <c r="D30" s="242"/>
      <c r="E30" s="242">
        <v>2</v>
      </c>
      <c r="F30" s="11" t="s">
        <v>1607</v>
      </c>
      <c r="G30" s="216">
        <v>0</v>
      </c>
      <c r="H30" s="216">
        <v>3</v>
      </c>
      <c r="I30" s="216">
        <v>25</v>
      </c>
      <c r="J30" s="216">
        <v>1</v>
      </c>
      <c r="K30" s="216">
        <v>232</v>
      </c>
      <c r="L30" s="216">
        <v>0</v>
      </c>
      <c r="M30" s="216"/>
      <c r="N30" s="216"/>
      <c r="O30" s="216" t="s">
        <v>1608</v>
      </c>
    </row>
    <row r="31" spans="1:15" ht="60">
      <c r="A31" s="274"/>
      <c r="B31" s="277"/>
      <c r="C31" s="269"/>
      <c r="D31" s="242"/>
      <c r="E31" s="242">
        <v>2</v>
      </c>
      <c r="F31" s="11" t="s">
        <v>678</v>
      </c>
      <c r="G31" s="216">
        <v>0</v>
      </c>
      <c r="H31" s="216">
        <v>2</v>
      </c>
      <c r="I31" s="216">
        <v>12</v>
      </c>
      <c r="J31" s="216">
        <v>0</v>
      </c>
      <c r="K31" s="216">
        <v>563</v>
      </c>
      <c r="L31" s="216">
        <v>0</v>
      </c>
      <c r="M31" s="216"/>
      <c r="N31" s="216"/>
      <c r="O31" s="218" t="s">
        <v>1609</v>
      </c>
    </row>
    <row r="32" spans="1:15">
      <c r="A32" s="274"/>
      <c r="B32" s="277"/>
      <c r="C32" s="269"/>
      <c r="D32" s="242"/>
      <c r="E32" s="242">
        <v>2</v>
      </c>
      <c r="F32" s="11" t="s">
        <v>679</v>
      </c>
      <c r="G32" s="216">
        <v>3</v>
      </c>
      <c r="H32" s="216">
        <v>4</v>
      </c>
      <c r="I32" s="216">
        <v>51</v>
      </c>
      <c r="J32" s="216">
        <v>0</v>
      </c>
      <c r="K32" s="216">
        <v>2188</v>
      </c>
      <c r="L32" s="216">
        <v>0</v>
      </c>
      <c r="M32" s="216"/>
      <c r="N32" s="216"/>
      <c r="O32" s="216"/>
    </row>
    <row r="33" spans="1:15">
      <c r="A33" s="274"/>
      <c r="B33" s="277"/>
      <c r="C33" s="269"/>
      <c r="D33" s="242"/>
      <c r="E33" s="242">
        <v>2</v>
      </c>
      <c r="F33" s="11" t="s">
        <v>719</v>
      </c>
      <c r="G33" s="216">
        <v>2</v>
      </c>
      <c r="H33" s="216">
        <v>2</v>
      </c>
      <c r="I33" s="216">
        <v>4</v>
      </c>
      <c r="J33" s="216">
        <v>48</v>
      </c>
      <c r="K33" s="216">
        <v>0</v>
      </c>
      <c r="L33" s="216">
        <v>1931</v>
      </c>
      <c r="M33" s="216"/>
      <c r="N33" s="216"/>
      <c r="O33" s="216"/>
    </row>
    <row r="34" spans="1:15">
      <c r="A34" s="274"/>
      <c r="B34" s="277"/>
      <c r="C34" s="269"/>
      <c r="D34" s="242"/>
      <c r="E34" s="242"/>
      <c r="F34" s="20" t="s">
        <v>1610</v>
      </c>
      <c r="G34" s="216">
        <v>0</v>
      </c>
      <c r="H34" s="216">
        <v>1</v>
      </c>
      <c r="I34" s="216">
        <v>6</v>
      </c>
      <c r="J34" s="216">
        <v>0</v>
      </c>
      <c r="K34" s="216">
        <v>100</v>
      </c>
      <c r="L34" s="216">
        <v>0</v>
      </c>
      <c r="M34" s="216"/>
      <c r="N34" s="216"/>
      <c r="O34" s="216" t="s">
        <v>682</v>
      </c>
    </row>
    <row r="35" spans="1:15">
      <c r="A35" s="274"/>
      <c r="B35" s="277"/>
      <c r="C35" s="269"/>
      <c r="D35" s="242"/>
      <c r="E35" s="242"/>
      <c r="F35" s="20" t="s">
        <v>1611</v>
      </c>
      <c r="G35" s="216">
        <v>0</v>
      </c>
      <c r="H35" s="216">
        <v>1</v>
      </c>
      <c r="I35" s="216">
        <v>5</v>
      </c>
      <c r="J35" s="216">
        <v>0</v>
      </c>
      <c r="K35" s="216">
        <v>8</v>
      </c>
      <c r="L35" s="216">
        <v>0</v>
      </c>
      <c r="M35" s="216"/>
      <c r="N35" s="216"/>
      <c r="O35" s="216" t="s">
        <v>682</v>
      </c>
    </row>
    <row r="36" spans="1:15" ht="30">
      <c r="A36" s="274"/>
      <c r="B36" s="277"/>
      <c r="C36" s="270"/>
      <c r="D36" s="242"/>
      <c r="E36" s="242"/>
      <c r="F36" s="243" t="s">
        <v>1612</v>
      </c>
      <c r="G36" s="216"/>
      <c r="H36" s="216"/>
      <c r="I36" s="216"/>
      <c r="J36" s="216"/>
      <c r="K36" s="216"/>
      <c r="L36" s="216"/>
      <c r="M36" s="216"/>
      <c r="N36" s="216"/>
      <c r="O36" s="218" t="s">
        <v>1613</v>
      </c>
    </row>
    <row r="37" spans="1:15" ht="30">
      <c r="A37" s="274"/>
      <c r="B37" s="277"/>
      <c r="C37" s="222">
        <v>190</v>
      </c>
      <c r="D37" s="238"/>
      <c r="E37" s="238">
        <v>1</v>
      </c>
      <c r="F37" s="5" t="s">
        <v>1614</v>
      </c>
      <c r="G37" s="165">
        <v>0</v>
      </c>
      <c r="H37" s="165">
        <v>0</v>
      </c>
      <c r="I37" s="165">
        <v>1</v>
      </c>
      <c r="J37" s="165">
        <v>0</v>
      </c>
      <c r="K37" s="165">
        <v>0</v>
      </c>
      <c r="L37" s="165">
        <v>0</v>
      </c>
      <c r="M37" s="238"/>
      <c r="N37" s="238"/>
      <c r="O37" s="165"/>
    </row>
    <row r="38" spans="1:15">
      <c r="A38" s="274"/>
      <c r="B38" s="277"/>
      <c r="C38" s="234">
        <v>191</v>
      </c>
      <c r="D38" s="242"/>
      <c r="E38" s="242">
        <v>1</v>
      </c>
      <c r="F38" s="11" t="s">
        <v>1615</v>
      </c>
      <c r="G38" s="216">
        <v>0</v>
      </c>
      <c r="H38" s="216">
        <v>1</v>
      </c>
      <c r="I38" s="216">
        <v>10</v>
      </c>
      <c r="J38" s="216">
        <v>1</v>
      </c>
      <c r="K38" s="216">
        <v>190</v>
      </c>
      <c r="L38" s="216">
        <v>0</v>
      </c>
      <c r="M38" s="216"/>
      <c r="N38" s="216"/>
      <c r="O38" s="216"/>
    </row>
    <row r="39" spans="1:15">
      <c r="A39" s="274"/>
      <c r="B39" s="277"/>
      <c r="C39" s="222">
        <v>192</v>
      </c>
      <c r="D39" s="238"/>
      <c r="E39" s="238">
        <v>1</v>
      </c>
      <c r="F39" s="5" t="s">
        <v>1616</v>
      </c>
      <c r="G39" s="165">
        <v>0</v>
      </c>
      <c r="H39" s="165">
        <v>4</v>
      </c>
      <c r="I39" s="165">
        <v>24</v>
      </c>
      <c r="J39" s="165">
        <v>1</v>
      </c>
      <c r="K39" s="165">
        <v>136</v>
      </c>
      <c r="L39" s="165">
        <v>0</v>
      </c>
      <c r="M39" s="238"/>
      <c r="N39" s="238"/>
      <c r="O39" s="165"/>
    </row>
    <row r="40" spans="1:15">
      <c r="A40" s="274"/>
      <c r="B40" s="277"/>
      <c r="C40" s="234">
        <v>193</v>
      </c>
      <c r="D40" s="242"/>
      <c r="E40" s="242">
        <v>1</v>
      </c>
      <c r="F40" s="11" t="s">
        <v>1617</v>
      </c>
      <c r="G40" s="216">
        <v>0</v>
      </c>
      <c r="H40" s="216">
        <v>2</v>
      </c>
      <c r="I40" s="216">
        <v>30</v>
      </c>
      <c r="J40" s="216">
        <v>1</v>
      </c>
      <c r="K40" s="216">
        <v>3036</v>
      </c>
      <c r="L40" s="216">
        <v>0</v>
      </c>
      <c r="M40" s="216"/>
      <c r="N40" s="216"/>
      <c r="O40" s="216"/>
    </row>
    <row r="41" spans="1:15">
      <c r="A41" s="274"/>
      <c r="B41" s="277"/>
      <c r="C41" s="265">
        <v>194</v>
      </c>
      <c r="D41" s="238"/>
      <c r="E41" s="238">
        <v>1</v>
      </c>
      <c r="F41" s="17" t="s">
        <v>1618</v>
      </c>
      <c r="G41" s="165">
        <v>0</v>
      </c>
      <c r="H41" s="165">
        <v>4</v>
      </c>
      <c r="I41" s="165">
        <v>28</v>
      </c>
      <c r="J41" s="165">
        <v>1</v>
      </c>
      <c r="K41" s="165">
        <v>1074</v>
      </c>
      <c r="L41" s="165">
        <v>0</v>
      </c>
      <c r="M41" s="165"/>
      <c r="N41" s="165"/>
      <c r="O41" s="165"/>
    </row>
    <row r="42" spans="1:15">
      <c r="A42" s="274"/>
      <c r="B42" s="277"/>
      <c r="C42" s="266"/>
      <c r="D42" s="238"/>
      <c r="E42" s="238"/>
      <c r="F42" s="243" t="s">
        <v>1619</v>
      </c>
      <c r="G42" s="165"/>
      <c r="H42" s="165"/>
      <c r="I42" s="165"/>
      <c r="J42" s="165"/>
      <c r="K42" s="165"/>
      <c r="L42" s="165"/>
      <c r="M42" s="165"/>
      <c r="N42" s="165"/>
      <c r="O42" s="165" t="s">
        <v>1620</v>
      </c>
    </row>
    <row r="43" spans="1:15">
      <c r="A43" s="274"/>
      <c r="B43" s="277"/>
      <c r="C43" s="267"/>
      <c r="D43" s="238"/>
      <c r="E43" s="238"/>
      <c r="F43" s="243" t="s">
        <v>1621</v>
      </c>
      <c r="G43" s="165"/>
      <c r="H43" s="165"/>
      <c r="I43" s="165"/>
      <c r="J43" s="165"/>
      <c r="K43" s="165"/>
      <c r="L43" s="165"/>
      <c r="M43" s="165"/>
      <c r="N43" s="165"/>
      <c r="O43" s="165" t="s">
        <v>1622</v>
      </c>
    </row>
    <row r="44" spans="1:15">
      <c r="A44" s="274"/>
      <c r="B44" s="277"/>
      <c r="C44" s="268">
        <v>195</v>
      </c>
      <c r="D44" s="242"/>
      <c r="E44" s="242">
        <v>1</v>
      </c>
      <c r="F44" s="45" t="s">
        <v>1623</v>
      </c>
      <c r="G44" s="216">
        <v>0</v>
      </c>
      <c r="H44" s="216">
        <v>3</v>
      </c>
      <c r="I44" s="216">
        <v>7</v>
      </c>
      <c r="J44" s="216">
        <v>0</v>
      </c>
      <c r="K44" s="216">
        <v>141</v>
      </c>
      <c r="L44" s="216">
        <v>0</v>
      </c>
      <c r="M44" s="242"/>
      <c r="N44" s="242"/>
      <c r="O44" s="216"/>
    </row>
    <row r="45" spans="1:15">
      <c r="A45" s="274"/>
      <c r="B45" s="277"/>
      <c r="C45" s="270"/>
      <c r="D45" s="242"/>
      <c r="E45" s="242">
        <v>2</v>
      </c>
      <c r="F45" s="67" t="s">
        <v>1624</v>
      </c>
      <c r="G45" s="216">
        <v>0</v>
      </c>
      <c r="H45" s="216">
        <v>1</v>
      </c>
      <c r="I45" s="216">
        <v>4</v>
      </c>
      <c r="J45" s="216">
        <v>0</v>
      </c>
      <c r="K45" s="216">
        <v>15</v>
      </c>
      <c r="L45" s="216">
        <v>0</v>
      </c>
      <c r="M45" s="242"/>
      <c r="N45" s="242"/>
      <c r="O45" s="216" t="s">
        <v>1625</v>
      </c>
    </row>
    <row r="46" spans="1:15">
      <c r="A46" s="274"/>
      <c r="B46" s="277"/>
      <c r="C46" s="222">
        <v>196</v>
      </c>
      <c r="D46" s="238"/>
      <c r="E46" s="238">
        <v>1</v>
      </c>
      <c r="F46" s="17" t="s">
        <v>1626</v>
      </c>
      <c r="G46" s="165">
        <v>0</v>
      </c>
      <c r="H46" s="165">
        <v>3</v>
      </c>
      <c r="I46" s="165">
        <v>14</v>
      </c>
      <c r="J46" s="165">
        <v>1</v>
      </c>
      <c r="K46" s="165">
        <v>588</v>
      </c>
      <c r="L46" s="165">
        <v>0</v>
      </c>
      <c r="M46" s="165"/>
      <c r="N46" s="165"/>
      <c r="O46" s="165"/>
    </row>
    <row r="47" spans="1:15">
      <c r="A47" s="274"/>
      <c r="B47" s="277"/>
      <c r="C47" s="234">
        <v>197</v>
      </c>
      <c r="D47" s="242"/>
      <c r="E47" s="242">
        <v>1</v>
      </c>
      <c r="F47" s="45" t="s">
        <v>1627</v>
      </c>
      <c r="G47" s="216">
        <v>0</v>
      </c>
      <c r="H47" s="216">
        <v>1</v>
      </c>
      <c r="I47" s="216">
        <v>10</v>
      </c>
      <c r="J47" s="216">
        <v>1</v>
      </c>
      <c r="K47" s="216">
        <v>223</v>
      </c>
      <c r="L47" s="216">
        <v>0</v>
      </c>
      <c r="M47" s="242"/>
      <c r="N47" s="242"/>
      <c r="O47" s="216"/>
    </row>
    <row r="48" spans="1:15">
      <c r="A48" s="274"/>
      <c r="B48" s="277"/>
      <c r="C48" s="265">
        <v>198</v>
      </c>
      <c r="D48" s="238"/>
      <c r="E48" s="238">
        <v>1</v>
      </c>
      <c r="F48" s="17" t="s">
        <v>482</v>
      </c>
      <c r="G48" s="165">
        <v>0</v>
      </c>
      <c r="H48" s="165">
        <v>3</v>
      </c>
      <c r="I48" s="165">
        <v>25</v>
      </c>
      <c r="J48" s="165">
        <v>1</v>
      </c>
      <c r="K48" s="165">
        <v>232</v>
      </c>
      <c r="L48" s="165">
        <v>0</v>
      </c>
      <c r="M48" s="165"/>
      <c r="N48" s="165"/>
      <c r="O48" s="165"/>
    </row>
    <row r="49" spans="1:15" ht="30">
      <c r="A49" s="274"/>
      <c r="B49" s="277"/>
      <c r="C49" s="267"/>
      <c r="D49" s="238">
        <v>20.187000000000001</v>
      </c>
      <c r="E49" s="238">
        <v>2</v>
      </c>
      <c r="F49" s="17" t="s">
        <v>1604</v>
      </c>
      <c r="G49" s="165">
        <v>11</v>
      </c>
      <c r="H49" s="165">
        <v>26</v>
      </c>
      <c r="I49" s="165">
        <v>279</v>
      </c>
      <c r="J49" s="165">
        <v>1</v>
      </c>
      <c r="K49" s="165">
        <v>10864</v>
      </c>
      <c r="L49" s="165">
        <v>0</v>
      </c>
      <c r="M49" s="165"/>
      <c r="N49" s="165"/>
      <c r="O49" s="165" t="s">
        <v>1628</v>
      </c>
    </row>
    <row r="50" spans="1:15" ht="30">
      <c r="A50" s="274"/>
      <c r="B50" s="277"/>
      <c r="C50" s="234">
        <v>199</v>
      </c>
      <c r="D50" s="242"/>
      <c r="E50" s="242">
        <v>1</v>
      </c>
      <c r="F50" s="45" t="s">
        <v>1629</v>
      </c>
      <c r="G50" s="216">
        <v>0</v>
      </c>
      <c r="H50" s="216">
        <v>1</v>
      </c>
      <c r="I50" s="216">
        <v>14</v>
      </c>
      <c r="J50" s="216">
        <v>1</v>
      </c>
      <c r="K50" s="216">
        <v>256</v>
      </c>
      <c r="L50" s="216">
        <v>0</v>
      </c>
      <c r="M50" s="242"/>
      <c r="N50" s="242"/>
      <c r="O50" s="216" t="s">
        <v>1555</v>
      </c>
    </row>
    <row r="51" spans="1:15" ht="30">
      <c r="A51" s="274"/>
      <c r="B51" s="277"/>
      <c r="C51" s="222">
        <v>200</v>
      </c>
      <c r="D51" s="238"/>
      <c r="E51" s="238">
        <v>1</v>
      </c>
      <c r="F51" s="17" t="s">
        <v>1630</v>
      </c>
      <c r="G51" s="165">
        <v>4</v>
      </c>
      <c r="H51" s="165">
        <v>12</v>
      </c>
      <c r="I51" s="165">
        <v>33</v>
      </c>
      <c r="J51" s="165">
        <v>1</v>
      </c>
      <c r="K51" s="165">
        <v>141</v>
      </c>
      <c r="L51" s="165">
        <v>0</v>
      </c>
      <c r="M51" s="165"/>
      <c r="N51" s="165"/>
      <c r="O51" s="165"/>
    </row>
    <row r="52" spans="1:15">
      <c r="A52" s="274"/>
      <c r="B52" s="277"/>
      <c r="C52" s="268">
        <v>201</v>
      </c>
      <c r="D52" s="242"/>
      <c r="E52" s="242">
        <v>1</v>
      </c>
      <c r="F52" s="45" t="s">
        <v>1631</v>
      </c>
      <c r="G52" s="216">
        <v>3</v>
      </c>
      <c r="H52" s="216">
        <v>8</v>
      </c>
      <c r="I52" s="216">
        <v>74</v>
      </c>
      <c r="J52" s="216">
        <v>1</v>
      </c>
      <c r="K52" s="216">
        <v>1989</v>
      </c>
      <c r="L52" s="216">
        <v>0</v>
      </c>
      <c r="M52" s="242"/>
      <c r="N52" s="242"/>
      <c r="O52" s="216"/>
    </row>
    <row r="53" spans="1:15" ht="30">
      <c r="A53" s="274"/>
      <c r="B53" s="277"/>
      <c r="C53" s="270"/>
      <c r="D53" s="242">
        <v>20.187000000000001</v>
      </c>
      <c r="E53" s="242">
        <v>2</v>
      </c>
      <c r="F53" s="45" t="s">
        <v>1604</v>
      </c>
      <c r="G53" s="216">
        <v>11</v>
      </c>
      <c r="H53" s="216">
        <v>26</v>
      </c>
      <c r="I53" s="216">
        <v>279</v>
      </c>
      <c r="J53" s="216">
        <v>1</v>
      </c>
      <c r="K53" s="216">
        <v>10864</v>
      </c>
      <c r="L53" s="216">
        <v>0</v>
      </c>
      <c r="M53" s="242"/>
      <c r="N53" s="242"/>
      <c r="O53" s="216" t="s">
        <v>1628</v>
      </c>
    </row>
    <row r="54" spans="1:15">
      <c r="A54" s="274"/>
      <c r="B54" s="277"/>
      <c r="C54" s="222">
        <v>202</v>
      </c>
      <c r="D54" s="238"/>
      <c r="E54" s="238">
        <v>1</v>
      </c>
      <c r="F54" s="17" t="s">
        <v>1632</v>
      </c>
      <c r="G54" s="165">
        <v>4</v>
      </c>
      <c r="H54" s="165">
        <v>11</v>
      </c>
      <c r="I54" s="165">
        <v>54</v>
      </c>
      <c r="J54" s="165">
        <v>1</v>
      </c>
      <c r="K54" s="165">
        <v>613</v>
      </c>
      <c r="L54" s="165">
        <v>0</v>
      </c>
      <c r="M54" s="165"/>
      <c r="N54" s="165"/>
      <c r="O54" s="165"/>
    </row>
    <row r="55" spans="1:15">
      <c r="A55" s="274"/>
      <c r="B55" s="277"/>
      <c r="C55" s="234">
        <v>203</v>
      </c>
      <c r="D55" s="242"/>
      <c r="E55" s="242">
        <v>1</v>
      </c>
      <c r="F55" s="45" t="s">
        <v>1633</v>
      </c>
      <c r="G55" s="216">
        <v>2</v>
      </c>
      <c r="H55" s="216">
        <v>6</v>
      </c>
      <c r="I55" s="216">
        <v>33</v>
      </c>
      <c r="J55" s="216">
        <v>1</v>
      </c>
      <c r="K55" s="216">
        <v>236</v>
      </c>
      <c r="L55" s="216">
        <v>0</v>
      </c>
      <c r="M55" s="242"/>
      <c r="N55" s="242"/>
      <c r="O55" s="216"/>
    </row>
    <row r="56" spans="1:15">
      <c r="A56" s="274"/>
      <c r="B56" s="277"/>
      <c r="C56" s="222">
        <v>204</v>
      </c>
      <c r="D56" s="238"/>
      <c r="E56" s="238">
        <v>1</v>
      </c>
      <c r="F56" s="5" t="s">
        <v>1634</v>
      </c>
      <c r="G56" s="165">
        <v>2</v>
      </c>
      <c r="H56" s="165">
        <v>6</v>
      </c>
      <c r="I56" s="165">
        <v>60</v>
      </c>
      <c r="J56" s="165">
        <v>1</v>
      </c>
      <c r="K56" s="165">
        <v>2826</v>
      </c>
      <c r="L56" s="165">
        <v>0</v>
      </c>
      <c r="M56" s="238"/>
      <c r="N56" s="238"/>
      <c r="O56" s="165"/>
    </row>
    <row r="57" spans="1:15" ht="30">
      <c r="A57" s="274"/>
      <c r="B57" s="277"/>
      <c r="C57" s="242">
        <v>205</v>
      </c>
      <c r="D57" s="242"/>
      <c r="E57" s="242">
        <v>1</v>
      </c>
      <c r="F57" s="11" t="s">
        <v>1635</v>
      </c>
      <c r="G57" s="216">
        <v>0</v>
      </c>
      <c r="H57" s="216">
        <v>1</v>
      </c>
      <c r="I57" s="216">
        <v>13</v>
      </c>
      <c r="J57" s="216">
        <v>1</v>
      </c>
      <c r="K57" s="216">
        <v>224</v>
      </c>
      <c r="L57" s="216">
        <v>0</v>
      </c>
      <c r="M57" s="216"/>
      <c r="N57" s="216"/>
      <c r="O57" s="216"/>
    </row>
    <row r="58" spans="1:15">
      <c r="A58" s="274"/>
      <c r="B58" s="277"/>
      <c r="C58" s="238">
        <v>206</v>
      </c>
      <c r="D58" s="238"/>
      <c r="E58" s="238">
        <v>1</v>
      </c>
      <c r="F58" s="17" t="s">
        <v>1636</v>
      </c>
      <c r="G58" s="165">
        <v>0</v>
      </c>
      <c r="H58" s="165">
        <v>2</v>
      </c>
      <c r="I58" s="165">
        <v>11</v>
      </c>
      <c r="J58" s="165">
        <v>1</v>
      </c>
      <c r="K58" s="165">
        <v>130</v>
      </c>
      <c r="L58" s="165">
        <v>0</v>
      </c>
      <c r="M58" s="165"/>
      <c r="N58" s="165"/>
      <c r="O58" s="165" t="s">
        <v>1555</v>
      </c>
    </row>
    <row r="59" spans="1:15" ht="30">
      <c r="A59" s="274"/>
      <c r="B59" s="277"/>
      <c r="C59" s="268">
        <v>207</v>
      </c>
      <c r="D59" s="242"/>
      <c r="E59" s="242">
        <v>1</v>
      </c>
      <c r="F59" s="11" t="s">
        <v>1637</v>
      </c>
      <c r="G59" s="216">
        <v>0</v>
      </c>
      <c r="H59" s="216">
        <v>2</v>
      </c>
      <c r="I59" s="216">
        <v>11</v>
      </c>
      <c r="J59" s="216">
        <v>1</v>
      </c>
      <c r="K59" s="216">
        <v>130</v>
      </c>
      <c r="L59" s="216">
        <v>0</v>
      </c>
      <c r="M59" s="216"/>
      <c r="N59" s="216"/>
      <c r="O59" s="216" t="s">
        <v>1555</v>
      </c>
    </row>
    <row r="60" spans="1:15">
      <c r="A60" s="274"/>
      <c r="B60" s="277"/>
      <c r="C60" s="270"/>
      <c r="D60" s="242"/>
      <c r="E60" s="242">
        <v>2</v>
      </c>
      <c r="F60" s="11" t="s">
        <v>1638</v>
      </c>
      <c r="G60" s="216"/>
      <c r="H60" s="216"/>
      <c r="I60" s="216"/>
      <c r="J60" s="216"/>
      <c r="K60" s="216"/>
      <c r="L60" s="216"/>
      <c r="M60" s="216"/>
      <c r="N60" s="216"/>
      <c r="O60" s="216" t="s">
        <v>1555</v>
      </c>
    </row>
    <row r="61" spans="1:15">
      <c r="A61" s="240"/>
      <c r="B61" s="237"/>
      <c r="C61" s="240"/>
      <c r="D61" s="240"/>
      <c r="E61" s="240"/>
      <c r="F61" s="46"/>
      <c r="G61" s="240"/>
      <c r="H61" s="240"/>
      <c r="I61" s="240"/>
      <c r="J61" s="240"/>
      <c r="K61" s="240"/>
      <c r="L61" s="240"/>
      <c r="M61" s="240"/>
      <c r="N61" s="240"/>
      <c r="O61" s="240"/>
    </row>
    <row r="62" spans="1:15">
      <c r="A62" s="240"/>
      <c r="B62" s="240"/>
      <c r="C62" s="240"/>
      <c r="D62" s="240"/>
      <c r="E62" s="240"/>
      <c r="F62" s="46"/>
      <c r="G62" s="240"/>
      <c r="H62" s="240"/>
      <c r="I62" s="240"/>
      <c r="J62" s="240"/>
      <c r="K62" s="240"/>
      <c r="L62" s="240"/>
      <c r="M62" s="240"/>
      <c r="N62" s="240"/>
      <c r="O62" s="240"/>
    </row>
    <row r="63" spans="1:15">
      <c r="A63" s="240"/>
      <c r="B63" s="240"/>
      <c r="C63" s="240"/>
      <c r="D63" s="240"/>
      <c r="E63" s="240"/>
      <c r="F63" s="46"/>
      <c r="G63" s="240"/>
      <c r="H63" s="240"/>
      <c r="I63" s="240"/>
      <c r="J63" s="240"/>
      <c r="K63" s="240"/>
      <c r="L63" s="240"/>
      <c r="M63" s="240"/>
      <c r="N63" s="240"/>
      <c r="O63" s="240"/>
    </row>
    <row r="64" spans="1:15">
      <c r="A64" s="240"/>
      <c r="B64" s="240"/>
      <c r="C64" s="240"/>
      <c r="D64" s="240"/>
      <c r="E64"/>
      <c r="F64" s="46"/>
      <c r="G64" s="240"/>
      <c r="H64" s="240"/>
      <c r="I64" s="240"/>
      <c r="J64" s="240"/>
      <c r="K64" s="240"/>
      <c r="L64" s="240"/>
      <c r="M64" s="240"/>
      <c r="N64" s="240"/>
      <c r="O64" s="240"/>
    </row>
    <row r="65" spans="4:7">
      <c r="D65"/>
      <c r="E65"/>
      <c r="F65" s="46"/>
      <c r="G65"/>
    </row>
    <row r="66" spans="4:7">
      <c r="D66"/>
      <c r="E66"/>
      <c r="F66" s="46"/>
      <c r="G66"/>
    </row>
    <row r="67" spans="4:7">
      <c r="D67"/>
      <c r="E67"/>
      <c r="F67" s="46"/>
      <c r="G67"/>
    </row>
    <row r="68" spans="4:7">
      <c r="D68"/>
      <c r="E68"/>
      <c r="F68" s="46"/>
      <c r="G68"/>
    </row>
    <row r="69" spans="4:7">
      <c r="D69"/>
      <c r="E69"/>
      <c r="F69" s="46"/>
      <c r="G69"/>
    </row>
    <row r="70" spans="4:7">
      <c r="D70"/>
      <c r="E70"/>
      <c r="F70" s="46"/>
      <c r="G70"/>
    </row>
    <row r="71" spans="4:7">
      <c r="D71"/>
      <c r="E71"/>
      <c r="F71" s="46"/>
      <c r="G71"/>
    </row>
    <row r="72" spans="4:7">
      <c r="D72"/>
      <c r="E72"/>
      <c r="F72" s="46"/>
      <c r="G72"/>
    </row>
    <row r="73" spans="4:7">
      <c r="D73"/>
      <c r="E73"/>
      <c r="F73" s="46"/>
      <c r="G73"/>
    </row>
    <row r="74" spans="4:7">
      <c r="D74"/>
      <c r="E74"/>
      <c r="F74" s="46"/>
      <c r="G74"/>
    </row>
    <row r="75" spans="4:7">
      <c r="D75"/>
      <c r="E75"/>
      <c r="F75" s="46"/>
      <c r="G75"/>
    </row>
    <row r="76" spans="4:7">
      <c r="D76"/>
      <c r="E76"/>
      <c r="F76" s="46"/>
      <c r="G76"/>
    </row>
    <row r="77" spans="4:7">
      <c r="D77"/>
      <c r="E77"/>
      <c r="F77" s="46"/>
      <c r="G77"/>
    </row>
    <row r="78" spans="4:7">
      <c r="D78"/>
      <c r="E78"/>
      <c r="F78" s="46"/>
      <c r="G78"/>
    </row>
    <row r="79" spans="4:7">
      <c r="D79"/>
      <c r="E79"/>
      <c r="F79" s="46"/>
      <c r="G79"/>
    </row>
    <row r="80" spans="4:7">
      <c r="D80"/>
      <c r="E80"/>
      <c r="F80" s="46"/>
      <c r="G80"/>
    </row>
    <row r="81" spans="4:7">
      <c r="D81"/>
      <c r="E81"/>
      <c r="F81" s="46"/>
      <c r="G81"/>
    </row>
    <row r="82" spans="4:7">
      <c r="D82"/>
      <c r="E82"/>
      <c r="F82" s="46"/>
      <c r="G82"/>
    </row>
    <row r="83" spans="4:7">
      <c r="D83" s="240"/>
      <c r="E83" s="240"/>
      <c r="F83" s="46"/>
      <c r="G83" s="240"/>
    </row>
    <row r="84" spans="4:7">
      <c r="D84" s="240"/>
      <c r="E84" s="240"/>
      <c r="F84" s="46"/>
      <c r="G84" s="240"/>
    </row>
    <row r="85" spans="4:7">
      <c r="D85" s="240"/>
      <c r="E85" s="240"/>
      <c r="F85" s="46"/>
      <c r="G85" s="240"/>
    </row>
    <row r="86" spans="4:7">
      <c r="D86" s="240"/>
      <c r="E86" s="240"/>
      <c r="F86" s="46"/>
      <c r="G86" s="240"/>
    </row>
    <row r="87" spans="4:7">
      <c r="D87" s="240"/>
      <c r="E87" s="240"/>
      <c r="F87" s="46"/>
      <c r="G87" s="240"/>
    </row>
    <row r="88" spans="4:7">
      <c r="D88" s="240"/>
      <c r="E88" s="240"/>
      <c r="F88" s="46"/>
      <c r="G88" s="240"/>
    </row>
    <row r="89" spans="4:7">
      <c r="D89" s="240"/>
      <c r="E89" s="240"/>
      <c r="F89" s="46"/>
      <c r="G89" s="240"/>
    </row>
    <row r="90" spans="4:7">
      <c r="D90" s="240"/>
      <c r="E90" s="240"/>
      <c r="F90" s="46"/>
      <c r="G90" s="240"/>
    </row>
    <row r="91" spans="4:7">
      <c r="D91" s="240"/>
      <c r="E91" s="240"/>
      <c r="F91" s="46"/>
      <c r="G91" s="240"/>
    </row>
    <row r="92" spans="4:7">
      <c r="D92" s="240"/>
      <c r="E92" s="240"/>
      <c r="F92" s="46"/>
      <c r="G92" s="240"/>
    </row>
    <row r="93" spans="4:7">
      <c r="D93" s="240"/>
      <c r="E93" s="240"/>
      <c r="F93" s="46"/>
      <c r="G93" s="240"/>
    </row>
    <row r="94" spans="4:7">
      <c r="D94" s="240"/>
      <c r="E94" s="240"/>
      <c r="F94" s="46"/>
      <c r="G94" s="240"/>
    </row>
    <row r="95" spans="4:7">
      <c r="D95" s="240"/>
      <c r="E95" s="240"/>
      <c r="F95" s="46"/>
      <c r="G95" s="240"/>
    </row>
    <row r="96" spans="4:7">
      <c r="D96" s="240"/>
      <c r="E96" s="240"/>
      <c r="F96" s="46"/>
      <c r="G96" s="240"/>
    </row>
    <row r="97" spans="6:6">
      <c r="F97" s="46"/>
    </row>
    <row r="98" spans="6:6">
      <c r="F98" s="46"/>
    </row>
    <row r="99" spans="6:6">
      <c r="F99" s="46"/>
    </row>
  </sheetData>
  <mergeCells count="15">
    <mergeCell ref="C41:C43"/>
    <mergeCell ref="C52:C53"/>
    <mergeCell ref="A2:A60"/>
    <mergeCell ref="B2:B60"/>
    <mergeCell ref="C8:C9"/>
    <mergeCell ref="C24:C26"/>
    <mergeCell ref="C44:C45"/>
    <mergeCell ref="C48:C49"/>
    <mergeCell ref="C59:C60"/>
    <mergeCell ref="C5:C7"/>
    <mergeCell ref="C10:C11"/>
    <mergeCell ref="C16:C18"/>
    <mergeCell ref="C28:C36"/>
    <mergeCell ref="C21:C23"/>
    <mergeCell ref="C13:C14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3A21-BC34-4667-B656-D8A715AF6B51}">
  <dimension ref="A1:O45"/>
  <sheetViews>
    <sheetView zoomScaleNormal="100" workbookViewId="0">
      <pane ySplit="1" topLeftCell="A2" activePane="bottomLeft" state="frozen"/>
      <selection pane="bottomLeft" activeCell="C24" sqref="C24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3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21</v>
      </c>
      <c r="B2" s="277" t="s">
        <v>1639</v>
      </c>
      <c r="C2" s="265">
        <v>208</v>
      </c>
      <c r="D2" s="238"/>
      <c r="E2" s="238">
        <v>1</v>
      </c>
      <c r="F2" s="15" t="s">
        <v>1640</v>
      </c>
      <c r="G2" s="221">
        <v>0</v>
      </c>
      <c r="H2" s="221">
        <v>3</v>
      </c>
      <c r="I2" s="221">
        <v>31</v>
      </c>
      <c r="J2" s="220">
        <v>1</v>
      </c>
      <c r="K2" s="220">
        <v>999</v>
      </c>
      <c r="L2" s="220">
        <v>0</v>
      </c>
      <c r="M2" s="238"/>
      <c r="N2" s="238"/>
      <c r="O2" s="165"/>
    </row>
    <row r="3" spans="1:15">
      <c r="A3" s="274"/>
      <c r="B3" s="277"/>
      <c r="C3" s="266"/>
      <c r="D3" s="238">
        <v>8.7899999999999991</v>
      </c>
      <c r="E3" s="238">
        <v>2</v>
      </c>
      <c r="F3" s="15" t="s">
        <v>1258</v>
      </c>
      <c r="G3" s="221">
        <v>0</v>
      </c>
      <c r="H3" s="221">
        <v>3</v>
      </c>
      <c r="I3" s="221">
        <v>32</v>
      </c>
      <c r="J3" s="220">
        <v>0</v>
      </c>
      <c r="K3" s="220">
        <v>1594</v>
      </c>
      <c r="L3" s="220">
        <v>0</v>
      </c>
      <c r="M3" s="238"/>
      <c r="N3" s="238"/>
      <c r="O3" s="165"/>
    </row>
    <row r="4" spans="1:15">
      <c r="A4" s="274"/>
      <c r="B4" s="277"/>
      <c r="C4" s="267"/>
      <c r="D4" s="238"/>
      <c r="E4" s="238"/>
      <c r="F4" s="229" t="s">
        <v>1641</v>
      </c>
      <c r="G4" s="221"/>
      <c r="H4" s="221"/>
      <c r="I4" s="221"/>
      <c r="J4" s="220"/>
      <c r="K4" s="220"/>
      <c r="L4" s="220"/>
      <c r="M4" s="238"/>
      <c r="N4" s="238"/>
      <c r="O4" s="165" t="s">
        <v>1468</v>
      </c>
    </row>
    <row r="5" spans="1:15">
      <c r="A5" s="274"/>
      <c r="B5" s="277"/>
      <c r="C5" s="242">
        <v>209</v>
      </c>
      <c r="D5" s="242"/>
      <c r="E5" s="242"/>
      <c r="F5" s="33" t="s">
        <v>608</v>
      </c>
      <c r="G5" s="216"/>
      <c r="H5" s="216"/>
      <c r="I5" s="216"/>
      <c r="J5" s="216"/>
      <c r="K5" s="216"/>
      <c r="L5" s="216"/>
      <c r="M5" s="242"/>
      <c r="N5" s="242"/>
      <c r="O5" s="216" t="s">
        <v>1489</v>
      </c>
    </row>
    <row r="6" spans="1:15">
      <c r="A6" s="274"/>
      <c r="B6" s="277"/>
      <c r="C6" s="265">
        <v>210</v>
      </c>
      <c r="D6" s="238"/>
      <c r="E6" s="238">
        <v>1</v>
      </c>
      <c r="F6" s="15" t="s">
        <v>1642</v>
      </c>
      <c r="G6" s="165">
        <v>1</v>
      </c>
      <c r="H6" s="165">
        <v>4</v>
      </c>
      <c r="I6" s="165">
        <v>28</v>
      </c>
      <c r="J6" s="174">
        <v>0</v>
      </c>
      <c r="K6" s="174">
        <v>1195</v>
      </c>
      <c r="L6" s="174">
        <v>0</v>
      </c>
      <c r="M6" s="163"/>
      <c r="N6" s="238"/>
      <c r="O6" s="165"/>
    </row>
    <row r="7" spans="1:15">
      <c r="A7" s="274"/>
      <c r="B7" s="277"/>
      <c r="C7" s="266"/>
      <c r="D7" s="238">
        <v>8.7899999999999991</v>
      </c>
      <c r="E7" s="238">
        <v>2</v>
      </c>
      <c r="F7" s="15" t="s">
        <v>1258</v>
      </c>
      <c r="G7" s="221">
        <v>0</v>
      </c>
      <c r="H7" s="221">
        <v>3</v>
      </c>
      <c r="I7" s="221">
        <v>32</v>
      </c>
      <c r="J7" s="220">
        <v>0</v>
      </c>
      <c r="K7" s="220">
        <v>1594</v>
      </c>
      <c r="L7" s="220">
        <v>0</v>
      </c>
      <c r="M7" s="163"/>
      <c r="N7" s="238"/>
      <c r="O7" s="165"/>
    </row>
    <row r="8" spans="1:15">
      <c r="A8" s="274"/>
      <c r="B8" s="277"/>
      <c r="C8" s="266"/>
      <c r="D8" s="238"/>
      <c r="E8" s="238"/>
      <c r="F8" s="229" t="s">
        <v>1643</v>
      </c>
      <c r="G8" s="221"/>
      <c r="H8" s="221"/>
      <c r="I8" s="221"/>
      <c r="J8" s="220"/>
      <c r="K8" s="220"/>
      <c r="L8" s="220"/>
      <c r="M8" s="163"/>
      <c r="N8" s="238"/>
      <c r="O8" s="165" t="s">
        <v>1342</v>
      </c>
    </row>
    <row r="9" spans="1:15">
      <c r="A9" s="274"/>
      <c r="B9" s="277"/>
      <c r="C9" s="266"/>
      <c r="D9" s="238"/>
      <c r="E9" s="238"/>
      <c r="F9" s="68" t="s">
        <v>1644</v>
      </c>
      <c r="G9" s="221"/>
      <c r="H9" s="221"/>
      <c r="I9" s="221"/>
      <c r="J9" s="220"/>
      <c r="K9" s="220"/>
      <c r="L9" s="220"/>
      <c r="M9" s="163"/>
      <c r="N9" s="238"/>
      <c r="O9" s="165" t="s">
        <v>1321</v>
      </c>
    </row>
    <row r="10" spans="1:15">
      <c r="A10" s="274"/>
      <c r="B10" s="277"/>
      <c r="C10" s="267"/>
      <c r="D10" s="238"/>
      <c r="E10" s="238"/>
      <c r="F10" s="68" t="s">
        <v>1286</v>
      </c>
      <c r="G10" s="221"/>
      <c r="H10" s="221"/>
      <c r="I10" s="221"/>
      <c r="J10" s="220"/>
      <c r="K10" s="220"/>
      <c r="L10" s="220"/>
      <c r="M10" s="163"/>
      <c r="N10" s="238"/>
      <c r="O10" s="165" t="s">
        <v>1033</v>
      </c>
    </row>
    <row r="11" spans="1:15" ht="30">
      <c r="A11" s="274"/>
      <c r="B11" s="277"/>
      <c r="C11" s="268">
        <v>211</v>
      </c>
      <c r="D11" s="242"/>
      <c r="E11" s="242">
        <v>1</v>
      </c>
      <c r="F11" s="44" t="s">
        <v>1645</v>
      </c>
      <c r="G11" s="217">
        <v>2</v>
      </c>
      <c r="H11" s="217">
        <v>4</v>
      </c>
      <c r="I11" s="217">
        <v>17</v>
      </c>
      <c r="J11" s="217">
        <v>0</v>
      </c>
      <c r="K11" s="217">
        <v>201</v>
      </c>
      <c r="L11" s="217">
        <v>0</v>
      </c>
      <c r="M11" s="242"/>
      <c r="N11" s="216"/>
      <c r="O11" s="216"/>
    </row>
    <row r="12" spans="1:15">
      <c r="A12" s="274"/>
      <c r="B12" s="277"/>
      <c r="C12" s="269"/>
      <c r="D12" s="242"/>
      <c r="E12" s="242"/>
      <c r="F12" s="230" t="s">
        <v>1646</v>
      </c>
      <c r="G12" s="217"/>
      <c r="H12" s="217"/>
      <c r="I12" s="217"/>
      <c r="J12" s="217"/>
      <c r="K12" s="217"/>
      <c r="L12" s="217"/>
      <c r="M12" s="242"/>
      <c r="N12" s="216"/>
      <c r="O12" s="216" t="s">
        <v>1647</v>
      </c>
    </row>
    <row r="13" spans="1:15">
      <c r="A13" s="274"/>
      <c r="B13" s="277"/>
      <c r="C13" s="269"/>
      <c r="D13" s="242"/>
      <c r="E13" s="242"/>
      <c r="F13" s="230" t="s">
        <v>1001</v>
      </c>
      <c r="G13" s="217"/>
      <c r="H13" s="217"/>
      <c r="I13" s="217"/>
      <c r="J13" s="217"/>
      <c r="K13" s="217"/>
      <c r="L13" s="217"/>
      <c r="M13" s="242"/>
      <c r="N13" s="216"/>
      <c r="O13" s="216" t="s">
        <v>1648</v>
      </c>
    </row>
    <row r="14" spans="1:15" ht="30">
      <c r="A14" s="274"/>
      <c r="B14" s="277"/>
      <c r="C14" s="269"/>
      <c r="D14" s="242"/>
      <c r="E14" s="242"/>
      <c r="F14" s="230" t="s">
        <v>1649</v>
      </c>
      <c r="G14" s="217"/>
      <c r="H14" s="217"/>
      <c r="I14" s="217"/>
      <c r="J14" s="217"/>
      <c r="K14" s="217"/>
      <c r="L14" s="217"/>
      <c r="M14" s="242"/>
      <c r="N14" s="216"/>
      <c r="O14" s="218" t="s">
        <v>1344</v>
      </c>
    </row>
    <row r="15" spans="1:15">
      <c r="A15" s="274"/>
      <c r="B15" s="277"/>
      <c r="C15" s="269"/>
      <c r="D15" s="242"/>
      <c r="E15" s="242"/>
      <c r="F15" s="230" t="s">
        <v>1650</v>
      </c>
      <c r="G15" s="217"/>
      <c r="H15" s="217"/>
      <c r="I15" s="217"/>
      <c r="J15" s="217"/>
      <c r="K15" s="217"/>
      <c r="L15" s="217"/>
      <c r="M15" s="242"/>
      <c r="N15" s="216"/>
      <c r="O15" s="218" t="s">
        <v>1651</v>
      </c>
    </row>
    <row r="16" spans="1:15">
      <c r="A16" s="274"/>
      <c r="B16" s="277"/>
      <c r="C16" s="270"/>
      <c r="D16" s="242"/>
      <c r="E16" s="242"/>
      <c r="F16" s="230" t="s">
        <v>1242</v>
      </c>
      <c r="G16" s="217"/>
      <c r="H16" s="217"/>
      <c r="I16" s="217"/>
      <c r="J16" s="217"/>
      <c r="K16" s="217"/>
      <c r="L16" s="217"/>
      <c r="M16" s="242"/>
      <c r="N16" s="216"/>
      <c r="O16" s="216" t="s">
        <v>1033</v>
      </c>
    </row>
    <row r="17" spans="1:15">
      <c r="A17" s="274"/>
      <c r="B17" s="277"/>
      <c r="C17" s="265">
        <v>212</v>
      </c>
      <c r="D17" s="238"/>
      <c r="E17" s="238">
        <v>1</v>
      </c>
      <c r="F17" s="15" t="s">
        <v>1652</v>
      </c>
      <c r="G17" s="220">
        <v>0</v>
      </c>
      <c r="H17" s="220">
        <v>4</v>
      </c>
      <c r="I17" s="220">
        <v>14</v>
      </c>
      <c r="J17" s="220">
        <v>0</v>
      </c>
      <c r="K17" s="220">
        <v>190</v>
      </c>
      <c r="L17" s="220">
        <v>0</v>
      </c>
      <c r="M17" s="163"/>
      <c r="N17" s="238"/>
      <c r="O17" s="165"/>
    </row>
    <row r="18" spans="1:15">
      <c r="A18" s="274"/>
      <c r="B18" s="277"/>
      <c r="C18" s="266"/>
      <c r="D18" s="238"/>
      <c r="E18" s="238"/>
      <c r="F18" s="229" t="s">
        <v>1643</v>
      </c>
      <c r="G18" s="221"/>
      <c r="H18" s="221"/>
      <c r="I18" s="221"/>
      <c r="J18" s="220"/>
      <c r="K18" s="220"/>
      <c r="L18" s="220"/>
      <c r="M18" s="163"/>
      <c r="N18" s="238"/>
      <c r="O18" s="165" t="s">
        <v>1342</v>
      </c>
    </row>
    <row r="19" spans="1:15" ht="30">
      <c r="A19" s="274"/>
      <c r="B19" s="277"/>
      <c r="C19" s="266"/>
      <c r="D19" s="238"/>
      <c r="E19" s="238"/>
      <c r="F19" s="59" t="s">
        <v>1644</v>
      </c>
      <c r="G19" s="221"/>
      <c r="H19" s="221"/>
      <c r="I19" s="221"/>
      <c r="J19" s="220"/>
      <c r="K19" s="220"/>
      <c r="L19" s="220"/>
      <c r="M19" s="163"/>
      <c r="N19" s="238"/>
      <c r="O19" s="174" t="s">
        <v>1653</v>
      </c>
    </row>
    <row r="20" spans="1:15">
      <c r="A20" s="274"/>
      <c r="B20" s="277"/>
      <c r="C20" s="267"/>
      <c r="D20" s="238"/>
      <c r="E20" s="238"/>
      <c r="F20" s="68" t="s">
        <v>1286</v>
      </c>
      <c r="G20" s="221"/>
      <c r="H20" s="221"/>
      <c r="I20" s="221"/>
      <c r="J20" s="220"/>
      <c r="K20" s="220"/>
      <c r="L20" s="220"/>
      <c r="M20" s="163"/>
      <c r="N20" s="238"/>
      <c r="O20" s="165" t="s">
        <v>1033</v>
      </c>
    </row>
    <row r="21" spans="1:15">
      <c r="A21" s="274"/>
      <c r="B21" s="277"/>
      <c r="C21" s="276">
        <v>213</v>
      </c>
      <c r="D21" s="242"/>
      <c r="E21" s="242">
        <v>1</v>
      </c>
      <c r="F21" s="23" t="s">
        <v>1654</v>
      </c>
      <c r="G21" s="216">
        <v>0</v>
      </c>
      <c r="H21" s="216">
        <v>2</v>
      </c>
      <c r="I21" s="216">
        <v>12</v>
      </c>
      <c r="J21" s="216">
        <v>0</v>
      </c>
      <c r="K21" s="216">
        <v>394</v>
      </c>
      <c r="L21" s="216">
        <v>2</v>
      </c>
      <c r="M21" s="242"/>
      <c r="N21" s="242"/>
      <c r="O21" s="216"/>
    </row>
    <row r="22" spans="1:15">
      <c r="A22" s="274"/>
      <c r="B22" s="277"/>
      <c r="C22" s="276"/>
      <c r="D22" s="242"/>
      <c r="E22" s="242">
        <v>2</v>
      </c>
      <c r="F22" s="23" t="s">
        <v>678</v>
      </c>
      <c r="G22" s="216">
        <v>3</v>
      </c>
      <c r="H22" s="216">
        <v>4</v>
      </c>
      <c r="I22" s="216">
        <v>51</v>
      </c>
      <c r="J22" s="216">
        <v>0</v>
      </c>
      <c r="K22" s="216">
        <v>2188</v>
      </c>
      <c r="L22" s="216">
        <v>0</v>
      </c>
      <c r="M22" s="242"/>
      <c r="N22" s="242"/>
      <c r="O22" s="216"/>
    </row>
    <row r="23" spans="1:15">
      <c r="A23" s="274"/>
      <c r="B23" s="277"/>
      <c r="C23" s="276"/>
      <c r="D23" s="242"/>
      <c r="E23" s="242">
        <v>2</v>
      </c>
      <c r="F23" s="23" t="s">
        <v>679</v>
      </c>
      <c r="G23" s="216">
        <v>0</v>
      </c>
      <c r="H23" s="216">
        <v>2</v>
      </c>
      <c r="I23" s="216">
        <v>12</v>
      </c>
      <c r="J23" s="216">
        <v>0</v>
      </c>
      <c r="K23" s="216">
        <v>563</v>
      </c>
      <c r="L23" s="216">
        <v>0</v>
      </c>
      <c r="M23" s="242"/>
      <c r="N23" s="242"/>
      <c r="O23" s="216"/>
    </row>
    <row r="24" spans="1:15">
      <c r="A24" s="240"/>
      <c r="B24" s="237"/>
      <c r="C24" s="240"/>
      <c r="D24" s="240"/>
      <c r="E24" s="240"/>
      <c r="F24"/>
      <c r="G24" s="240"/>
      <c r="H24" s="240"/>
      <c r="I24" s="240"/>
      <c r="J24" s="240"/>
      <c r="K24" s="240"/>
      <c r="L24" s="240"/>
      <c r="M24" s="240"/>
      <c r="N24" s="240"/>
      <c r="O24" s="240"/>
    </row>
    <row r="25" spans="1:15">
      <c r="A25" s="240"/>
      <c r="B25" s="240"/>
      <c r="C25" s="240"/>
      <c r="D25" s="240"/>
      <c r="E25" s="240"/>
      <c r="F25"/>
      <c r="G25" s="240"/>
      <c r="H25" s="240"/>
      <c r="I25" s="240"/>
      <c r="J25" s="240"/>
      <c r="K25" s="240"/>
      <c r="L25" s="240"/>
      <c r="M25" s="240"/>
      <c r="N25" s="240"/>
      <c r="O25" s="240"/>
    </row>
    <row r="26" spans="1:15">
      <c r="A26" s="240"/>
      <c r="B26" s="240"/>
      <c r="C26" s="240"/>
      <c r="D26" s="240"/>
      <c r="E26" s="240"/>
      <c r="F26"/>
      <c r="G26" s="240"/>
      <c r="H26" s="240"/>
      <c r="I26" s="240"/>
      <c r="J26" s="240"/>
      <c r="K26" s="240"/>
      <c r="L26" s="240"/>
      <c r="M26" s="240"/>
      <c r="N26" s="240"/>
      <c r="O26" s="240"/>
    </row>
    <row r="27" spans="1:15">
      <c r="A27" s="240"/>
      <c r="B27" s="240"/>
      <c r="C27" s="240"/>
      <c r="D27" s="240"/>
      <c r="E27"/>
      <c r="F27"/>
      <c r="G27" s="240"/>
      <c r="H27" s="240"/>
      <c r="I27" s="240"/>
      <c r="J27" s="240"/>
      <c r="K27" s="240"/>
      <c r="L27" s="240"/>
      <c r="M27" s="240"/>
      <c r="N27" s="240"/>
      <c r="O27" s="240"/>
    </row>
    <row r="28" spans="1:15">
      <c r="A28" s="240"/>
      <c r="B28" s="240"/>
      <c r="C28" s="240"/>
      <c r="D28"/>
      <c r="E28"/>
      <c r="F28"/>
      <c r="G28"/>
      <c r="H28" s="240"/>
      <c r="I28" s="240"/>
      <c r="J28" s="240"/>
      <c r="K28" s="240"/>
      <c r="L28" s="240"/>
      <c r="M28" s="240"/>
      <c r="N28" s="240"/>
      <c r="O28" s="240"/>
    </row>
    <row r="29" spans="1:15">
      <c r="A29" s="240"/>
      <c r="B29" s="240"/>
      <c r="C29" s="240"/>
      <c r="D29"/>
      <c r="E29"/>
      <c r="F29"/>
      <c r="G29"/>
      <c r="H29" s="240"/>
      <c r="I29" s="240"/>
      <c r="J29" s="240"/>
      <c r="K29" s="240"/>
      <c r="L29" s="240"/>
      <c r="M29" s="240"/>
      <c r="N29" s="240"/>
      <c r="O29" s="240"/>
    </row>
    <row r="30" spans="1:15">
      <c r="A30" s="240"/>
      <c r="B30" s="240"/>
      <c r="C30" s="240"/>
      <c r="D30"/>
      <c r="E30"/>
      <c r="F30"/>
      <c r="G30"/>
      <c r="H30" s="240"/>
      <c r="I30" s="240"/>
      <c r="J30" s="240"/>
      <c r="K30" s="240"/>
      <c r="L30" s="240"/>
      <c r="M30" s="240"/>
      <c r="N30" s="240"/>
      <c r="O30" s="240"/>
    </row>
    <row r="31" spans="1:15">
      <c r="A31" s="240"/>
      <c r="B31" s="240"/>
      <c r="C31" s="240"/>
      <c r="D31"/>
      <c r="E31"/>
      <c r="F31"/>
      <c r="G31"/>
      <c r="H31" s="240"/>
      <c r="I31" s="240"/>
      <c r="J31" s="240"/>
      <c r="K31" s="240"/>
      <c r="L31" s="240"/>
      <c r="M31" s="240"/>
      <c r="N31" s="240"/>
      <c r="O31" s="240"/>
    </row>
    <row r="32" spans="1:15">
      <c r="A32" s="240"/>
      <c r="B32" s="240"/>
      <c r="C32" s="240"/>
      <c r="D32"/>
      <c r="E32"/>
      <c r="F32"/>
      <c r="G32"/>
      <c r="H32" s="240"/>
      <c r="I32" s="240"/>
      <c r="J32" s="240"/>
      <c r="K32" s="240"/>
      <c r="L32" s="240"/>
      <c r="M32" s="240"/>
      <c r="N32" s="240"/>
      <c r="O32" s="240"/>
    </row>
    <row r="33" spans="4:7">
      <c r="D33"/>
      <c r="E33"/>
      <c r="F33"/>
      <c r="G33"/>
    </row>
    <row r="34" spans="4:7">
      <c r="D34"/>
      <c r="E34"/>
      <c r="F34"/>
      <c r="G34"/>
    </row>
    <row r="35" spans="4:7">
      <c r="D35"/>
      <c r="E35"/>
      <c r="F35"/>
      <c r="G35"/>
    </row>
    <row r="36" spans="4:7">
      <c r="D36"/>
      <c r="E36"/>
      <c r="F36"/>
      <c r="G36"/>
    </row>
    <row r="37" spans="4:7">
      <c r="D37"/>
      <c r="E37"/>
      <c r="F37"/>
      <c r="G37"/>
    </row>
    <row r="38" spans="4:7">
      <c r="D38"/>
      <c r="E38"/>
      <c r="F38"/>
      <c r="G38"/>
    </row>
    <row r="39" spans="4:7">
      <c r="D39"/>
      <c r="E39"/>
      <c r="F39"/>
      <c r="G39"/>
    </row>
    <row r="40" spans="4:7">
      <c r="D40"/>
      <c r="E40"/>
      <c r="F40"/>
      <c r="G40"/>
    </row>
    <row r="41" spans="4:7">
      <c r="D41"/>
      <c r="E41"/>
      <c r="F41"/>
      <c r="G41"/>
    </row>
    <row r="42" spans="4:7">
      <c r="D42"/>
      <c r="E42"/>
      <c r="F42"/>
      <c r="G42"/>
    </row>
    <row r="43" spans="4:7">
      <c r="D43"/>
      <c r="E43"/>
      <c r="F43"/>
      <c r="G43"/>
    </row>
    <row r="44" spans="4:7">
      <c r="D44"/>
      <c r="E44"/>
      <c r="F44"/>
      <c r="G44"/>
    </row>
    <row r="45" spans="4:7">
      <c r="D45"/>
      <c r="E45"/>
      <c r="F45"/>
      <c r="G45"/>
    </row>
  </sheetData>
  <mergeCells count="7">
    <mergeCell ref="A2:A23"/>
    <mergeCell ref="B2:B23"/>
    <mergeCell ref="C21:C23"/>
    <mergeCell ref="C2:C4"/>
    <mergeCell ref="C6:C10"/>
    <mergeCell ref="C11:C16"/>
    <mergeCell ref="C17:C2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C7FB-EC7C-48D2-BE68-6CAF9F1250B3}">
  <dimension ref="A1:O34"/>
  <sheetViews>
    <sheetView zoomScaleNormal="100" workbookViewId="0">
      <pane ySplit="1" topLeftCell="A2" activePane="bottomLeft" state="frozen"/>
      <selection pane="bottomLeft" activeCell="F10" sqref="F10"/>
    </sheetView>
  </sheetViews>
  <sheetFormatPr defaultColWidth="9" defaultRowHeight="15"/>
  <cols>
    <col min="1" max="1" width="7.7109375" style="3" customWidth="1"/>
    <col min="2" max="2" width="15.7109375" style="3" customWidth="1"/>
    <col min="3" max="3" width="7.7109375" style="3" customWidth="1"/>
    <col min="4" max="4" width="10.7109375" style="3" customWidth="1"/>
    <col min="5" max="5" width="7.7109375" style="3" customWidth="1"/>
    <col min="6" max="6" width="50.7109375" style="3" customWidth="1"/>
    <col min="7" max="12" width="12.7109375" style="3" customWidth="1"/>
    <col min="13" max="13" width="20.7109375" style="3" customWidth="1"/>
    <col min="14" max="14" width="11.7109375" style="3" customWidth="1"/>
    <col min="15" max="15" width="50.7109375" style="3" customWidth="1"/>
    <col min="16" max="16384" width="9" style="3"/>
  </cols>
  <sheetData>
    <row r="1" spans="1:15" ht="45">
      <c r="A1" s="162" t="s">
        <v>660</v>
      </c>
      <c r="B1" s="161" t="s">
        <v>4</v>
      </c>
      <c r="C1" s="162" t="s">
        <v>661</v>
      </c>
      <c r="D1" s="162" t="s">
        <v>662</v>
      </c>
      <c r="E1" s="162" t="s">
        <v>663</v>
      </c>
      <c r="F1" s="161" t="s">
        <v>1</v>
      </c>
      <c r="G1" s="162" t="s">
        <v>664</v>
      </c>
      <c r="H1" s="162" t="s">
        <v>665</v>
      </c>
      <c r="I1" s="162" t="s">
        <v>666</v>
      </c>
      <c r="J1" s="161" t="s">
        <v>667</v>
      </c>
      <c r="K1" s="161" t="s">
        <v>668</v>
      </c>
      <c r="L1" s="161" t="s">
        <v>669</v>
      </c>
      <c r="M1" s="161" t="s">
        <v>670</v>
      </c>
      <c r="N1" s="162" t="s">
        <v>671</v>
      </c>
      <c r="O1" s="162" t="s">
        <v>672</v>
      </c>
    </row>
    <row r="2" spans="1:15">
      <c r="A2" s="274">
        <v>4</v>
      </c>
      <c r="B2" s="277" t="s">
        <v>763</v>
      </c>
      <c r="C2" s="268">
        <v>213</v>
      </c>
      <c r="D2" s="242"/>
      <c r="E2" s="242">
        <v>1</v>
      </c>
      <c r="F2" s="23" t="s">
        <v>1455</v>
      </c>
      <c r="G2" s="216">
        <v>11</v>
      </c>
      <c r="H2" s="216">
        <v>24</v>
      </c>
      <c r="I2" s="216">
        <v>214</v>
      </c>
      <c r="J2" s="216">
        <v>1</v>
      </c>
      <c r="K2" s="216">
        <v>11731</v>
      </c>
      <c r="L2" s="216">
        <v>3</v>
      </c>
      <c r="M2" s="242"/>
      <c r="N2" s="242"/>
      <c r="O2" s="216" t="s">
        <v>832</v>
      </c>
    </row>
    <row r="3" spans="1:15">
      <c r="A3" s="274"/>
      <c r="B3" s="277"/>
      <c r="C3" s="269"/>
      <c r="D3" s="242"/>
      <c r="E3" s="242">
        <v>2</v>
      </c>
      <c r="F3" s="23" t="s">
        <v>1455</v>
      </c>
      <c r="G3" s="216">
        <v>11</v>
      </c>
      <c r="H3" s="216">
        <v>24</v>
      </c>
      <c r="I3" s="216">
        <v>214</v>
      </c>
      <c r="J3" s="216">
        <v>1</v>
      </c>
      <c r="K3" s="216">
        <v>11731</v>
      </c>
      <c r="L3" s="216">
        <v>3</v>
      </c>
      <c r="M3" s="242"/>
      <c r="N3" s="242"/>
      <c r="O3" s="216"/>
    </row>
    <row r="4" spans="1:15">
      <c r="A4" s="274"/>
      <c r="B4" s="277"/>
      <c r="C4" s="269"/>
      <c r="D4" s="242">
        <v>8.75</v>
      </c>
      <c r="E4" s="242">
        <v>2</v>
      </c>
      <c r="F4" s="23" t="s">
        <v>1655</v>
      </c>
      <c r="G4" s="216">
        <v>0</v>
      </c>
      <c r="H4" s="216">
        <v>0</v>
      </c>
      <c r="I4" s="216">
        <v>46</v>
      </c>
      <c r="J4" s="216">
        <v>0</v>
      </c>
      <c r="K4" s="216">
        <v>529</v>
      </c>
      <c r="L4" s="216">
        <v>0</v>
      </c>
      <c r="M4" s="242"/>
      <c r="N4" s="242"/>
      <c r="O4" s="216"/>
    </row>
    <row r="5" spans="1:15">
      <c r="A5" s="274"/>
      <c r="B5" s="277"/>
      <c r="C5" s="269"/>
      <c r="D5" s="242">
        <v>15.138</v>
      </c>
      <c r="E5" s="242">
        <v>2</v>
      </c>
      <c r="F5" s="23" t="s">
        <v>982</v>
      </c>
      <c r="G5" s="216">
        <v>10</v>
      </c>
      <c r="H5" s="216">
        <v>17</v>
      </c>
      <c r="I5" s="216">
        <v>136</v>
      </c>
      <c r="J5" s="216">
        <v>1</v>
      </c>
      <c r="K5" s="216">
        <v>4274</v>
      </c>
      <c r="L5" s="216">
        <v>0</v>
      </c>
      <c r="M5" s="242"/>
      <c r="N5" s="242"/>
      <c r="O5" s="216"/>
    </row>
    <row r="6" spans="1:15">
      <c r="A6" s="274"/>
      <c r="B6" s="277"/>
      <c r="C6" s="269"/>
      <c r="D6" s="242">
        <v>15.138</v>
      </c>
      <c r="E6" s="242">
        <v>2</v>
      </c>
      <c r="F6" s="23" t="s">
        <v>768</v>
      </c>
      <c r="G6" s="216">
        <v>5</v>
      </c>
      <c r="H6" s="216">
        <v>5</v>
      </c>
      <c r="I6" s="216">
        <v>32</v>
      </c>
      <c r="J6" s="216">
        <v>0</v>
      </c>
      <c r="K6" s="216">
        <v>984</v>
      </c>
      <c r="L6" s="216">
        <v>0</v>
      </c>
      <c r="M6" s="242"/>
      <c r="N6" s="242"/>
      <c r="O6" s="216"/>
    </row>
    <row r="7" spans="1:15">
      <c r="A7" s="274"/>
      <c r="B7" s="277"/>
      <c r="C7" s="269"/>
      <c r="D7" s="242"/>
      <c r="E7" s="242">
        <v>2</v>
      </c>
      <c r="F7" s="23" t="s">
        <v>855</v>
      </c>
      <c r="G7" s="216">
        <v>0</v>
      </c>
      <c r="H7" s="216">
        <v>2</v>
      </c>
      <c r="I7" s="216">
        <v>12</v>
      </c>
      <c r="J7" s="216">
        <v>0</v>
      </c>
      <c r="K7" s="216">
        <v>563</v>
      </c>
      <c r="L7" s="216">
        <v>0</v>
      </c>
      <c r="M7" s="242"/>
      <c r="N7" s="242"/>
      <c r="O7" s="216"/>
    </row>
    <row r="8" spans="1:15">
      <c r="A8" s="274"/>
      <c r="B8" s="277"/>
      <c r="C8" s="269"/>
      <c r="D8" s="242"/>
      <c r="E8" s="242">
        <v>2</v>
      </c>
      <c r="F8" s="23" t="s">
        <v>721</v>
      </c>
      <c r="G8" s="216">
        <v>3</v>
      </c>
      <c r="H8" s="216">
        <v>4</v>
      </c>
      <c r="I8" s="216">
        <v>51</v>
      </c>
      <c r="J8" s="216">
        <v>0</v>
      </c>
      <c r="K8" s="216">
        <v>2188</v>
      </c>
      <c r="L8" s="216">
        <v>0</v>
      </c>
      <c r="M8" s="242"/>
      <c r="N8" s="242"/>
      <c r="O8" s="216"/>
    </row>
    <row r="9" spans="1:15">
      <c r="A9" s="274"/>
      <c r="B9" s="277"/>
      <c r="C9" s="269"/>
      <c r="D9" s="242"/>
      <c r="E9" s="242"/>
      <c r="F9" s="11" t="s">
        <v>991</v>
      </c>
      <c r="G9" s="217">
        <v>2</v>
      </c>
      <c r="H9" s="217">
        <v>4</v>
      </c>
      <c r="I9" s="217">
        <v>48</v>
      </c>
      <c r="J9" s="217">
        <v>0</v>
      </c>
      <c r="K9" s="217">
        <v>1931</v>
      </c>
      <c r="L9" s="217">
        <v>0</v>
      </c>
      <c r="M9" s="242"/>
      <c r="N9" s="242"/>
      <c r="O9" s="216"/>
    </row>
    <row r="10" spans="1:15">
      <c r="A10" s="274"/>
      <c r="B10" s="277"/>
      <c r="C10" s="269"/>
      <c r="D10" s="242"/>
      <c r="E10" s="242">
        <v>2</v>
      </c>
      <c r="F10" s="11" t="s">
        <v>772</v>
      </c>
      <c r="G10" s="217">
        <v>0</v>
      </c>
      <c r="H10" s="217">
        <v>0</v>
      </c>
      <c r="I10" s="217">
        <v>3</v>
      </c>
      <c r="J10" s="217">
        <v>0</v>
      </c>
      <c r="K10" s="217">
        <v>0</v>
      </c>
      <c r="L10" s="217">
        <v>0</v>
      </c>
      <c r="M10" s="242"/>
      <c r="N10" s="242"/>
      <c r="O10" s="216"/>
    </row>
    <row r="11" spans="1:15" ht="30">
      <c r="A11" s="274"/>
      <c r="B11" s="277"/>
      <c r="C11" s="269"/>
      <c r="D11" s="242">
        <v>20.175000000000001</v>
      </c>
      <c r="E11" s="242">
        <v>2</v>
      </c>
      <c r="F11" s="11" t="s">
        <v>774</v>
      </c>
      <c r="G11" s="217">
        <v>0</v>
      </c>
      <c r="H11" s="217">
        <v>5</v>
      </c>
      <c r="I11" s="217">
        <v>37</v>
      </c>
      <c r="J11" s="217">
        <v>1</v>
      </c>
      <c r="K11" s="217">
        <v>1447</v>
      </c>
      <c r="L11" s="217">
        <v>5</v>
      </c>
      <c r="M11" s="242"/>
      <c r="N11" s="242"/>
      <c r="O11" s="216"/>
    </row>
    <row r="12" spans="1:15">
      <c r="A12" s="274"/>
      <c r="B12" s="277"/>
      <c r="C12" s="270"/>
      <c r="D12" s="242">
        <v>20.175000000000001</v>
      </c>
      <c r="E12" s="242">
        <v>3</v>
      </c>
      <c r="F12" s="23" t="s">
        <v>775</v>
      </c>
      <c r="G12" s="216">
        <v>0</v>
      </c>
      <c r="H12" s="216">
        <v>2</v>
      </c>
      <c r="I12" s="216">
        <v>3</v>
      </c>
      <c r="J12" s="216">
        <v>0</v>
      </c>
      <c r="K12" s="216">
        <v>33</v>
      </c>
      <c r="L12" s="216">
        <v>0</v>
      </c>
      <c r="M12" s="242"/>
      <c r="N12" s="242"/>
      <c r="O12" s="216"/>
    </row>
    <row r="13" spans="1:15">
      <c r="A13" s="240"/>
      <c r="B13" s="240"/>
      <c r="C13" s="240"/>
      <c r="D13" s="240"/>
      <c r="E13" s="240"/>
      <c r="F13"/>
      <c r="G13" s="240"/>
      <c r="H13" s="240"/>
      <c r="I13" s="240"/>
      <c r="J13" s="240"/>
      <c r="K13" s="240"/>
      <c r="L13" s="240"/>
      <c r="M13" s="240"/>
      <c r="N13" s="240"/>
      <c r="O13" s="240"/>
    </row>
    <row r="14" spans="1:15">
      <c r="A14" s="240"/>
      <c r="B14" s="240"/>
      <c r="C14" s="240"/>
      <c r="D14" s="240"/>
      <c r="E14" s="240"/>
      <c r="F14"/>
      <c r="G14" s="240"/>
      <c r="H14" s="240"/>
      <c r="I14" s="240"/>
      <c r="J14" s="240"/>
      <c r="K14" s="240"/>
      <c r="L14" s="240"/>
      <c r="M14" s="240"/>
      <c r="N14" s="240"/>
      <c r="O14" s="240"/>
    </row>
    <row r="15" spans="1:15">
      <c r="A15" s="240"/>
      <c r="B15" s="240"/>
      <c r="C15" s="240"/>
      <c r="D15" s="240"/>
      <c r="E15" s="240"/>
      <c r="F15"/>
      <c r="G15" s="240"/>
      <c r="H15" s="240"/>
      <c r="I15" s="240"/>
      <c r="J15" s="240"/>
      <c r="K15" s="240"/>
      <c r="L15" s="240"/>
      <c r="M15" s="240"/>
      <c r="N15" s="240"/>
      <c r="O15" s="240"/>
    </row>
    <row r="16" spans="1:15">
      <c r="A16" s="240"/>
      <c r="B16" s="240"/>
      <c r="C16" s="240"/>
      <c r="D16" s="240"/>
      <c r="E16"/>
      <c r="F16"/>
      <c r="G16" s="240"/>
      <c r="H16" s="240"/>
      <c r="I16" s="240"/>
      <c r="J16" s="240"/>
      <c r="K16" s="240"/>
      <c r="L16" s="240"/>
      <c r="M16" s="240"/>
      <c r="N16" s="240"/>
      <c r="O16" s="240"/>
    </row>
    <row r="17" spans="4:7">
      <c r="D17"/>
      <c r="E17"/>
      <c r="F17"/>
      <c r="G17"/>
    </row>
    <row r="18" spans="4:7">
      <c r="D18"/>
      <c r="E18"/>
      <c r="F18"/>
      <c r="G18"/>
    </row>
    <row r="19" spans="4:7">
      <c r="D19"/>
      <c r="E19"/>
      <c r="F19"/>
      <c r="G19"/>
    </row>
    <row r="20" spans="4:7">
      <c r="D20"/>
      <c r="E20"/>
      <c r="F20"/>
      <c r="G20"/>
    </row>
    <row r="21" spans="4:7">
      <c r="D21"/>
      <c r="E21"/>
      <c r="F21"/>
      <c r="G21"/>
    </row>
    <row r="22" spans="4:7">
      <c r="D22"/>
      <c r="E22"/>
      <c r="F22"/>
      <c r="G22"/>
    </row>
    <row r="23" spans="4:7">
      <c r="D23"/>
      <c r="E23"/>
      <c r="F23"/>
      <c r="G23"/>
    </row>
    <row r="24" spans="4:7">
      <c r="D24"/>
      <c r="E24"/>
      <c r="F24"/>
      <c r="G24"/>
    </row>
    <row r="25" spans="4:7">
      <c r="D25"/>
      <c r="E25"/>
      <c r="F25"/>
      <c r="G25"/>
    </row>
    <row r="26" spans="4:7">
      <c r="D26"/>
      <c r="E26"/>
      <c r="F26"/>
      <c r="G26"/>
    </row>
    <row r="27" spans="4:7">
      <c r="D27"/>
      <c r="E27"/>
      <c r="F27"/>
      <c r="G27"/>
    </row>
    <row r="28" spans="4:7">
      <c r="D28"/>
      <c r="E28"/>
      <c r="F28"/>
      <c r="G28"/>
    </row>
    <row r="29" spans="4:7">
      <c r="D29"/>
      <c r="E29"/>
      <c r="F29"/>
      <c r="G29"/>
    </row>
    <row r="30" spans="4:7">
      <c r="D30"/>
      <c r="E30"/>
      <c r="F30"/>
      <c r="G30"/>
    </row>
    <row r="31" spans="4:7">
      <c r="D31"/>
      <c r="E31"/>
      <c r="F31"/>
      <c r="G31"/>
    </row>
    <row r="32" spans="4:7">
      <c r="D32"/>
      <c r="E32"/>
      <c r="F32"/>
      <c r="G32"/>
    </row>
    <row r="33" spans="4:7">
      <c r="D33"/>
      <c r="E33"/>
      <c r="F33"/>
      <c r="G33"/>
    </row>
    <row r="34" spans="4:7">
      <c r="D34"/>
      <c r="E34"/>
      <c r="F34"/>
      <c r="G34"/>
    </row>
  </sheetData>
  <mergeCells count="3">
    <mergeCell ref="C2:C12"/>
    <mergeCell ref="A2:A12"/>
    <mergeCell ref="B2:B1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 xsi:nil="true"/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EA0A5E-B343-4A72-86B6-4BADD128E9E4}"/>
</file>

<file path=customXml/itemProps2.xml><?xml version="1.0" encoding="utf-8"?>
<ds:datastoreItem xmlns:ds="http://schemas.openxmlformats.org/officeDocument/2006/customXml" ds:itemID="{2C2196C3-3850-436A-93E9-4DC8217BF158}"/>
</file>

<file path=customXml/itemProps3.xml><?xml version="1.0" encoding="utf-8"?>
<ds:datastoreItem xmlns:ds="http://schemas.openxmlformats.org/officeDocument/2006/customXml" ds:itemID="{32830EA0-3744-4522-980C-31979626C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Orange County Superior Court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Jorge Lichtenstein</cp:lastModifiedBy>
  <cp:revision/>
  <dcterms:created xsi:type="dcterms:W3CDTF">2024-11-21T22:22:58Z</dcterms:created>
  <dcterms:modified xsi:type="dcterms:W3CDTF">2026-09-14T20:26:43Z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