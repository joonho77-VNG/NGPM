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namedSheetViews/namedSheetView1.xml" ContentType="application/vnd.ms-excel.namedsheetview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updateLinks="never"/>
  <mc:AlternateContent xmlns:mc="http://schemas.openxmlformats.org/markup-compatibility/2006">
    <mc:Choice Requires="x15">
      <x15ac:absPath xmlns:x15ac="http://schemas.microsoft.com/office/spreadsheetml/2010/11/ac" url="https://occourts.sharepoint.com/sites/Vision_ILJ/General Documentation/Knowledge Sharing Documents/Vision Team Knowledge/Vision NG - Grouping/"/>
    </mc:Choice>
  </mc:AlternateContent>
  <xr:revisionPtr revIDLastSave="1250" documentId="13_ncr:1_{C107B1EF-E241-4BB8-9EEA-B5BF9ED98FDC}" xr6:coauthVersionLast="47" xr6:coauthVersionMax="47" xr10:uidLastSave="{A1CC0F85-1D98-4A7C-88C7-1E442797F204}"/>
  <bookViews>
    <workbookView xWindow="24432" yWindow="24" windowWidth="24792" windowHeight="25248" xr2:uid="{CD9AA0CA-1F8B-4F9D-BBBF-FAC706FA880E}"/>
  </bookViews>
  <sheets>
    <sheet name="Pipeline with LOE " sheetId="4" r:id="rId1"/>
    <sheet name="Complexity LOE" sheetId="3" r:id="rId2"/>
    <sheet name="Pipeline - OPS" sheetId="1" r:id="rId3"/>
  </sheets>
  <externalReferences>
    <externalReference r:id="rId4"/>
  </externalReferences>
  <definedNames>
    <definedName name="_xlnm._FilterDatabase" localSheetId="2" hidden="1">'Pipeline - OPS'!$A$1:$L$200</definedName>
    <definedName name="_xlnm._FilterDatabase" localSheetId="0" hidden="1">'Pipeline with LOE '!$A$1:$AK$200</definedName>
    <definedName name="ComplexityLOE" localSheetId="0">'[1]Complexity LOE'!$A$2:$C$7</definedName>
    <definedName name="ComplexityLOE">'Complexity LOE'!$A$2:$C$7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N28" i="4" l="1"/>
  <c r="N36" i="4" l="1"/>
  <c r="N39" i="4" s="1"/>
  <c r="N44" i="4" s="1"/>
  <c r="N49" i="4" s="1"/>
  <c r="N56" i="4" s="1"/>
  <c r="N62" i="4" s="1"/>
  <c r="N65" i="4" s="1"/>
  <c r="N70" i="4" s="1"/>
  <c r="N77" i="4" s="1"/>
  <c r="N81" i="4" s="1"/>
  <c r="N84" i="4" s="1"/>
  <c r="N91" i="4" s="1"/>
  <c r="N97" i="4" s="1"/>
  <c r="N103" i="4" s="1"/>
  <c r="N109" i="4" s="1"/>
  <c r="N113" i="4" s="1"/>
  <c r="N118" i="4" s="1"/>
  <c r="N123" i="4" s="1"/>
  <c r="N129" i="4" s="1"/>
  <c r="N132" i="4" s="1"/>
  <c r="N136" i="4" s="1"/>
  <c r="N141" i="4" s="1"/>
  <c r="N146" i="4" s="1"/>
  <c r="J168" i="4"/>
  <c r="P44" i="4"/>
  <c r="Q131" i="4"/>
  <c r="R169" i="4"/>
  <c r="R168" i="4"/>
  <c r="P14" i="4"/>
  <c r="Q14" i="4"/>
  <c r="Q194" i="4"/>
  <c r="P194" i="4"/>
  <c r="Q193" i="4"/>
  <c r="P193" i="4"/>
  <c r="Q192" i="4"/>
  <c r="P192" i="4"/>
  <c r="Q191" i="4"/>
  <c r="P191" i="4"/>
  <c r="Q190" i="4"/>
  <c r="P190" i="4"/>
  <c r="Q189" i="4"/>
  <c r="P189" i="4"/>
  <c r="Q188" i="4"/>
  <c r="P188" i="4"/>
  <c r="Q187" i="4"/>
  <c r="P187" i="4"/>
  <c r="Q186" i="4"/>
  <c r="P186" i="4"/>
  <c r="Q185" i="4"/>
  <c r="P185" i="4"/>
  <c r="Q184" i="4"/>
  <c r="P184" i="4"/>
  <c r="Q182" i="4"/>
  <c r="P182" i="4"/>
  <c r="Q183" i="4"/>
  <c r="P183" i="4"/>
  <c r="Q181" i="4"/>
  <c r="P181" i="4"/>
  <c r="Q179" i="4"/>
  <c r="P179" i="4"/>
  <c r="Q180" i="4"/>
  <c r="P180" i="4"/>
  <c r="Q178" i="4"/>
  <c r="P178" i="4"/>
  <c r="Q20" i="4"/>
  <c r="P20" i="4"/>
  <c r="Q177" i="4"/>
  <c r="P177" i="4"/>
  <c r="Q176" i="4"/>
  <c r="P176" i="4"/>
  <c r="Q175" i="4"/>
  <c r="P175" i="4"/>
  <c r="Q174" i="4"/>
  <c r="P174" i="4"/>
  <c r="Q173" i="4"/>
  <c r="P173" i="4"/>
  <c r="Q172" i="4"/>
  <c r="P172" i="4"/>
  <c r="Q171" i="4"/>
  <c r="P171" i="4"/>
  <c r="Q170" i="4"/>
  <c r="P170" i="4"/>
  <c r="Q148" i="4"/>
  <c r="P148" i="4"/>
  <c r="Q156" i="4"/>
  <c r="P156" i="4"/>
  <c r="Q155" i="4"/>
  <c r="P155" i="4"/>
  <c r="Q164" i="4"/>
  <c r="P164" i="4"/>
  <c r="Q163" i="4"/>
  <c r="P163" i="4"/>
  <c r="Q162" i="4"/>
  <c r="P162" i="4"/>
  <c r="Q161" i="4"/>
  <c r="P161" i="4"/>
  <c r="Q160" i="4"/>
  <c r="P160" i="4"/>
  <c r="Q159" i="4"/>
  <c r="P159" i="4"/>
  <c r="Q158" i="4"/>
  <c r="P158" i="4"/>
  <c r="Q157" i="4"/>
  <c r="P157" i="4"/>
  <c r="Q147" i="4"/>
  <c r="P147" i="4"/>
  <c r="Q146" i="4"/>
  <c r="P146" i="4"/>
  <c r="Q142" i="4"/>
  <c r="P142" i="4"/>
  <c r="Q133" i="4"/>
  <c r="P133" i="4"/>
  <c r="Q139" i="4"/>
  <c r="P139" i="4"/>
  <c r="Q138" i="4"/>
  <c r="P138" i="4"/>
  <c r="Q137" i="4"/>
  <c r="P137" i="4"/>
  <c r="Q136" i="4"/>
  <c r="P136" i="4"/>
  <c r="Q135" i="4"/>
  <c r="P135" i="4"/>
  <c r="Q134" i="4"/>
  <c r="P134" i="4"/>
  <c r="P131" i="4"/>
  <c r="Q130" i="4"/>
  <c r="P130" i="4"/>
  <c r="Q129" i="4"/>
  <c r="P129" i="4"/>
  <c r="Q145" i="4"/>
  <c r="P145" i="4"/>
  <c r="Q144" i="4"/>
  <c r="P144" i="4"/>
  <c r="Q143" i="4"/>
  <c r="P143" i="4"/>
  <c r="Q127" i="4"/>
  <c r="P127" i="4"/>
  <c r="Q123" i="4"/>
  <c r="P123" i="4"/>
  <c r="Q121" i="4"/>
  <c r="P121" i="4"/>
  <c r="Q120" i="4"/>
  <c r="P120" i="4"/>
  <c r="Q119" i="4"/>
  <c r="P119" i="4"/>
  <c r="Q126" i="4"/>
  <c r="P126" i="4"/>
  <c r="Q125" i="4"/>
  <c r="P125" i="4"/>
  <c r="Q124" i="4"/>
  <c r="P124" i="4"/>
  <c r="Q118" i="4"/>
  <c r="P118" i="4"/>
  <c r="Q153" i="4"/>
  <c r="P153" i="4"/>
  <c r="Q152" i="4"/>
  <c r="P152" i="4"/>
  <c r="Q151" i="4"/>
  <c r="P151" i="4"/>
  <c r="Q150" i="4"/>
  <c r="P150" i="4"/>
  <c r="Q149" i="4"/>
  <c r="P149" i="4"/>
  <c r="Q111" i="4"/>
  <c r="P111" i="4"/>
  <c r="Q116" i="4"/>
  <c r="P116" i="4"/>
  <c r="Q115" i="4"/>
  <c r="P115" i="4"/>
  <c r="Q114" i="4"/>
  <c r="P114" i="4"/>
  <c r="Q113" i="4"/>
  <c r="P113" i="4"/>
  <c r="Q110" i="4"/>
  <c r="P110" i="4"/>
  <c r="Q109" i="4"/>
  <c r="P109" i="4"/>
  <c r="Q107" i="4"/>
  <c r="P107" i="4"/>
  <c r="Q106" i="4"/>
  <c r="P106" i="4"/>
  <c r="Q105" i="4"/>
  <c r="P105" i="4"/>
  <c r="Q104" i="4"/>
  <c r="P104" i="4"/>
  <c r="Q103" i="4"/>
  <c r="P103" i="4"/>
  <c r="Q117" i="4"/>
  <c r="P117" i="4"/>
  <c r="Q112" i="4"/>
  <c r="P112" i="4"/>
  <c r="Q43" i="4"/>
  <c r="P43" i="4"/>
  <c r="Q102" i="4"/>
  <c r="P102" i="4"/>
  <c r="Q48" i="4"/>
  <c r="P48" i="4"/>
  <c r="Q47" i="4"/>
  <c r="P47" i="4"/>
  <c r="Q55" i="4"/>
  <c r="P55" i="4"/>
  <c r="Q42" i="4"/>
  <c r="P42" i="4"/>
  <c r="Q96" i="4"/>
  <c r="P96" i="4"/>
  <c r="Q61" i="4"/>
  <c r="P61" i="4"/>
  <c r="Q132" i="4"/>
  <c r="P132" i="4"/>
  <c r="Q32" i="4"/>
  <c r="P32" i="4"/>
  <c r="Q31" i="4"/>
  <c r="P31" i="4"/>
  <c r="Q30" i="4"/>
  <c r="P30" i="4"/>
  <c r="Q29" i="4"/>
  <c r="P29" i="4"/>
  <c r="Q28" i="4"/>
  <c r="P28" i="4"/>
  <c r="Q27" i="4"/>
  <c r="P27" i="4"/>
  <c r="Q25" i="4"/>
  <c r="P25" i="4"/>
  <c r="Q24" i="4"/>
  <c r="P24" i="4"/>
  <c r="J24" i="4" s="1"/>
  <c r="Q26" i="4"/>
  <c r="P26" i="4"/>
  <c r="Q128" i="4"/>
  <c r="P128" i="4"/>
  <c r="Q154" i="4"/>
  <c r="P154" i="4"/>
  <c r="Q108" i="4"/>
  <c r="P108" i="4"/>
  <c r="Q122" i="4"/>
  <c r="P122" i="4"/>
  <c r="Q140" i="4"/>
  <c r="P140" i="4"/>
  <c r="Q141" i="4"/>
  <c r="P141" i="4"/>
  <c r="Q101" i="4"/>
  <c r="P101" i="4"/>
  <c r="Q100" i="4"/>
  <c r="P100" i="4"/>
  <c r="Q99" i="4"/>
  <c r="P99" i="4"/>
  <c r="Q98" i="4"/>
  <c r="P98" i="4"/>
  <c r="Q97" i="4"/>
  <c r="P97" i="4"/>
  <c r="Q91" i="4"/>
  <c r="P91" i="4"/>
  <c r="Q95" i="4"/>
  <c r="P95" i="4"/>
  <c r="Q94" i="4"/>
  <c r="P94" i="4"/>
  <c r="Q93" i="4"/>
  <c r="P93" i="4"/>
  <c r="Q92" i="4"/>
  <c r="P92" i="4"/>
  <c r="Q64" i="4"/>
  <c r="P64" i="4"/>
  <c r="J62" i="4" s="1"/>
  <c r="R63" i="4"/>
  <c r="R62" i="4"/>
  <c r="Q46" i="4"/>
  <c r="P46" i="4"/>
  <c r="Q45" i="4"/>
  <c r="P45" i="4"/>
  <c r="Q44" i="4"/>
  <c r="Q41" i="4"/>
  <c r="P41" i="4"/>
  <c r="Q40" i="4"/>
  <c r="P40" i="4"/>
  <c r="Q39" i="4"/>
  <c r="P39" i="4"/>
  <c r="Q90" i="4"/>
  <c r="P90" i="4"/>
  <c r="Q89" i="4"/>
  <c r="P89" i="4"/>
  <c r="Q88" i="4"/>
  <c r="P88" i="4"/>
  <c r="Q87" i="4"/>
  <c r="P87" i="4"/>
  <c r="Q86" i="4"/>
  <c r="P86" i="4"/>
  <c r="Q85" i="4"/>
  <c r="P85" i="4"/>
  <c r="Q84" i="4"/>
  <c r="P84" i="4"/>
  <c r="Q83" i="4"/>
  <c r="P83" i="4"/>
  <c r="Q82" i="4"/>
  <c r="P82" i="4"/>
  <c r="Q81" i="4"/>
  <c r="P81" i="4"/>
  <c r="Q80" i="4"/>
  <c r="P80" i="4"/>
  <c r="Q76" i="4"/>
  <c r="P76" i="4"/>
  <c r="Q75" i="4"/>
  <c r="P75" i="4"/>
  <c r="Q74" i="4"/>
  <c r="P74" i="4"/>
  <c r="Q73" i="4"/>
  <c r="P73" i="4"/>
  <c r="Q72" i="4"/>
  <c r="P72" i="4"/>
  <c r="Q71" i="4"/>
  <c r="P71" i="4"/>
  <c r="Q70" i="4"/>
  <c r="P70" i="4"/>
  <c r="Q69" i="4"/>
  <c r="P69" i="4"/>
  <c r="Q68" i="4"/>
  <c r="P68" i="4"/>
  <c r="Q67" i="4"/>
  <c r="P67" i="4"/>
  <c r="Q66" i="4"/>
  <c r="P66" i="4"/>
  <c r="Q65" i="4"/>
  <c r="P65" i="4"/>
  <c r="Q79" i="4"/>
  <c r="P79" i="4"/>
  <c r="Q78" i="4"/>
  <c r="P78" i="4"/>
  <c r="Q77" i="4"/>
  <c r="P77" i="4"/>
  <c r="Q38" i="4"/>
  <c r="P38" i="4"/>
  <c r="Q37" i="4"/>
  <c r="P37" i="4"/>
  <c r="Q36" i="4"/>
  <c r="P36" i="4"/>
  <c r="Q58" i="4"/>
  <c r="P58" i="4"/>
  <c r="Q60" i="4"/>
  <c r="P60" i="4"/>
  <c r="Q59" i="4"/>
  <c r="P59" i="4"/>
  <c r="Q57" i="4"/>
  <c r="P57" i="4"/>
  <c r="Q56" i="4"/>
  <c r="P56" i="4"/>
  <c r="Q54" i="4"/>
  <c r="P54" i="4"/>
  <c r="Q53" i="4"/>
  <c r="P53" i="4"/>
  <c r="Q52" i="4"/>
  <c r="P52" i="4"/>
  <c r="Q51" i="4"/>
  <c r="P51" i="4"/>
  <c r="Q50" i="4"/>
  <c r="P50" i="4"/>
  <c r="Q49" i="4"/>
  <c r="P49" i="4"/>
  <c r="Q167" i="4"/>
  <c r="P167" i="4"/>
  <c r="Q166" i="4"/>
  <c r="P166" i="4"/>
  <c r="Q165" i="4"/>
  <c r="P165" i="4"/>
  <c r="Q35" i="4"/>
  <c r="P35" i="4"/>
  <c r="Q34" i="4"/>
  <c r="P34" i="4"/>
  <c r="Q33" i="4"/>
  <c r="P33" i="4"/>
  <c r="Q21" i="4"/>
  <c r="P21" i="4"/>
  <c r="Q16" i="4"/>
  <c r="P16" i="4"/>
  <c r="Q15" i="4"/>
  <c r="P15" i="4"/>
  <c r="Q23" i="4"/>
  <c r="P23" i="4"/>
  <c r="Q22" i="4"/>
  <c r="P22" i="4"/>
  <c r="Q19" i="4"/>
  <c r="P19" i="4"/>
  <c r="Q18" i="4"/>
  <c r="P18" i="4"/>
  <c r="Q17" i="4"/>
  <c r="P17" i="4"/>
  <c r="Q13" i="4"/>
  <c r="P13" i="4"/>
  <c r="Q12" i="4"/>
  <c r="P12" i="4"/>
  <c r="Q11" i="4"/>
  <c r="P11" i="4"/>
  <c r="Q10" i="4"/>
  <c r="P10" i="4"/>
  <c r="Q9" i="4"/>
  <c r="P9" i="4"/>
  <c r="Q8" i="4"/>
  <c r="P8" i="4"/>
  <c r="Q7" i="4"/>
  <c r="P7" i="4"/>
  <c r="Q6" i="4"/>
  <c r="P6" i="4"/>
  <c r="Q199" i="4"/>
  <c r="P199" i="4"/>
  <c r="Q198" i="4"/>
  <c r="P198" i="4"/>
  <c r="Q197" i="4"/>
  <c r="P197" i="4"/>
  <c r="Q196" i="4"/>
  <c r="P196" i="4"/>
  <c r="Q5" i="4"/>
  <c r="P5" i="4"/>
  <c r="Q195" i="4"/>
  <c r="P195" i="4"/>
  <c r="Q4" i="4"/>
  <c r="P4" i="4"/>
  <c r="Q3" i="4"/>
  <c r="P3" i="4"/>
  <c r="Q2" i="4"/>
  <c r="P2" i="4"/>
  <c r="J195" i="4" l="1"/>
  <c r="J36" i="4"/>
  <c r="J78" i="4"/>
  <c r="J170" i="4"/>
  <c r="J56" i="4"/>
  <c r="N157" i="4"/>
  <c r="N161" i="4" s="1"/>
  <c r="N165" i="4" s="1"/>
  <c r="N168" i="4" s="1"/>
  <c r="N170" i="4" s="1"/>
  <c r="N154" i="4"/>
  <c r="J65" i="4"/>
  <c r="J84" i="4"/>
  <c r="J70" i="4"/>
  <c r="J81" i="4"/>
  <c r="J132" i="4"/>
  <c r="J49" i="4"/>
  <c r="J39" i="4"/>
  <c r="J28" i="4"/>
  <c r="J129" i="4"/>
  <c r="J136" i="4"/>
  <c r="J44" i="4"/>
  <c r="J118" i="4"/>
  <c r="J91" i="4"/>
  <c r="J103" i="4"/>
  <c r="J109" i="4"/>
  <c r="J113" i="4"/>
  <c r="J97" i="4"/>
  <c r="J165" i="4"/>
  <c r="J146" i="4"/>
  <c r="J123" i="4"/>
  <c r="J154" i="4"/>
  <c r="J157" i="4"/>
  <c r="J161" i="4"/>
  <c r="J178" i="4"/>
  <c r="J186" i="4"/>
  <c r="J141" i="4"/>
  <c r="J182" i="4"/>
  <c r="J191" i="4"/>
  <c r="R53" i="4"/>
  <c r="R34" i="4"/>
  <c r="R67" i="4"/>
  <c r="R82" i="4"/>
  <c r="R44" i="4"/>
  <c r="R99" i="4"/>
  <c r="R57" i="4"/>
  <c r="R127" i="4"/>
  <c r="R139" i="4"/>
  <c r="R125" i="4"/>
  <c r="R131" i="4"/>
  <c r="R158" i="4"/>
  <c r="R150" i="4"/>
  <c r="R14" i="4"/>
  <c r="R164" i="4"/>
  <c r="R48" i="4"/>
  <c r="R172" i="4"/>
  <c r="R88" i="4"/>
  <c r="R93" i="4"/>
  <c r="R108" i="4"/>
  <c r="R20" i="4"/>
  <c r="R132" i="4"/>
  <c r="R27" i="4"/>
  <c r="R50" i="4"/>
  <c r="R104" i="4"/>
  <c r="R38" i="4"/>
  <c r="R22" i="4"/>
  <c r="R8" i="4"/>
  <c r="R196" i="4"/>
  <c r="R21" i="4"/>
  <c r="R19" i="4"/>
  <c r="R195" i="4"/>
  <c r="R6" i="4"/>
  <c r="R49" i="4"/>
  <c r="R56" i="4"/>
  <c r="R66" i="4"/>
  <c r="R72" i="4"/>
  <c r="R81" i="4"/>
  <c r="R87" i="4"/>
  <c r="R41" i="4"/>
  <c r="R92" i="4"/>
  <c r="R122" i="4"/>
  <c r="R25" i="4"/>
  <c r="R32" i="4"/>
  <c r="R177" i="4"/>
  <c r="R181" i="4"/>
  <c r="R187" i="4"/>
  <c r="R73" i="4"/>
  <c r="R167" i="4"/>
  <c r="R54" i="4"/>
  <c r="R65" i="4"/>
  <c r="R71" i="4"/>
  <c r="R80" i="4"/>
  <c r="R86" i="4"/>
  <c r="R40" i="4"/>
  <c r="R97" i="4"/>
  <c r="R140" i="4"/>
  <c r="R24" i="4"/>
  <c r="R31" i="4"/>
  <c r="R55" i="4"/>
  <c r="R117" i="4"/>
  <c r="R109" i="4"/>
  <c r="R111" i="4"/>
  <c r="R118" i="4"/>
  <c r="R129" i="4"/>
  <c r="R137" i="4"/>
  <c r="R147" i="4"/>
  <c r="R162" i="4"/>
  <c r="R170" i="4"/>
  <c r="R176" i="4"/>
  <c r="R179" i="4"/>
  <c r="R193" i="4"/>
  <c r="R113" i="4"/>
  <c r="R5" i="4"/>
  <c r="R7" i="4"/>
  <c r="R13" i="4"/>
  <c r="R12" i="4"/>
  <c r="R23" i="4"/>
  <c r="R33" i="4"/>
  <c r="R98" i="4"/>
  <c r="R47" i="4"/>
  <c r="R171" i="4"/>
  <c r="R36" i="4"/>
  <c r="R64" i="4"/>
  <c r="R121" i="4"/>
  <c r="R37" i="4"/>
  <c r="R192" i="4"/>
  <c r="R186" i="4"/>
  <c r="R4" i="4"/>
  <c r="R199" i="4"/>
  <c r="R103" i="4"/>
  <c r="R110" i="4"/>
  <c r="R149" i="4"/>
  <c r="R124" i="4"/>
  <c r="R123" i="4"/>
  <c r="R130" i="4"/>
  <c r="R138" i="4"/>
  <c r="R157" i="4"/>
  <c r="R163" i="4"/>
  <c r="R197" i="4"/>
  <c r="R9" i="4"/>
  <c r="R3" i="4"/>
  <c r="R198" i="4"/>
  <c r="R10" i="4"/>
  <c r="R17" i="4"/>
  <c r="R165" i="4"/>
  <c r="R52" i="4"/>
  <c r="R60" i="4"/>
  <c r="R78" i="4"/>
  <c r="R69" i="4"/>
  <c r="R75" i="4"/>
  <c r="R84" i="4"/>
  <c r="R90" i="4"/>
  <c r="R46" i="4"/>
  <c r="R95" i="4"/>
  <c r="R101" i="4"/>
  <c r="R128" i="4"/>
  <c r="R29" i="4"/>
  <c r="R96" i="4"/>
  <c r="R43" i="4"/>
  <c r="R106" i="4"/>
  <c r="R115" i="4"/>
  <c r="R152" i="4"/>
  <c r="R119" i="4"/>
  <c r="R144" i="4"/>
  <c r="R135" i="4"/>
  <c r="R142" i="4"/>
  <c r="R160" i="4"/>
  <c r="R156" i="4"/>
  <c r="R174" i="4"/>
  <c r="R178" i="4"/>
  <c r="R184" i="4"/>
  <c r="R190" i="4"/>
  <c r="R15" i="4"/>
  <c r="R35" i="4"/>
  <c r="R51" i="4"/>
  <c r="R59" i="4"/>
  <c r="R77" i="4"/>
  <c r="R68" i="4"/>
  <c r="R74" i="4"/>
  <c r="R83" i="4"/>
  <c r="R89" i="4"/>
  <c r="R45" i="4"/>
  <c r="R94" i="4"/>
  <c r="R100" i="4"/>
  <c r="R154" i="4"/>
  <c r="R28" i="4"/>
  <c r="R61" i="4"/>
  <c r="R102" i="4"/>
  <c r="R105" i="4"/>
  <c r="R114" i="4"/>
  <c r="R11" i="4"/>
  <c r="R18" i="4"/>
  <c r="R16" i="4"/>
  <c r="R166" i="4"/>
  <c r="R58" i="4"/>
  <c r="R79" i="4"/>
  <c r="R70" i="4"/>
  <c r="R76" i="4"/>
  <c r="R85" i="4"/>
  <c r="R39" i="4"/>
  <c r="R91" i="4"/>
  <c r="R141" i="4"/>
  <c r="R26" i="4"/>
  <c r="R30" i="4"/>
  <c r="R42" i="4"/>
  <c r="R112" i="4"/>
  <c r="R107" i="4"/>
  <c r="R116" i="4"/>
  <c r="R153" i="4"/>
  <c r="R120" i="4"/>
  <c r="R145" i="4"/>
  <c r="R136" i="4"/>
  <c r="R146" i="4"/>
  <c r="R161" i="4"/>
  <c r="R148" i="4"/>
  <c r="R175" i="4"/>
  <c r="R180" i="4"/>
  <c r="R185" i="4"/>
  <c r="R191" i="4"/>
  <c r="P200" i="4"/>
  <c r="R151" i="4"/>
  <c r="R126" i="4"/>
  <c r="R143" i="4"/>
  <c r="R134" i="4"/>
  <c r="R133" i="4"/>
  <c r="R159" i="4"/>
  <c r="R155" i="4"/>
  <c r="R173" i="4"/>
  <c r="R182" i="4"/>
  <c r="R189" i="4"/>
  <c r="Q200" i="4"/>
  <c r="R183" i="4"/>
  <c r="R188" i="4"/>
  <c r="R194" i="4"/>
  <c r="R2" i="4"/>
  <c r="N178" i="4" l="1"/>
  <c r="N182" i="4" s="1"/>
  <c r="N186" i="4" s="1"/>
  <c r="N191" i="4" s="1"/>
  <c r="N195" i="4" s="1"/>
  <c r="R200" i="4"/>
</calcChain>
</file>

<file path=xl/sharedStrings.xml><?xml version="1.0" encoding="utf-8"?>
<sst xmlns="http://schemas.openxmlformats.org/spreadsheetml/2006/main" count="2838" uniqueCount="477">
  <si>
    <t>Priority #</t>
  </si>
  <si>
    <t>ID</t>
  </si>
  <si>
    <t>MENU</t>
  </si>
  <si>
    <t>SUB-MENU</t>
  </si>
  <si>
    <t>OBJECT NAME</t>
  </si>
  <si>
    <t>GROUPING</t>
  </si>
  <si>
    <t>STATUS</t>
  </si>
  <si>
    <t>No UAT
(CTS Only)</t>
  </si>
  <si>
    <t>Grouped
DEV LOE</t>
  </si>
  <si>
    <t>OPS</t>
  </si>
  <si>
    <t>FIS</t>
  </si>
  <si>
    <t>COL</t>
  </si>
  <si>
    <t>COMMENTS</t>
  </si>
  <si>
    <t>Dev LOE</t>
  </si>
  <si>
    <t>QA LOE</t>
  </si>
  <si>
    <t>Total LOE</t>
  </si>
  <si>
    <t>Total Usage</t>
  </si>
  <si>
    <t>bailschedule</t>
  </si>
  <si>
    <t>collections</t>
  </si>
  <si>
    <t>collectionssu</t>
  </si>
  <si>
    <t>courtroom</t>
  </si>
  <si>
    <t>courtroomsu</t>
  </si>
  <si>
    <t>ct_developer</t>
  </si>
  <si>
    <t>ct_user</t>
  </si>
  <si>
    <t>eus</t>
  </si>
  <si>
    <t>fiscal1</t>
  </si>
  <si>
    <t>fiscal2</t>
  </si>
  <si>
    <t>fiscalsu</t>
  </si>
  <si>
    <t>impact</t>
  </si>
  <si>
    <t>inquiry</t>
  </si>
  <si>
    <t>interpreter</t>
  </si>
  <si>
    <t>jbsissu</t>
  </si>
  <si>
    <t>judges</t>
  </si>
  <si>
    <t>noncourtroom</t>
  </si>
  <si>
    <t>noncourtroomsu</t>
  </si>
  <si>
    <t>4 - CASE</t>
  </si>
  <si>
    <t>Priors</t>
  </si>
  <si>
    <t>w_ct_m_case_priors</t>
  </si>
  <si>
    <t>High</t>
  </si>
  <si>
    <r>
      <t xml:space="preserve">R - </t>
    </r>
    <r>
      <rPr>
        <b/>
        <sz val="11"/>
        <color rgb="FF7030A0"/>
        <rFont val="Calibri"/>
        <family val="2"/>
      </rPr>
      <t>CP</t>
    </r>
  </si>
  <si>
    <t>I</t>
  </si>
  <si>
    <t>C</t>
  </si>
  <si>
    <t>Print - Copies Spec.</t>
  </si>
  <si>
    <t>w_ct_m_case_priors_print_spec</t>
  </si>
  <si>
    <t>Low</t>
  </si>
  <si>
    <t>13 - JBSIS</t>
  </si>
  <si>
    <t>JBSIS Maintenance</t>
  </si>
  <si>
    <t>w_jbsis_maintenance</t>
  </si>
  <si>
    <t>Medium</t>
  </si>
  <si>
    <r>
      <t xml:space="preserve">R - </t>
    </r>
    <r>
      <rPr>
        <b/>
        <sz val="11"/>
        <color theme="4"/>
        <rFont val="Calibri"/>
        <family val="2"/>
      </rPr>
      <t>IM</t>
    </r>
  </si>
  <si>
    <t>1 - ADMIN</t>
  </si>
  <si>
    <t>Auto Process Schedule</t>
  </si>
  <si>
    <t>w_ct_m_mnt_auto_process_sched</t>
  </si>
  <si>
    <t>Low High</t>
  </si>
  <si>
    <t>Internal</t>
  </si>
  <si>
    <t>X</t>
  </si>
  <si>
    <t>Date of Action Maintenance</t>
  </si>
  <si>
    <t>w_ct_m_docket_date_of_action_maint</t>
  </si>
  <si>
    <t>20 - TABLES</t>
  </si>
  <si>
    <t>Agency X-Ref Maintenance</t>
  </si>
  <si>
    <t>w_ct_m_maint_agy_xref</t>
  </si>
  <si>
    <t>Court Holidays</t>
  </si>
  <si>
    <t>w_ct_m_court_holidays</t>
  </si>
  <si>
    <t>Unit Codes</t>
  </si>
  <si>
    <t>w_ct_m_unit_codes</t>
  </si>
  <si>
    <t>Agency Codes</t>
  </si>
  <si>
    <t>w_ct_m_agency_codes</t>
  </si>
  <si>
    <t>9 - EXHIBITS</t>
  </si>
  <si>
    <t>Exhibit List</t>
  </si>
  <si>
    <t>w_ct_m_exhibit_list</t>
  </si>
  <si>
    <r>
      <t xml:space="preserve">R - </t>
    </r>
    <r>
      <rPr>
        <b/>
        <sz val="11"/>
        <color theme="7" tint="-0.249977111117893"/>
        <rFont val="Calibri"/>
        <family val="2"/>
      </rPr>
      <t>CT</t>
    </r>
  </si>
  <si>
    <t>Exhibit Search</t>
  </si>
  <si>
    <t>w_ct_r_exhibit_list_case_search</t>
  </si>
  <si>
    <t>Exhibit Maintenance</t>
  </si>
  <si>
    <t>w_ct_m_exhibit_maintenance</t>
  </si>
  <si>
    <t>New Exhibit Hearing List</t>
  </si>
  <si>
    <t>w_ct_m_exhibit_new_hearing</t>
  </si>
  <si>
    <t>Exhibit Management</t>
  </si>
  <si>
    <t>w_ct_m_exhibit_management</t>
  </si>
  <si>
    <t>Exhibit Management Search</t>
  </si>
  <si>
    <t>w_ct_m_exhibit_management_srch</t>
  </si>
  <si>
    <t>Exhibit History</t>
  </si>
  <si>
    <t>w_ct_r_exhibit_history</t>
  </si>
  <si>
    <t>8 - COURTROOM</t>
  </si>
  <si>
    <t>Minutes</t>
  </si>
  <si>
    <t>w_ct_m_docket_reporting</t>
  </si>
  <si>
    <t>Medium High</t>
  </si>
  <si>
    <t>R</t>
  </si>
  <si>
    <t xml:space="preserve">VCJIS - Court Reports Preview </t>
  </si>
  <si>
    <t>w_ct_r_dckt_preview_docket_rpt</t>
  </si>
  <si>
    <t>3 - CALENDARING</t>
  </si>
  <si>
    <t>Calendar Transfer</t>
  </si>
  <si>
    <t>w_ct_m_cal_transfer</t>
  </si>
  <si>
    <t>In Development</t>
  </si>
  <si>
    <t>Calendar Report</t>
  </si>
  <si>
    <t>w_ct_m_cal_report_list</t>
  </si>
  <si>
    <t>Calendar Batch Print</t>
  </si>
  <si>
    <t>w_ct_r_batch_print</t>
  </si>
  <si>
    <t>Medium high</t>
  </si>
  <si>
    <t>Web Browser of generated files</t>
  </si>
  <si>
    <t>w_ct_r_pdf_viewer</t>
  </si>
  <si>
    <t>rearragned 9.3  dependency w_ct_c_pdf_viewer</t>
  </si>
  <si>
    <t xml:space="preserve">PDF Viewer from Minutes </t>
  </si>
  <si>
    <t>w_ct_c_pdf_viewer</t>
  </si>
  <si>
    <t>Court Trial Transfer</t>
  </si>
  <si>
    <t>w_ct_m_cal_transfer_location</t>
  </si>
  <si>
    <t>Pending Dev Assignment</t>
  </si>
  <si>
    <t>Notice of Packaged Hearings</t>
  </si>
  <si>
    <t>w_ct_m_case_package_list</t>
  </si>
  <si>
    <t>Calendar List</t>
  </si>
  <si>
    <t>w_ct_m_cal_list</t>
  </si>
  <si>
    <t>Post-Conviction Worksheet Report</t>
  </si>
  <si>
    <t>w_ct_r_pcw</t>
  </si>
  <si>
    <t>16 - RECORDS</t>
  </si>
  <si>
    <t>Batch Purge</t>
  </si>
  <si>
    <t>w_ct_m_purged_cases</t>
  </si>
  <si>
    <t>Case File Purge</t>
  </si>
  <si>
    <t>w_ct_m_case_file_purge</t>
  </si>
  <si>
    <t>Missing Complaints Purge</t>
  </si>
  <si>
    <t>w_ct_m_missing_complaints_purge</t>
  </si>
  <si>
    <t>Calendar File Location</t>
  </si>
  <si>
    <t>w_ct_s_rcds_cal_loc</t>
  </si>
  <si>
    <t>File Location</t>
  </si>
  <si>
    <t>w_ct_s_rcds_location</t>
  </si>
  <si>
    <t>Location History</t>
  </si>
  <si>
    <t>w_ct_s_rcds_location_history</t>
  </si>
  <si>
    <t>File Request</t>
  </si>
  <si>
    <t>w_ct_s_rcds_request</t>
  </si>
  <si>
    <t>File Request Inquiry</t>
  </si>
  <si>
    <t>w_ct_s_rcds_request_inquiry</t>
  </si>
  <si>
    <t>9/15 MU: pending RF response on window usage</t>
  </si>
  <si>
    <t>File Request Maintenance</t>
  </si>
  <si>
    <t>w_ct_s_rcds_request_maint</t>
  </si>
  <si>
    <t>Image Maintenance</t>
  </si>
  <si>
    <t>w_ct_m_case_docket_image</t>
  </si>
  <si>
    <t>Docket Code Lookup</t>
  </si>
  <si>
    <t>w_ct_r_case_docket</t>
  </si>
  <si>
    <t>Image Viewer</t>
  </si>
  <si>
    <t>w_ct_m_image_viewer</t>
  </si>
  <si>
    <t>Case Summary</t>
  </si>
  <si>
    <t>w_ct_m_case_summary</t>
  </si>
  <si>
    <t>Close Elig? Button</t>
  </si>
  <si>
    <t>w_ct_r_case_closure_eligible</t>
  </si>
  <si>
    <t>Bail Schedule Maintenance Response</t>
  </si>
  <si>
    <t>w_ct_r_fscl_bail_sched_maint_response</t>
  </si>
  <si>
    <t>21 - WARRANTS</t>
  </si>
  <si>
    <t>Pending Warrant Review</t>
  </si>
  <si>
    <t>w_ct_m_warrant_review</t>
  </si>
  <si>
    <t>Warrant Image Viewer</t>
  </si>
  <si>
    <t>w_ct_m_warrant_images</t>
  </si>
  <si>
    <t>Warrant Maintenance</t>
  </si>
  <si>
    <t>w_ct_m_warrant_signal_mon</t>
  </si>
  <si>
    <t>11 - FISCAL MAINTENANCE</t>
  </si>
  <si>
    <t>Chart of Accounts</t>
  </si>
  <si>
    <t>w_ct_m_fscl_chart_of_accts</t>
  </si>
  <si>
    <t>PA Distribution Xref</t>
  </si>
  <si>
    <t>w_ct_m_fscl_dist_xref</t>
  </si>
  <si>
    <t>Warrant Reports</t>
  </si>
  <si>
    <t>w_ct_r_main_report</t>
  </si>
  <si>
    <t>Warrant Maintenance (CTS) (Warrant Signal Audit)</t>
  </si>
  <si>
    <t>w_ct_m_warrant_signal_audit</t>
  </si>
  <si>
    <t>Warrant XML Viewer (CTS)</t>
  </si>
  <si>
    <t>w_ct_m_warrant_awss_xml</t>
  </si>
  <si>
    <t>Fee Distribution Schedule</t>
  </si>
  <si>
    <t>w_ct_m_fscl_fee_dist_sched</t>
  </si>
  <si>
    <t>Fund Maintenance</t>
  </si>
  <si>
    <t>w_ct_m_fscl_fund_maint</t>
  </si>
  <si>
    <t>15 - PERSON</t>
  </si>
  <si>
    <t>Attorney Maintenance</t>
  </si>
  <si>
    <t>w_ct_m_attorney</t>
  </si>
  <si>
    <t>Interpreters Maintenance</t>
  </si>
  <si>
    <t>w_ct_m_interpreters</t>
  </si>
  <si>
    <t>Interpreters in System</t>
  </si>
  <si>
    <t>w_ct_r_interpreters_lookup</t>
  </si>
  <si>
    <t>Interpreter Remarks(Ctrl+Alt+T under Remarks)</t>
  </si>
  <si>
    <t>w_ct_r_interpreter_remarks</t>
  </si>
  <si>
    <t>Multi-Person Maintenance</t>
  </si>
  <si>
    <t>w_ct_m_multi_person_maint</t>
  </si>
  <si>
    <t>Multi-Person Maintenance Datafix Report</t>
  </si>
  <si>
    <t>w_ct_r_mpm_report</t>
  </si>
  <si>
    <t>Cost of Collections</t>
  </si>
  <si>
    <t>w_ct_m_fscl_cost_of_collections</t>
  </si>
  <si>
    <t>Person Link/Unlink</t>
  </si>
  <si>
    <t>w_ct_m_person_link_unlink</t>
  </si>
  <si>
    <t>Person Unlink</t>
  </si>
  <si>
    <t>w_ct_m_person_unlink</t>
  </si>
  <si>
    <t>Professional Consolidation</t>
  </si>
  <si>
    <t>w_ct_m_professional_consolidation</t>
  </si>
  <si>
    <t>Professional Maintenance</t>
  </si>
  <si>
    <t>w_ct_m_professional_maint</t>
  </si>
  <si>
    <t>New Professional</t>
  </si>
  <si>
    <t>w_ct_r_professional_new</t>
  </si>
  <si>
    <t>Base Distribution Xref</t>
  </si>
  <si>
    <t>w_ct_m_fscl_base_dist_xref</t>
  </si>
  <si>
    <t>7 - COUNTER</t>
  </si>
  <si>
    <t>Bail Entry</t>
  </si>
  <si>
    <t>w_ct_m_bail_maint</t>
  </si>
  <si>
    <t>Agency Unit Address List (2-Bail Bond button)</t>
  </si>
  <si>
    <t>w_ct_r_agency_unit_addrs_change</t>
  </si>
  <si>
    <t>10 - FISCAL</t>
  </si>
  <si>
    <t>Bail Maintenance</t>
  </si>
  <si>
    <t>Counter Payment</t>
  </si>
  <si>
    <t>w_ct_m_counter</t>
  </si>
  <si>
    <t>Very High</t>
  </si>
  <si>
    <t>Receipts (many flavors)</t>
  </si>
  <si>
    <t>Bail Forfeiture / Traffic School Payment Plans</t>
  </si>
  <si>
    <t>w_ct_r_agree_pay_bf</t>
  </si>
  <si>
    <t>Accept Payment</t>
  </si>
  <si>
    <t>w_ct_r_payment</t>
  </si>
  <si>
    <t>Notes</t>
  </si>
  <si>
    <t>w_ct_r_cmmn_note</t>
  </si>
  <si>
    <t>Open Cashier Session</t>
  </si>
  <si>
    <t>w_ct_m_cashier_open_session</t>
  </si>
  <si>
    <t>Cashier Reconciliation</t>
  </si>
  <si>
    <t>w_ct_m_cashier_recon</t>
  </si>
  <si>
    <t>Multi-Case Payment</t>
  </si>
  <si>
    <t>w_ct_m_fscl_multi_case_payment</t>
  </si>
  <si>
    <t>Non-Case Payment</t>
  </si>
  <si>
    <t>w_ct_m_noncase_pymt</t>
  </si>
  <si>
    <t>TS Completion</t>
  </si>
  <si>
    <t>w_ct_m_mark_ts_complete</t>
  </si>
  <si>
    <t>Victim Restitution Notice</t>
  </si>
  <si>
    <t>w_ct_m_vr_notice</t>
  </si>
  <si>
    <t>Victim Restitution Approval</t>
  </si>
  <si>
    <t>w_ct_m_fscl_vr_apprv</t>
  </si>
  <si>
    <t>LEA Interface</t>
  </si>
  <si>
    <t>w_ct_m_case_lea_interface</t>
  </si>
  <si>
    <t>12 - INTERFACES</t>
  </si>
  <si>
    <t>ATP Dashboard</t>
  </si>
  <si>
    <t>w_ct_m_atp_dashboard</t>
  </si>
  <si>
    <t>OneOC - Clerk Review Module</t>
  </si>
  <si>
    <t>w_ct_m_oneoc_interface</t>
  </si>
  <si>
    <t>Cash Bail Notice</t>
  </si>
  <si>
    <t>w_ct_m_bail_bond_notice</t>
  </si>
  <si>
    <t>Citation Batches / Batch Entry</t>
  </si>
  <si>
    <t>w_ct_m_cite_batch_entry</t>
  </si>
  <si>
    <t>Citation Entry</t>
  </si>
  <si>
    <t>w_ct_m_case_citation_entry</t>
  </si>
  <si>
    <t>Missing Complaint</t>
  </si>
  <si>
    <t>w_ct_m_case_missing_complaint</t>
  </si>
  <si>
    <t>Case Maintenance</t>
  </si>
  <si>
    <t>w_ct_m_case_maint</t>
  </si>
  <si>
    <t>Vision Public Case - Input</t>
  </si>
  <si>
    <t>w_ct_r_public_case_input</t>
  </si>
  <si>
    <t>Person Information Select</t>
  </si>
  <si>
    <t>w_ct_m_person_select</t>
  </si>
  <si>
    <t>Unavailable Court Dates</t>
  </si>
  <si>
    <t>w_ct_r_unavailable_dates</t>
  </si>
  <si>
    <t>Case Dates</t>
  </si>
  <si>
    <t>w_ct_r_cal_case_dates</t>
  </si>
  <si>
    <t>Other Cases</t>
  </si>
  <si>
    <t>w_ct_r_cal_other_cases</t>
  </si>
  <si>
    <t>NCIC Case Initiation</t>
  </si>
  <si>
    <t>w_ct_m_case_maint_ncic</t>
  </si>
  <si>
    <t>Case Distribution Override</t>
  </si>
  <si>
    <t>w_ct_m_fscl_dist_override</t>
  </si>
  <si>
    <t>Check Approval</t>
  </si>
  <si>
    <t>w_ct_m_fscl_chk_apprv</t>
  </si>
  <si>
    <t xml:space="preserve">Specify Check Number </t>
  </si>
  <si>
    <t>w_ct_r_fscl_chk_nbr</t>
  </si>
  <si>
    <t>Print Checks</t>
  </si>
  <si>
    <t>w_ct_r_fscl_prnt_chks</t>
  </si>
  <si>
    <t>Check Maintenance</t>
  </si>
  <si>
    <t>w_ct_m_fscl_chk_maint</t>
  </si>
  <si>
    <t>Bondsman / Surety</t>
  </si>
  <si>
    <t>w_ct_m_bondsman_surety</t>
  </si>
  <si>
    <t>Misapplications/Voids</t>
  </si>
  <si>
    <t>w_ct_m_fscl_pmt_misapp_void</t>
  </si>
  <si>
    <t>w_ct_r_fiscal_batch_cases</t>
  </si>
  <si>
    <t>Reapply Payment</t>
  </si>
  <si>
    <t>w_ct_m_fscl_reapp_remit</t>
  </si>
  <si>
    <t>Reversals</t>
  </si>
  <si>
    <t>w_ct_m_fscl_pmt_reversals</t>
  </si>
  <si>
    <t>w_ct_r_fiscal_multi_cases_reversal</t>
  </si>
  <si>
    <t>PA Distribution Schedule</t>
  </si>
  <si>
    <t>w_ct_m_fscl_pa_dist_sched</t>
  </si>
  <si>
    <t>DMV Abstract on Demand</t>
  </si>
  <si>
    <t>w_ct_m_dmv_abstract_on_demand</t>
  </si>
  <si>
    <t>DMV Admin Transactions</t>
  </si>
  <si>
    <t>w_ct_m_dmv_admin_tran</t>
  </si>
  <si>
    <t>DMV Error Cases Report</t>
  </si>
  <si>
    <t>w_ct_m_dmv_error_queue_mon</t>
  </si>
  <si>
    <t>DMV Error Maintenance</t>
  </si>
  <si>
    <t>w_ct_m_dmv_abstract_maint</t>
  </si>
  <si>
    <t>DMV Prior Missing Report</t>
  </si>
  <si>
    <t>w_ct_m_dmv_priors_missing_cases</t>
  </si>
  <si>
    <t>PA Schedule Maintenance</t>
  </si>
  <si>
    <t>w_ct_m_maint_pa_sched</t>
  </si>
  <si>
    <t>DOJ Interface</t>
  </si>
  <si>
    <t>w_ct_m_intf_doj_review</t>
  </si>
  <si>
    <t>DOJ Abstract</t>
  </si>
  <si>
    <t>w_ct_r_doj_abstract_viewer</t>
  </si>
  <si>
    <t>Excel Batch Processing</t>
  </si>
  <si>
    <t>w_ct_m_xl_batch_processing</t>
  </si>
  <si>
    <t>Special Distribution Schedule</t>
  </si>
  <si>
    <t>w_ct_m_fscl_spl_dist_sched</t>
  </si>
  <si>
    <t>JBSIS Audit Report</t>
  </si>
  <si>
    <t>w_ct_m_jbsis_audit_report</t>
  </si>
  <si>
    <t>JBSIS Report Defn.</t>
  </si>
  <si>
    <t>w_ct_m_jbsis_report_detail</t>
  </si>
  <si>
    <t>JBSIS Reporting</t>
  </si>
  <si>
    <t>w_ct_jbsis_manrpt</t>
  </si>
  <si>
    <t>JBSIS Case Listing</t>
  </si>
  <si>
    <t>w_ct_jbsis_case_person</t>
  </si>
  <si>
    <t>VR Distribution Schedule</t>
  </si>
  <si>
    <t>w_ct_m_fscl_vr_dist_sched</t>
  </si>
  <si>
    <t>Calendar Plan Maintenance</t>
  </si>
  <si>
    <t>w_ct_m_calendar_plan</t>
  </si>
  <si>
    <t>Docket Code Macro Configuration</t>
  </si>
  <si>
    <t>w_ct_m_docket_macro</t>
  </si>
  <si>
    <t>Docket Code Macro Maintenance</t>
  </si>
  <si>
    <t>w_ct_m_docket_macro_maint</t>
  </si>
  <si>
    <t>Docket Macro Preview</t>
  </si>
  <si>
    <t>w_ct_r_dckt_macro_preview</t>
  </si>
  <si>
    <t>Fee Schedule</t>
  </si>
  <si>
    <t>w_ct_m_fscl_fee_sched</t>
  </si>
  <si>
    <t>Docket Code Macro Mover</t>
  </si>
  <si>
    <t>w_ct_m_docket_macro_move</t>
  </si>
  <si>
    <t>Docket Code Maintenance</t>
  </si>
  <si>
    <t>w_ct_m_docket_code_maint</t>
  </si>
  <si>
    <t>w_ct_r_docket_codes</t>
  </si>
  <si>
    <t>w_ct_r_lookup_nbr</t>
  </si>
  <si>
    <t>Docket Code Reference</t>
  </si>
  <si>
    <t>w_ct_m_docket_codes_reference</t>
  </si>
  <si>
    <t>5 - COLLECTIONS</t>
  </si>
  <si>
    <t>Financial Evaluation</t>
  </si>
  <si>
    <t>w_ct_m_coll_fin_eval_list</t>
  </si>
  <si>
    <t>17 - REPORTS</t>
  </si>
  <si>
    <t>Open Cases Report</t>
  </si>
  <si>
    <t>w_ct_m_open_cases</t>
  </si>
  <si>
    <t>State Prison Abstracts</t>
  </si>
  <si>
    <t>w_ct_m_prsn_abstract</t>
  </si>
  <si>
    <t>Case Calendar Summary</t>
  </si>
  <si>
    <t>w_ct_m_cal_sum</t>
  </si>
  <si>
    <t>Bail Distribution Schedule</t>
  </si>
  <si>
    <t>w_ct_m_fscl_bail_dist_sched</t>
  </si>
  <si>
    <t>Monthly Funding Report</t>
  </si>
  <si>
    <t>w_ct_m_fscl_month_fund_report</t>
  </si>
  <si>
    <t>Bail Bond Activity Report</t>
  </si>
  <si>
    <t>w_ct_r_report_builder</t>
  </si>
  <si>
    <t>Bail Bond Summary Judgment</t>
  </si>
  <si>
    <t>Bail Forfeiture Report</t>
  </si>
  <si>
    <t>Summary Judgment Bail Bonds Payment Due</t>
  </si>
  <si>
    <t>Case Payment Activity Query</t>
  </si>
  <si>
    <t>Cash Bail Forfeiture Notice</t>
  </si>
  <si>
    <t>Summary Judgment</t>
  </si>
  <si>
    <t>w_ct_m_summary_judgement</t>
  </si>
  <si>
    <t>Fiscal Case Analysis</t>
  </si>
  <si>
    <t>w_ct_m_fiscal_case_analysis</t>
  </si>
  <si>
    <t>Campaign Maintenance</t>
  </si>
  <si>
    <t>w_ct_m_coll_campaign_maint</t>
  </si>
  <si>
    <t>Case Backup and Restore</t>
  </si>
  <si>
    <t>w_ct_m_case_backup_trg</t>
  </si>
  <si>
    <t>Case Transfer</t>
  </si>
  <si>
    <t>w_ct_m_case_transfer_cst</t>
  </si>
  <si>
    <t>Mass Case/Calendar Copy</t>
  </si>
  <si>
    <t>w_ct_m_mass_case_copy</t>
  </si>
  <si>
    <t>Collections Campaign Queue</t>
  </si>
  <si>
    <t>w_ct_m_coll_campaign_queue</t>
  </si>
  <si>
    <t>L:\ drive</t>
  </si>
  <si>
    <t>Collections Person Interface</t>
  </si>
  <si>
    <t>w_ct_m_coll_person_interface</t>
  </si>
  <si>
    <t>Check Auditor/Controller</t>
  </si>
  <si>
    <t>w_ct_m_fscl_audit_controller</t>
  </si>
  <si>
    <t>18 - SCHEDULE MAINTENANCE</t>
  </si>
  <si>
    <t>Special Schedule</t>
  </si>
  <si>
    <t>w_ct_m_fscl_special_schedule</t>
  </si>
  <si>
    <t>Speed Schedule</t>
  </si>
  <si>
    <t>w_ct_m_fscl_speed_sched</t>
  </si>
  <si>
    <t>Copy Existing Speed Schedule</t>
  </si>
  <si>
    <t>w_ct_r_fscl_speed_sched</t>
  </si>
  <si>
    <t>Speed Schedule 2</t>
  </si>
  <si>
    <t>w_ct_m_fscl_speed_sched_2</t>
  </si>
  <si>
    <t>Copy Existing Speed Schedule (Speed Sched2)</t>
  </si>
  <si>
    <t>w_ct_r_fscl_speed_sched_2</t>
  </si>
  <si>
    <t>Collections</t>
  </si>
  <si>
    <t>w_ct_m_coll_collections</t>
  </si>
  <si>
    <t>OCV Return</t>
  </si>
  <si>
    <t>w_ct_m_ocv_file_load</t>
  </si>
  <si>
    <t>OCV Payment Processor</t>
  </si>
  <si>
    <t>w_ct_m_ocv_payment</t>
  </si>
  <si>
    <t>FTBCOD Interface</t>
  </si>
  <si>
    <t>w_ct_m_case_ftbcod_select</t>
  </si>
  <si>
    <t>FTBCOD Payment Processor</t>
  </si>
  <si>
    <t>w_ct_m_ftbcod_payment</t>
  </si>
  <si>
    <t>Import Action File (Select button)</t>
  </si>
  <si>
    <t>w_ct_r_coll_ftbcod_import_actions</t>
  </si>
  <si>
    <t>Import Claim Schedule File (FTBCOD)</t>
  </si>
  <si>
    <t>w_ct_r_ftbcod_import_cs</t>
  </si>
  <si>
    <t>FTBTI Interface</t>
  </si>
  <si>
    <t>w_ct_m_coll_ftbti_interface</t>
  </si>
  <si>
    <t>FTBTI Payment Processor</t>
  </si>
  <si>
    <t>w_ct_m_ftbti_payment</t>
  </si>
  <si>
    <t>Import Claim Schedule File (FTBTI)</t>
  </si>
  <si>
    <t>w_ct_r_cmmn_file_search</t>
  </si>
  <si>
    <t>List Search</t>
  </si>
  <si>
    <t>w_ct_r_cmmn_list_search</t>
  </si>
  <si>
    <t>Person Maintenance</t>
  </si>
  <si>
    <t>w_ct_m_person_maint</t>
  </si>
  <si>
    <t>Person Search</t>
  </si>
  <si>
    <t>w_ct_r_person_search</t>
  </si>
  <si>
    <t>9/17 MU: will be worked on with Simple/Adv. Case Search</t>
  </si>
  <si>
    <t>Quick Add</t>
  </si>
  <si>
    <t>GENERAL</t>
  </si>
  <si>
    <t>Case Search (Adv Search)</t>
  </si>
  <si>
    <t>w_ct_r_case_search</t>
  </si>
  <si>
    <t>Simple Case Search</t>
  </si>
  <si>
    <t>w_ct_r_simple_search</t>
  </si>
  <si>
    <t>Courtroom / Admin Minutes Entry</t>
  </si>
  <si>
    <t>w_ct_courtroom</t>
  </si>
  <si>
    <t>Docket Code Help</t>
  </si>
  <si>
    <t>w_ct_doc_help_rsp</t>
  </si>
  <si>
    <t>Multi-Case Entry</t>
  </si>
  <si>
    <t>w_ct_doc_multicase</t>
  </si>
  <si>
    <t>Print Imaging Barcode</t>
  </si>
  <si>
    <t>w_ct_r_barcode_current_hrg</t>
  </si>
  <si>
    <t>Print Imaging Barcode Sheet (reprint)</t>
  </si>
  <si>
    <t>w_ct_r_barcode_print</t>
  </si>
  <si>
    <t>Extended Text Entry Window</t>
  </si>
  <si>
    <t>w_ct_r_ctrs_dckt_text</t>
  </si>
  <si>
    <t>Courtroom Print</t>
  </si>
  <si>
    <t>w_ct_r_dckt_report_printing</t>
  </si>
  <si>
    <t>CIS Sheets (16 Flavors)</t>
  </si>
  <si>
    <t>MOCS</t>
  </si>
  <si>
    <t>w_ct_m_mocs</t>
  </si>
  <si>
    <t>MOCS Multi Case Entry</t>
  </si>
  <si>
    <t>w_ct_r_mocs_multi</t>
  </si>
  <si>
    <t>Docket Selection ( MOCS)</t>
  </si>
  <si>
    <t>w_ct_r_mocs_dkt_entry</t>
  </si>
  <si>
    <t>MOCS Docket Definition</t>
  </si>
  <si>
    <t>w_ct_m_mocs_dkt_defn</t>
  </si>
  <si>
    <t>Sealed Access</t>
  </si>
  <si>
    <t>w_ct_r_security_admin</t>
  </si>
  <si>
    <t>19 - SECURITY</t>
  </si>
  <si>
    <t>Security Admin</t>
  </si>
  <si>
    <t>Person Delete</t>
  </si>
  <si>
    <t>w_ct_m_person_delete</t>
  </si>
  <si>
    <t>Vlan IP ranges</t>
  </si>
  <si>
    <t>w_ct_m_vlan_ip_ranges</t>
  </si>
  <si>
    <t>Advanced Menu Manager</t>
  </si>
  <si>
    <t>w_ct_m_menu_full</t>
  </si>
  <si>
    <t>Basic Menu Manager</t>
  </si>
  <si>
    <t>w_ct_m_menu_basic</t>
  </si>
  <si>
    <t>Vision Menu Profile Report</t>
  </si>
  <si>
    <t>w_ct_r_menu_profile_report</t>
  </si>
  <si>
    <t>Menu Admin</t>
  </si>
  <si>
    <t>w_ct_r_menu_admin</t>
  </si>
  <si>
    <t>Code Mover</t>
  </si>
  <si>
    <t>w_ct_m_code_mover</t>
  </si>
  <si>
    <t>Generic Notice Maintenance</t>
  </si>
  <si>
    <t>w_ct_m_letter_maint</t>
  </si>
  <si>
    <t>Letter Maintenance</t>
  </si>
  <si>
    <t>w_ct_m_letter_maint_lm</t>
  </si>
  <si>
    <t>Log on Window (initial loading of config items)</t>
  </si>
  <si>
    <t>Menu Actions</t>
  </si>
  <si>
    <t>Category</t>
  </si>
  <si>
    <t>Dev</t>
  </si>
  <si>
    <t>QA</t>
  </si>
  <si>
    <t>Standard level of effort (days) per complexity level.</t>
  </si>
  <si>
    <t>Edit the Dev / QA values above - the LOE columns on 'Pipeline with LOE' recalculate automatically.</t>
  </si>
  <si>
    <t>Priority Group</t>
  </si>
  <si>
    <t>2-Week</t>
  </si>
  <si>
    <t>QA Completed</t>
  </si>
  <si>
    <t>QA - In Mitigation</t>
  </si>
  <si>
    <t>Calendar Transfer Notices</t>
  </si>
  <si>
    <t>w_ct_m_cal_transfer_notice</t>
  </si>
  <si>
    <t>ETA to
UAT</t>
  </si>
  <si>
    <t>In UAT</t>
  </si>
  <si>
    <t>1-Week</t>
  </si>
  <si>
    <t>Deployed</t>
  </si>
  <si>
    <t>SG</t>
  </si>
  <si>
    <t>SG3</t>
  </si>
  <si>
    <t>SG4</t>
  </si>
  <si>
    <t>SG5</t>
  </si>
  <si>
    <t>SG6</t>
  </si>
  <si>
    <t>SG7</t>
  </si>
  <si>
    <t>SG8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</si>
</sst>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mm/dd/yy;@"/>
  </numFmts>
  <fonts count="21" x14ac:knownFonts="1">
    <font>
      <sz val="11"/>
      <color theme="1"/>
      <name val="Calibri"/>
      <family val="2"/>
    </font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0"/>
      <name val="Calibri"/>
      <family val="2"/>
    </font>
    <font>
      <sz val="11"/>
      <color rgb="FFFF0000"/>
      <name val="Calibri"/>
      <family val="2"/>
    </font>
    <font>
      <b/>
      <sz val="11"/>
      <color theme="1"/>
      <name val="Calibri"/>
      <family val="2"/>
    </font>
    <font>
      <sz val="11"/>
      <color theme="1"/>
      <name val="Aptos Narrow"/>
      <family val="2"/>
      <scheme val="minor"/>
    </font>
    <font>
      <sz val="11"/>
      <name val="Calibri"/>
      <family val="2"/>
    </font>
    <font>
      <b/>
      <sz val="11"/>
      <name val="Calibri"/>
      <family val="2"/>
    </font>
    <font>
      <b/>
      <sz val="11"/>
      <color theme="4"/>
      <name val="Calibri"/>
      <family val="2"/>
    </font>
    <font>
      <sz val="11"/>
      <color indexed="8"/>
      <name val="Aptos Narrow"/>
      <family val="2"/>
      <scheme val="minor"/>
    </font>
    <font>
      <sz val="11"/>
      <color indexed="8"/>
      <name val="Calibri"/>
      <family val="2"/>
    </font>
    <font>
      <b/>
      <sz val="11"/>
      <color rgb="FF7030A0"/>
      <name val="Calibri"/>
      <family val="2"/>
    </font>
    <font>
      <b/>
      <sz val="11"/>
      <color theme="7" tint="-0.249977111117893"/>
      <name val="Calibri"/>
      <family val="2"/>
    </font>
    <font>
      <sz val="11"/>
      <color rgb="FF9C0006"/>
      <name val="Aptos Narrow"/>
      <family val="2"/>
      <scheme val="minor"/>
    </font>
    <font>
      <i/>
      <sz val="9"/>
      <color theme="1"/>
      <name val="Calibri"/>
      <family val="2"/>
    </font>
    <font>
      <b/>
      <sz val="11"/>
      <color theme="9" tint="-0.249977111117893"/>
      <name val="Calibri"/>
      <family val="2"/>
    </font>
    <font>
      <sz val="11"/>
      <color theme="0" tint="-0.499984740745262"/>
      <name val="Calibri"/>
      <family val="2"/>
    </font>
    <font>
      <b/>
      <sz val="11"/>
      <color theme="0" tint="-0.499984740745262"/>
      <name val="Calibri"/>
      <family val="2"/>
    </font>
    <font>
      <sz val="11"/>
      <color rgb="FF00B050"/>
      <name val="Calibri"/>
      <family val="2"/>
    </font>
    <font>
      <sz val="8"/>
      <name val="Calibri"/>
      <family val="2"/>
    </font>
  </fonts>
  <fills count="16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6" fillId="0" borderId="0"/>
    <xf numFmtId="0" fontId="10" fillId="0" borderId="0"/>
    <xf numFmtId="0" fontId="14" fillId="2" borderId="0" applyNumberFormat="0" applyBorder="0" applyAlignment="0" applyProtection="0"/>
    <xf numFmtId="0" fontId="1" fillId="0" borderId="0"/>
  </cellStyleXfs>
  <cellXfs count="255">
    <xf numFmtId="0" fontId="0" fillId="0" borderId="0" xfId="0"/>
    <xf numFmtId="0" fontId="2" fillId="0" borderId="0" xfId="1" applyFont="1" applyAlignment="1">
      <alignment vertical="top"/>
    </xf>
    <xf numFmtId="0" fontId="7" fillId="3" borderId="1" xfId="0" applyFont="1" applyFill="1" applyBorder="1" applyAlignment="1">
      <alignment horizontal="center" vertical="top"/>
    </xf>
    <xf numFmtId="0" fontId="7" fillId="0" borderId="1" xfId="0" applyFont="1" applyBorder="1" applyAlignment="1">
      <alignment horizontal="center" vertical="top"/>
    </xf>
    <xf numFmtId="0" fontId="2" fillId="0" borderId="1" xfId="1" applyFont="1" applyBorder="1" applyAlignment="1">
      <alignment vertical="top"/>
    </xf>
    <xf numFmtId="0" fontId="7" fillId="4" borderId="1" xfId="2" applyFont="1" applyFill="1" applyBorder="1" applyAlignment="1">
      <alignment vertical="top"/>
    </xf>
    <xf numFmtId="0" fontId="7" fillId="4" borderId="1" xfId="1" applyFont="1" applyFill="1" applyBorder="1" applyAlignment="1">
      <alignment vertical="top"/>
    </xf>
    <xf numFmtId="0" fontId="5" fillId="4" borderId="1" xfId="1" applyFont="1" applyFill="1" applyBorder="1" applyAlignment="1">
      <alignment horizontal="left" vertical="top"/>
    </xf>
    <xf numFmtId="0" fontId="2" fillId="4" borderId="1" xfId="1" applyFont="1" applyFill="1" applyBorder="1" applyAlignment="1">
      <alignment vertical="top"/>
    </xf>
    <xf numFmtId="0" fontId="2" fillId="5" borderId="1" xfId="1" applyFont="1" applyFill="1" applyBorder="1" applyAlignment="1">
      <alignment vertical="top"/>
    </xf>
    <xf numFmtId="0" fontId="4" fillId="4" borderId="1" xfId="1" applyFont="1" applyFill="1" applyBorder="1" applyAlignment="1">
      <alignment vertical="top"/>
    </xf>
    <xf numFmtId="0" fontId="7" fillId="0" borderId="1" xfId="2" applyFont="1" applyBorder="1" applyAlignment="1">
      <alignment horizontal="center" vertical="top" wrapText="1"/>
    </xf>
    <xf numFmtId="0" fontId="7" fillId="3" borderId="1" xfId="0" applyFont="1" applyFill="1" applyBorder="1" applyAlignment="1">
      <alignment horizontal="center" vertical="top" wrapText="1"/>
    </xf>
    <xf numFmtId="0" fontId="4" fillId="0" borderId="1" xfId="2" applyFont="1" applyBorder="1" applyAlignment="1">
      <alignment vertical="top"/>
    </xf>
    <xf numFmtId="0" fontId="5" fillId="0" borderId="1" xfId="1" applyFont="1" applyBorder="1" applyAlignment="1">
      <alignment horizontal="left" vertical="top"/>
    </xf>
    <xf numFmtId="0" fontId="4" fillId="4" borderId="1" xfId="1" applyFont="1" applyFill="1" applyBorder="1" applyAlignment="1">
      <alignment vertical="top" wrapText="1"/>
    </xf>
    <xf numFmtId="0" fontId="5" fillId="4" borderId="1" xfId="1" applyFont="1" applyFill="1" applyBorder="1" applyAlignment="1">
      <alignment horizontal="left" vertical="top" wrapText="1"/>
    </xf>
    <xf numFmtId="0" fontId="4" fillId="0" borderId="1" xfId="1" applyFont="1" applyBorder="1" applyAlignment="1">
      <alignment vertical="top" wrapText="1"/>
    </xf>
    <xf numFmtId="0" fontId="4" fillId="0" borderId="1" xfId="1" applyFont="1" applyBorder="1" applyAlignment="1">
      <alignment vertical="top"/>
    </xf>
    <xf numFmtId="0" fontId="5" fillId="0" borderId="1" xfId="1" applyFont="1" applyBorder="1" applyAlignment="1">
      <alignment horizontal="left" vertical="top" wrapText="1"/>
    </xf>
    <xf numFmtId="0" fontId="4" fillId="0" borderId="1" xfId="2" applyFont="1" applyBorder="1" applyAlignment="1">
      <alignment horizontal="left" vertical="top" wrapText="1" indent="2"/>
    </xf>
    <xf numFmtId="0" fontId="2" fillId="0" borderId="1" xfId="1" applyFont="1" applyBorder="1" applyAlignment="1">
      <alignment vertical="top" wrapText="1"/>
    </xf>
    <xf numFmtId="0" fontId="2" fillId="4" borderId="1" xfId="1" applyFont="1" applyFill="1" applyBorder="1" applyAlignment="1">
      <alignment horizontal="left" vertical="top" wrapText="1"/>
    </xf>
    <xf numFmtId="0" fontId="7" fillId="4" borderId="1" xfId="3" applyFont="1" applyFill="1" applyBorder="1" applyAlignment="1">
      <alignment vertical="top"/>
    </xf>
    <xf numFmtId="0" fontId="7" fillId="0" borderId="1" xfId="0" applyFont="1" applyBorder="1" applyAlignment="1">
      <alignment horizontal="center" vertical="top" wrapText="1"/>
    </xf>
    <xf numFmtId="0" fontId="2" fillId="4" borderId="1" xfId="1" applyFont="1" applyFill="1" applyBorder="1" applyAlignment="1">
      <alignment vertical="top" wrapText="1"/>
    </xf>
    <xf numFmtId="0" fontId="7" fillId="6" borderId="1" xfId="0" applyFont="1" applyFill="1" applyBorder="1" applyAlignment="1">
      <alignment horizontal="center" vertical="top"/>
    </xf>
    <xf numFmtId="0" fontId="3" fillId="7" borderId="1" xfId="1" applyFont="1" applyFill="1" applyBorder="1" applyAlignment="1">
      <alignment horizontal="center" vertical="top" wrapText="1"/>
    </xf>
    <xf numFmtId="0" fontId="7" fillId="4" borderId="1" xfId="2" applyFont="1" applyFill="1" applyBorder="1" applyAlignment="1">
      <alignment horizontal="left" vertical="top" wrapText="1" indent="2"/>
    </xf>
    <xf numFmtId="0" fontId="2" fillId="4" borderId="1" xfId="2" applyFont="1" applyFill="1" applyBorder="1" applyAlignment="1">
      <alignment vertical="top"/>
    </xf>
    <xf numFmtId="0" fontId="2" fillId="4" borderId="1" xfId="1" applyFont="1" applyFill="1" applyBorder="1" applyAlignment="1">
      <alignment horizontal="left" vertical="top" wrapText="1" indent="2"/>
    </xf>
    <xf numFmtId="0" fontId="7" fillId="0" borderId="1" xfId="2" applyFont="1" applyBorder="1" applyAlignment="1">
      <alignment horizontal="left" vertical="top" wrapText="1" indent="2"/>
    </xf>
    <xf numFmtId="0" fontId="7" fillId="0" borderId="1" xfId="2" applyFont="1" applyBorder="1" applyAlignment="1">
      <alignment vertical="top"/>
    </xf>
    <xf numFmtId="0" fontId="2" fillId="0" borderId="1" xfId="1" applyFont="1" applyBorder="1" applyAlignment="1">
      <alignment horizontal="left" vertical="top" wrapText="1" indent="2"/>
    </xf>
    <xf numFmtId="0" fontId="11" fillId="4" borderId="1" xfId="2" applyFont="1" applyFill="1" applyBorder="1" applyAlignment="1">
      <alignment vertical="top"/>
    </xf>
    <xf numFmtId="0" fontId="7" fillId="0" borderId="1" xfId="1" applyFont="1" applyBorder="1" applyAlignment="1">
      <alignment vertical="top"/>
    </xf>
    <xf numFmtId="0" fontId="2" fillId="0" borderId="1" xfId="1" applyFont="1" applyBorder="1" applyAlignment="1">
      <alignment horizontal="left" vertical="top"/>
    </xf>
    <xf numFmtId="0" fontId="2" fillId="0" borderId="1" xfId="1" applyFont="1" applyBorder="1" applyAlignment="1">
      <alignment horizontal="left" vertical="top" indent="2"/>
    </xf>
    <xf numFmtId="0" fontId="7" fillId="0" borderId="1" xfId="1" applyFont="1" applyBorder="1" applyAlignment="1">
      <alignment horizontal="left" vertical="top"/>
    </xf>
    <xf numFmtId="49" fontId="11" fillId="0" borderId="1" xfId="2" applyNumberFormat="1" applyFont="1" applyBorder="1" applyAlignment="1">
      <alignment vertical="top"/>
    </xf>
    <xf numFmtId="0" fontId="2" fillId="4" borderId="1" xfId="1" applyFont="1" applyFill="1" applyBorder="1" applyAlignment="1">
      <alignment horizontal="left" vertical="top" indent="2"/>
    </xf>
    <xf numFmtId="0" fontId="7" fillId="4" borderId="1" xfId="1" applyFont="1" applyFill="1" applyBorder="1" applyAlignment="1">
      <alignment horizontal="left" vertical="top"/>
    </xf>
    <xf numFmtId="0" fontId="7" fillId="0" borderId="1" xfId="3" applyFont="1" applyFill="1" applyBorder="1" applyAlignment="1">
      <alignment vertical="top"/>
    </xf>
    <xf numFmtId="49" fontId="7" fillId="4" borderId="1" xfId="2" applyNumberFormat="1" applyFont="1" applyFill="1" applyBorder="1" applyAlignment="1">
      <alignment vertical="top"/>
    </xf>
    <xf numFmtId="0" fontId="2" fillId="4" borderId="1" xfId="1" applyFont="1" applyFill="1" applyBorder="1" applyAlignment="1">
      <alignment horizontal="left" vertical="top"/>
    </xf>
    <xf numFmtId="0" fontId="8" fillId="0" borderId="1" xfId="1" applyFont="1" applyBorder="1" applyAlignment="1">
      <alignment horizontal="left" vertical="top"/>
    </xf>
    <xf numFmtId="49" fontId="11" fillId="4" borderId="1" xfId="2" applyNumberFormat="1" applyFont="1" applyFill="1" applyBorder="1" applyAlignment="1">
      <alignment vertical="top"/>
    </xf>
    <xf numFmtId="49" fontId="4" fillId="0" borderId="1" xfId="2" applyNumberFormat="1" applyFont="1" applyBorder="1" applyAlignment="1">
      <alignment vertical="top"/>
    </xf>
    <xf numFmtId="0" fontId="2" fillId="0" borderId="1" xfId="2" applyFont="1" applyBorder="1" applyAlignment="1">
      <alignment vertical="top"/>
    </xf>
    <xf numFmtId="0" fontId="4" fillId="0" borderId="1" xfId="1" applyFont="1" applyBorder="1" applyAlignment="1">
      <alignment horizontal="left" vertical="top" indent="2"/>
    </xf>
    <xf numFmtId="49" fontId="4" fillId="4" borderId="1" xfId="1" applyNumberFormat="1" applyFont="1" applyFill="1" applyBorder="1" applyAlignment="1">
      <alignment vertical="top"/>
    </xf>
    <xf numFmtId="49" fontId="2" fillId="4" borderId="1" xfId="1" applyNumberFormat="1" applyFont="1" applyFill="1" applyBorder="1" applyAlignment="1">
      <alignment vertical="top"/>
    </xf>
    <xf numFmtId="0" fontId="3" fillId="7" borderId="1" xfId="1" applyFont="1" applyFill="1" applyBorder="1" applyAlignment="1">
      <alignment horizontal="center" vertical="top"/>
    </xf>
    <xf numFmtId="0" fontId="3" fillId="7" borderId="1" xfId="0" applyFont="1" applyFill="1" applyBorder="1" applyAlignment="1">
      <alignment horizontal="center" vertical="top"/>
    </xf>
    <xf numFmtId="0" fontId="3" fillId="9" borderId="1" xfId="0" applyFont="1" applyFill="1" applyBorder="1" applyAlignment="1">
      <alignment horizontal="center" vertical="top"/>
    </xf>
    <xf numFmtId="0" fontId="3" fillId="8" borderId="1" xfId="0" applyFont="1" applyFill="1" applyBorder="1" applyAlignment="1">
      <alignment horizontal="center" vertical="top"/>
    </xf>
    <xf numFmtId="0" fontId="4" fillId="0" borderId="1" xfId="1" applyFont="1" applyBorder="1" applyAlignment="1">
      <alignment horizontal="left" vertical="top"/>
    </xf>
    <xf numFmtId="0" fontId="7" fillId="6" borderId="2" xfId="0" applyFont="1" applyFill="1" applyBorder="1" applyAlignment="1">
      <alignment horizontal="center" vertical="top"/>
    </xf>
    <xf numFmtId="0" fontId="7" fillId="0" borderId="2" xfId="2" applyFont="1" applyBorder="1" applyAlignment="1">
      <alignment horizontal="center" vertical="top" wrapText="1"/>
    </xf>
    <xf numFmtId="0" fontId="2" fillId="5" borderId="2" xfId="1" applyFont="1" applyFill="1" applyBorder="1" applyAlignment="1">
      <alignment vertical="top"/>
    </xf>
    <xf numFmtId="0" fontId="7" fillId="3" borderId="2" xfId="0" applyFont="1" applyFill="1" applyBorder="1" applyAlignment="1">
      <alignment horizontal="center" vertical="top" wrapText="1"/>
    </xf>
    <xf numFmtId="0" fontId="7" fillId="0" borderId="2" xfId="0" applyFont="1" applyBorder="1" applyAlignment="1">
      <alignment horizontal="center" vertical="top"/>
    </xf>
    <xf numFmtId="0" fontId="7" fillId="0" borderId="2" xfId="0" applyFont="1" applyBorder="1" applyAlignment="1">
      <alignment horizontal="center" vertical="top" wrapText="1"/>
    </xf>
    <xf numFmtId="0" fontId="7" fillId="3" borderId="2" xfId="0" applyFont="1" applyFill="1" applyBorder="1" applyAlignment="1">
      <alignment horizontal="center" vertical="top"/>
    </xf>
    <xf numFmtId="0" fontId="3" fillId="7" borderId="3" xfId="1" applyFont="1" applyFill="1" applyBorder="1" applyAlignment="1">
      <alignment horizontal="center" vertical="center"/>
    </xf>
    <xf numFmtId="0" fontId="7" fillId="0" borderId="3" xfId="1" applyFont="1" applyBorder="1"/>
    <xf numFmtId="0" fontId="7" fillId="4" borderId="3" xfId="1" applyFont="1" applyFill="1" applyBorder="1"/>
    <xf numFmtId="0" fontId="7" fillId="4" borderId="4" xfId="1" applyFont="1" applyFill="1" applyBorder="1"/>
    <xf numFmtId="0" fontId="7" fillId="4" borderId="5" xfId="1" applyFont="1" applyFill="1" applyBorder="1"/>
    <xf numFmtId="0" fontId="7" fillId="0" borderId="4" xfId="1" applyFont="1" applyBorder="1"/>
    <xf numFmtId="0" fontId="7" fillId="0" borderId="5" xfId="1" applyFont="1" applyBorder="1"/>
    <xf numFmtId="0" fontId="7" fillId="0" borderId="0" xfId="1" applyFont="1"/>
    <xf numFmtId="0" fontId="7" fillId="10" borderId="1" xfId="1" applyFont="1" applyFill="1" applyBorder="1" applyAlignment="1">
      <alignment vertical="top" wrapText="1"/>
    </xf>
    <xf numFmtId="0" fontId="7" fillId="10" borderId="1" xfId="1" applyFont="1" applyFill="1" applyBorder="1" applyAlignment="1">
      <alignment vertical="top"/>
    </xf>
    <xf numFmtId="49" fontId="7" fillId="10" borderId="1" xfId="2" applyNumberFormat="1" applyFont="1" applyFill="1" applyBorder="1" applyAlignment="1">
      <alignment vertical="top"/>
    </xf>
    <xf numFmtId="0" fontId="7" fillId="4" borderId="1" xfId="0" applyFont="1" applyFill="1" applyBorder="1" applyAlignment="1">
      <alignment horizontal="center" vertical="top"/>
    </xf>
    <xf numFmtId="0" fontId="7" fillId="4" borderId="2" xfId="0" applyFont="1" applyFill="1" applyBorder="1" applyAlignment="1">
      <alignment horizontal="center" vertical="top"/>
    </xf>
    <xf numFmtId="0" fontId="7" fillId="4" borderId="1" xfId="3" applyFont="1" applyFill="1" applyBorder="1" applyAlignment="1">
      <alignment vertical="top" wrapText="1"/>
    </xf>
    <xf numFmtId="0" fontId="7" fillId="4" borderId="1" xfId="0" applyFont="1" applyFill="1" applyBorder="1" applyAlignment="1">
      <alignment horizontal="center" vertical="top" wrapText="1"/>
    </xf>
    <xf numFmtId="0" fontId="7" fillId="4" borderId="2" xfId="0" applyFont="1" applyFill="1" applyBorder="1" applyAlignment="1">
      <alignment horizontal="center" vertical="top" wrapText="1"/>
    </xf>
    <xf numFmtId="0" fontId="7" fillId="4" borderId="1" xfId="2" applyFont="1" applyFill="1" applyBorder="1" applyAlignment="1">
      <alignment horizontal="center" vertical="top" wrapText="1"/>
    </xf>
    <xf numFmtId="49" fontId="2" fillId="0" borderId="1" xfId="1" applyNumberFormat="1" applyFont="1" applyBorder="1" applyAlignment="1">
      <alignment vertical="top"/>
    </xf>
    <xf numFmtId="0" fontId="7" fillId="0" borderId="1" xfId="1" applyFont="1" applyBorder="1" applyAlignment="1">
      <alignment horizontal="left" vertical="top" indent="2"/>
    </xf>
    <xf numFmtId="0" fontId="11" fillId="0" borderId="1" xfId="2" applyFont="1" applyBorder="1" applyAlignment="1">
      <alignment vertical="top"/>
    </xf>
    <xf numFmtId="0" fontId="7" fillId="4" borderId="2" xfId="2" applyFont="1" applyFill="1" applyBorder="1" applyAlignment="1">
      <alignment horizontal="center" vertical="top" wrapText="1"/>
    </xf>
    <xf numFmtId="0" fontId="4" fillId="4" borderId="1" xfId="2" applyFont="1" applyFill="1" applyBorder="1" applyAlignment="1">
      <alignment horizontal="left" vertical="top" wrapText="1" indent="2"/>
    </xf>
    <xf numFmtId="0" fontId="4" fillId="4" borderId="1" xfId="2" applyFont="1" applyFill="1" applyBorder="1" applyAlignment="1">
      <alignment vertical="top"/>
    </xf>
    <xf numFmtId="49" fontId="4" fillId="4" borderId="1" xfId="2" applyNumberFormat="1" applyFont="1" applyFill="1" applyBorder="1" applyAlignment="1">
      <alignment vertical="top"/>
    </xf>
    <xf numFmtId="0" fontId="4" fillId="4" borderId="1" xfId="1" applyFont="1" applyFill="1" applyBorder="1" applyAlignment="1">
      <alignment horizontal="center" vertical="top"/>
    </xf>
    <xf numFmtId="0" fontId="2" fillId="0" borderId="1" xfId="1" applyFont="1" applyBorder="1" applyAlignment="1">
      <alignment horizontal="center" vertical="top" wrapText="1"/>
    </xf>
    <xf numFmtId="0" fontId="2" fillId="4" borderId="1" xfId="1" applyFont="1" applyFill="1" applyBorder="1" applyAlignment="1">
      <alignment horizontal="center" vertical="top" wrapText="1"/>
    </xf>
    <xf numFmtId="0" fontId="7" fillId="4" borderId="1" xfId="2" applyFont="1" applyFill="1" applyBorder="1" applyAlignment="1">
      <alignment horizontal="center" vertical="top"/>
    </xf>
    <xf numFmtId="49" fontId="11" fillId="4" borderId="1" xfId="2" applyNumberFormat="1" applyFont="1" applyFill="1" applyBorder="1" applyAlignment="1">
      <alignment horizontal="center" vertical="top"/>
    </xf>
    <xf numFmtId="49" fontId="2" fillId="0" borderId="1" xfId="1" applyNumberFormat="1" applyFont="1" applyBorder="1" applyAlignment="1">
      <alignment horizontal="center" vertical="top"/>
    </xf>
    <xf numFmtId="0" fontId="2" fillId="4" borderId="1" xfId="2" applyFont="1" applyFill="1" applyBorder="1" applyAlignment="1">
      <alignment horizontal="center" vertical="top"/>
    </xf>
    <xf numFmtId="49" fontId="11" fillId="0" borderId="1" xfId="2" applyNumberFormat="1" applyFont="1" applyBorder="1" applyAlignment="1">
      <alignment horizontal="center" vertical="top"/>
    </xf>
    <xf numFmtId="0" fontId="11" fillId="4" borderId="1" xfId="2" applyFont="1" applyFill="1" applyBorder="1" applyAlignment="1">
      <alignment horizontal="center" vertical="top"/>
    </xf>
    <xf numFmtId="49" fontId="7" fillId="4" borderId="1" xfId="2" applyNumberFormat="1" applyFont="1" applyFill="1" applyBorder="1" applyAlignment="1">
      <alignment horizontal="center" vertical="top"/>
    </xf>
    <xf numFmtId="0" fontId="2" fillId="0" borderId="0" xfId="1" applyFont="1" applyAlignment="1">
      <alignment horizontal="center" vertical="top"/>
    </xf>
    <xf numFmtId="0" fontId="4" fillId="0" borderId="1" xfId="1" applyFont="1" applyBorder="1" applyAlignment="1">
      <alignment horizontal="center" vertical="top" wrapText="1"/>
    </xf>
    <xf numFmtId="0" fontId="5" fillId="11" borderId="1" xfId="0" applyFont="1" applyFill="1" applyBorder="1" applyAlignment="1">
      <alignment horizontal="center"/>
    </xf>
    <xf numFmtId="0" fontId="0" fillId="0" borderId="1" xfId="0" applyBorder="1"/>
    <xf numFmtId="164" fontId="0" fillId="0" borderId="1" xfId="0" applyNumberFormat="1" applyBorder="1" applyAlignment="1">
      <alignment horizontal="center"/>
    </xf>
    <xf numFmtId="0" fontId="15" fillId="0" borderId="0" xfId="0" applyFont="1"/>
    <xf numFmtId="0" fontId="7" fillId="0" borderId="1" xfId="1" applyFont="1" applyBorder="1" applyAlignment="1">
      <alignment vertical="top" wrapText="1"/>
    </xf>
    <xf numFmtId="0" fontId="3" fillId="7" borderId="1" xfId="4" applyFont="1" applyFill="1" applyBorder="1" applyAlignment="1">
      <alignment horizontal="center" vertical="top" wrapText="1"/>
    </xf>
    <xf numFmtId="0" fontId="3" fillId="7" borderId="1" xfId="4" applyFont="1" applyFill="1" applyBorder="1" applyAlignment="1">
      <alignment horizontal="center" vertical="top"/>
    </xf>
    <xf numFmtId="0" fontId="3" fillId="7" borderId="1" xfId="4" applyFont="1" applyFill="1" applyBorder="1" applyAlignment="1">
      <alignment horizontal="center" vertical="center"/>
    </xf>
    <xf numFmtId="0" fontId="2" fillId="0" borderId="0" xfId="4" applyFont="1" applyAlignment="1">
      <alignment vertical="top"/>
    </xf>
    <xf numFmtId="164" fontId="2" fillId="0" borderId="1" xfId="4" applyNumberFormat="1" applyFont="1" applyBorder="1" applyAlignment="1">
      <alignment horizontal="center" vertical="top"/>
    </xf>
    <xf numFmtId="164" fontId="5" fillId="0" borderId="1" xfId="4" applyNumberFormat="1" applyFont="1" applyBorder="1" applyAlignment="1">
      <alignment horizontal="center" vertical="top"/>
    </xf>
    <xf numFmtId="0" fontId="2" fillId="5" borderId="1" xfId="4" applyFont="1" applyFill="1" applyBorder="1" applyAlignment="1">
      <alignment vertical="top"/>
    </xf>
    <xf numFmtId="164" fontId="2" fillId="0" borderId="6" xfId="4" applyNumberFormat="1" applyFont="1" applyBorder="1" applyAlignment="1">
      <alignment horizontal="center" vertical="top"/>
    </xf>
    <xf numFmtId="0" fontId="2" fillId="0" borderId="0" xfId="4" applyFont="1" applyAlignment="1">
      <alignment horizontal="center" vertical="top"/>
    </xf>
    <xf numFmtId="164" fontId="16" fillId="0" borderId="0" xfId="4" applyNumberFormat="1" applyFont="1" applyAlignment="1">
      <alignment vertical="top"/>
    </xf>
    <xf numFmtId="0" fontId="3" fillId="7" borderId="1" xfId="4" applyFont="1" applyFill="1" applyBorder="1" applyAlignment="1">
      <alignment horizontal="center" vertical="center" wrapText="1"/>
    </xf>
    <xf numFmtId="0" fontId="7" fillId="0" borderId="1" xfId="4" applyFont="1" applyBorder="1"/>
    <xf numFmtId="0" fontId="2" fillId="0" borderId="0" xfId="4" applyFont="1" applyAlignment="1">
      <alignment horizontal="center" vertical="center"/>
    </xf>
    <xf numFmtId="0" fontId="7" fillId="12" borderId="1" xfId="4" applyFont="1" applyFill="1" applyBorder="1" applyAlignment="1">
      <alignment horizontal="left" vertical="top"/>
    </xf>
    <xf numFmtId="0" fontId="5" fillId="12" borderId="1" xfId="4" applyFont="1" applyFill="1" applyBorder="1" applyAlignment="1">
      <alignment horizontal="left" vertical="top"/>
    </xf>
    <xf numFmtId="0" fontId="2" fillId="12" borderId="1" xfId="4" applyFont="1" applyFill="1" applyBorder="1" applyAlignment="1">
      <alignment vertical="top"/>
    </xf>
    <xf numFmtId="0" fontId="2" fillId="12" borderId="1" xfId="4" applyFont="1" applyFill="1" applyBorder="1" applyAlignment="1">
      <alignment horizontal="center" vertical="top"/>
    </xf>
    <xf numFmtId="0" fontId="2" fillId="12" borderId="1" xfId="4" applyFont="1" applyFill="1" applyBorder="1" applyAlignment="1">
      <alignment vertical="top" wrapText="1"/>
    </xf>
    <xf numFmtId="0" fontId="2" fillId="12" borderId="1" xfId="4" applyFont="1" applyFill="1" applyBorder="1" applyAlignment="1">
      <alignment horizontal="center" vertical="top" wrapText="1"/>
    </xf>
    <xf numFmtId="0" fontId="7" fillId="12" borderId="1" xfId="2" applyFont="1" applyFill="1" applyBorder="1" applyAlignment="1">
      <alignment horizontal="left" vertical="top" wrapText="1" indent="2"/>
    </xf>
    <xf numFmtId="0" fontId="7" fillId="12" borderId="1" xfId="2" applyFont="1" applyFill="1" applyBorder="1" applyAlignment="1">
      <alignment vertical="top"/>
    </xf>
    <xf numFmtId="49" fontId="11" fillId="12" borderId="1" xfId="2" applyNumberFormat="1" applyFont="1" applyFill="1" applyBorder="1" applyAlignment="1">
      <alignment vertical="top"/>
    </xf>
    <xf numFmtId="49" fontId="11" fillId="12" borderId="1" xfId="2" applyNumberFormat="1" applyFont="1" applyFill="1" applyBorder="1" applyAlignment="1">
      <alignment horizontal="center" vertical="top"/>
    </xf>
    <xf numFmtId="0" fontId="11" fillId="12" borderId="1" xfId="2" applyFont="1" applyFill="1" applyBorder="1" applyAlignment="1">
      <alignment vertical="top"/>
    </xf>
    <xf numFmtId="0" fontId="4" fillId="12" borderId="1" xfId="4" applyFont="1" applyFill="1" applyBorder="1" applyAlignment="1">
      <alignment vertical="top"/>
    </xf>
    <xf numFmtId="0" fontId="4" fillId="12" borderId="1" xfId="4" applyFont="1" applyFill="1" applyBorder="1" applyAlignment="1">
      <alignment horizontal="center" vertical="top"/>
    </xf>
    <xf numFmtId="0" fontId="7" fillId="13" borderId="1" xfId="4" applyFont="1" applyFill="1" applyBorder="1" applyAlignment="1">
      <alignment horizontal="left" vertical="top"/>
    </xf>
    <xf numFmtId="0" fontId="5" fillId="13" borderId="1" xfId="4" applyFont="1" applyFill="1" applyBorder="1" applyAlignment="1">
      <alignment horizontal="left" vertical="top"/>
    </xf>
    <xf numFmtId="0" fontId="2" fillId="13" borderId="1" xfId="4" applyFont="1" applyFill="1" applyBorder="1" applyAlignment="1">
      <alignment vertical="top"/>
    </xf>
    <xf numFmtId="0" fontId="2" fillId="13" borderId="1" xfId="4" applyFont="1" applyFill="1" applyBorder="1" applyAlignment="1">
      <alignment horizontal="center" vertical="top"/>
    </xf>
    <xf numFmtId="0" fontId="2" fillId="13" borderId="1" xfId="4" applyFont="1" applyFill="1" applyBorder="1" applyAlignment="1">
      <alignment horizontal="left" vertical="top"/>
    </xf>
    <xf numFmtId="0" fontId="2" fillId="13" borderId="1" xfId="4" applyFont="1" applyFill="1" applyBorder="1" applyAlignment="1">
      <alignment horizontal="left" vertical="top" indent="2"/>
    </xf>
    <xf numFmtId="0" fontId="8" fillId="13" borderId="1" xfId="4" applyFont="1" applyFill="1" applyBorder="1" applyAlignment="1">
      <alignment horizontal="left" vertical="top"/>
    </xf>
    <xf numFmtId="0" fontId="4" fillId="13" borderId="1" xfId="4" applyFont="1" applyFill="1" applyBorder="1" applyAlignment="1">
      <alignment horizontal="left" vertical="top"/>
    </xf>
    <xf numFmtId="0" fontId="4" fillId="13" borderId="1" xfId="4" applyFont="1" applyFill="1" applyBorder="1" applyAlignment="1">
      <alignment vertical="top"/>
    </xf>
    <xf numFmtId="0" fontId="4" fillId="13" borderId="1" xfId="4" applyFont="1" applyFill="1" applyBorder="1" applyAlignment="1">
      <alignment horizontal="center" vertical="top" wrapText="1"/>
    </xf>
    <xf numFmtId="0" fontId="4" fillId="13" borderId="1" xfId="2" applyFont="1" applyFill="1" applyBorder="1" applyAlignment="1">
      <alignment horizontal="left" vertical="top" wrapText="1" indent="2"/>
    </xf>
    <xf numFmtId="0" fontId="4" fillId="13" borderId="1" xfId="2" applyFont="1" applyFill="1" applyBorder="1" applyAlignment="1">
      <alignment vertical="top"/>
    </xf>
    <xf numFmtId="49" fontId="4" fillId="13" borderId="1" xfId="2" applyNumberFormat="1" applyFont="1" applyFill="1" applyBorder="1" applyAlignment="1">
      <alignment vertical="top"/>
    </xf>
    <xf numFmtId="0" fontId="4" fillId="13" borderId="1" xfId="4" applyFont="1" applyFill="1" applyBorder="1" applyAlignment="1">
      <alignment horizontal="left" vertical="top" indent="2"/>
    </xf>
    <xf numFmtId="0" fontId="7" fillId="13" borderId="1" xfId="4" applyFont="1" applyFill="1" applyBorder="1" applyAlignment="1">
      <alignment horizontal="left" vertical="top" indent="2"/>
    </xf>
    <xf numFmtId="0" fontId="7" fillId="13" borderId="1" xfId="4" applyFont="1" applyFill="1" applyBorder="1" applyAlignment="1">
      <alignment vertical="top"/>
    </xf>
    <xf numFmtId="49" fontId="2" fillId="13" borderId="1" xfId="4" applyNumberFormat="1" applyFont="1" applyFill="1" applyBorder="1" applyAlignment="1">
      <alignment vertical="top"/>
    </xf>
    <xf numFmtId="49" fontId="2" fillId="13" borderId="1" xfId="4" applyNumberFormat="1" applyFont="1" applyFill="1" applyBorder="1" applyAlignment="1">
      <alignment horizontal="center" vertical="top"/>
    </xf>
    <xf numFmtId="0" fontId="7" fillId="13" borderId="1" xfId="2" applyFont="1" applyFill="1" applyBorder="1" applyAlignment="1">
      <alignment vertical="top"/>
    </xf>
    <xf numFmtId="0" fontId="7" fillId="13" borderId="1" xfId="2" applyFont="1" applyFill="1" applyBorder="1" applyAlignment="1">
      <alignment horizontal="left" vertical="top" wrapText="1" indent="2"/>
    </xf>
    <xf numFmtId="0" fontId="2" fillId="13" borderId="1" xfId="2" applyFont="1" applyFill="1" applyBorder="1" applyAlignment="1">
      <alignment vertical="top"/>
    </xf>
    <xf numFmtId="0" fontId="11" fillId="13" borderId="1" xfId="2" applyFont="1" applyFill="1" applyBorder="1" applyAlignment="1">
      <alignment vertical="top"/>
    </xf>
    <xf numFmtId="0" fontId="2" fillId="4" borderId="1" xfId="1" applyFont="1" applyFill="1" applyBorder="1" applyAlignment="1">
      <alignment horizontal="center" vertical="top"/>
    </xf>
    <xf numFmtId="0" fontId="2" fillId="0" borderId="1" xfId="1" applyFont="1" applyBorder="1" applyAlignment="1">
      <alignment horizontal="center" vertical="top"/>
    </xf>
    <xf numFmtId="0" fontId="3" fillId="7" borderId="6" xfId="4" applyFont="1" applyFill="1" applyBorder="1" applyAlignment="1">
      <alignment horizontal="center" vertical="center"/>
    </xf>
    <xf numFmtId="0" fontId="7" fillId="0" borderId="1" xfId="4" applyFont="1" applyBorder="1" applyAlignment="1">
      <alignment horizontal="left" vertical="top"/>
    </xf>
    <xf numFmtId="0" fontId="5" fillId="0" borderId="1" xfId="4" applyFont="1" applyBorder="1" applyAlignment="1">
      <alignment horizontal="left" vertical="top"/>
    </xf>
    <xf numFmtId="0" fontId="2" fillId="0" borderId="1" xfId="4" applyFont="1" applyBorder="1" applyAlignment="1">
      <alignment vertical="top"/>
    </xf>
    <xf numFmtId="164" fontId="2" fillId="0" borderId="1" xfId="4" applyNumberFormat="1" applyFont="1" applyBorder="1" applyAlignment="1">
      <alignment vertical="top"/>
    </xf>
    <xf numFmtId="0" fontId="2" fillId="0" borderId="1" xfId="4" applyFont="1" applyBorder="1" applyAlignment="1">
      <alignment horizontal="center" vertical="top"/>
    </xf>
    <xf numFmtId="0" fontId="2" fillId="0" borderId="1" xfId="4" applyFont="1" applyBorder="1" applyAlignment="1">
      <alignment horizontal="left" vertical="top" indent="2"/>
    </xf>
    <xf numFmtId="0" fontId="17" fillId="0" borderId="1" xfId="4" applyFont="1" applyBorder="1" applyAlignment="1">
      <alignment vertical="top"/>
    </xf>
    <xf numFmtId="0" fontId="2" fillId="0" borderId="1" xfId="4" applyFont="1" applyBorder="1" applyAlignment="1">
      <alignment vertical="top" wrapText="1"/>
    </xf>
    <xf numFmtId="0" fontId="2" fillId="0" borderId="1" xfId="4" applyFont="1" applyBorder="1" applyAlignment="1">
      <alignment horizontal="left" vertical="top" wrapText="1" indent="2"/>
    </xf>
    <xf numFmtId="0" fontId="4" fillId="0" borderId="1" xfId="4" applyFont="1" applyBorder="1" applyAlignment="1">
      <alignment vertical="top"/>
    </xf>
    <xf numFmtId="0" fontId="4" fillId="0" borderId="1" xfId="4" applyFont="1" applyBorder="1" applyAlignment="1">
      <alignment horizontal="center" vertical="top" wrapText="1"/>
    </xf>
    <xf numFmtId="0" fontId="7" fillId="0" borderId="1" xfId="4" applyFont="1" applyBorder="1" applyAlignment="1">
      <alignment vertical="top"/>
    </xf>
    <xf numFmtId="0" fontId="2" fillId="0" borderId="1" xfId="4" applyFont="1" applyBorder="1" applyAlignment="1">
      <alignment horizontal="center" vertical="top" wrapText="1"/>
    </xf>
    <xf numFmtId="0" fontId="7" fillId="0" borderId="1" xfId="3" applyFont="1" applyFill="1" applyBorder="1" applyAlignment="1">
      <alignment vertical="top" wrapText="1"/>
    </xf>
    <xf numFmtId="49" fontId="7" fillId="0" borderId="1" xfId="2" applyNumberFormat="1" applyFont="1" applyBorder="1" applyAlignment="1">
      <alignment vertical="top"/>
    </xf>
    <xf numFmtId="0" fontId="5" fillId="0" borderId="1" xfId="4" applyFont="1" applyBorder="1" applyAlignment="1">
      <alignment horizontal="left" vertical="top" wrapText="1"/>
    </xf>
    <xf numFmtId="0" fontId="4" fillId="0" borderId="1" xfId="4" applyFont="1" applyBorder="1" applyAlignment="1">
      <alignment horizontal="center" vertical="top"/>
    </xf>
    <xf numFmtId="0" fontId="7" fillId="0" borderId="1" xfId="2" applyFont="1" applyBorder="1" applyAlignment="1">
      <alignment horizontal="center" vertical="top"/>
    </xf>
    <xf numFmtId="0" fontId="4" fillId="0" borderId="1" xfId="4" applyFont="1" applyBorder="1" applyAlignment="1">
      <alignment horizontal="left" vertical="top" indent="2"/>
    </xf>
    <xf numFmtId="0" fontId="4" fillId="0" borderId="1" xfId="4" applyFont="1" applyBorder="1" applyAlignment="1">
      <alignment vertical="top" wrapText="1"/>
    </xf>
    <xf numFmtId="0" fontId="19" fillId="0" borderId="1" xfId="4" applyFont="1" applyBorder="1" applyAlignment="1">
      <alignment vertical="top"/>
    </xf>
    <xf numFmtId="0" fontId="7" fillId="0" borderId="0" xfId="4" applyFont="1"/>
    <xf numFmtId="164" fontId="7" fillId="0" borderId="1" xfId="2" applyNumberFormat="1" applyFont="1" applyBorder="1" applyAlignment="1">
      <alignment horizontal="center" vertical="top"/>
    </xf>
    <xf numFmtId="164" fontId="7" fillId="0" borderId="1" xfId="4" applyNumberFormat="1" applyFont="1" applyBorder="1" applyAlignment="1">
      <alignment horizontal="center" vertical="top" wrapText="1"/>
    </xf>
    <xf numFmtId="0" fontId="7" fillId="0" borderId="1" xfId="4" applyFont="1" applyBorder="1" applyAlignment="1">
      <alignment horizontal="center" vertical="top" wrapText="1"/>
    </xf>
    <xf numFmtId="0" fontId="7" fillId="0" borderId="1" xfId="4" applyFont="1" applyBorder="1" applyAlignment="1">
      <alignment horizontal="center" vertical="top"/>
    </xf>
    <xf numFmtId="0" fontId="19" fillId="0" borderId="1" xfId="4" applyFont="1" applyBorder="1" applyAlignment="1">
      <alignment vertical="top" wrapText="1"/>
    </xf>
    <xf numFmtId="0" fontId="19" fillId="0" borderId="1" xfId="4" applyFont="1" applyBorder="1" applyAlignment="1">
      <alignment horizontal="left" vertical="top" wrapText="1" indent="2"/>
    </xf>
    <xf numFmtId="0" fontId="19" fillId="0" borderId="1" xfId="2" applyFont="1" applyBorder="1" applyAlignment="1">
      <alignment horizontal="left" vertical="top" wrapText="1" indent="2"/>
    </xf>
    <xf numFmtId="0" fontId="19" fillId="0" borderId="1" xfId="3" applyFont="1" applyFill="1" applyBorder="1" applyAlignment="1">
      <alignment vertical="top"/>
    </xf>
    <xf numFmtId="0" fontId="19" fillId="0" borderId="1" xfId="4" applyFont="1" applyBorder="1" applyAlignment="1">
      <alignment horizontal="left" vertical="top"/>
    </xf>
    <xf numFmtId="0" fontId="19" fillId="0" borderId="1" xfId="4" applyFont="1" applyBorder="1" applyAlignment="1">
      <alignment horizontal="left" vertical="top" wrapText="1"/>
    </xf>
    <xf numFmtId="0" fontId="7" fillId="14" borderId="1" xfId="4" applyFont="1" applyFill="1" applyBorder="1" applyAlignment="1">
      <alignment horizontal="left" vertical="top"/>
    </xf>
    <xf numFmtId="0" fontId="5" fillId="14" borderId="1" xfId="4" applyFont="1" applyFill="1" applyBorder="1" applyAlignment="1">
      <alignment horizontal="left" vertical="top"/>
    </xf>
    <xf numFmtId="0" fontId="2" fillId="14" borderId="1" xfId="4" applyFont="1" applyFill="1" applyBorder="1" applyAlignment="1">
      <alignment vertical="top" wrapText="1"/>
    </xf>
    <xf numFmtId="0" fontId="2" fillId="14" borderId="1" xfId="4" applyFont="1" applyFill="1" applyBorder="1" applyAlignment="1">
      <alignment vertical="top"/>
    </xf>
    <xf numFmtId="0" fontId="7" fillId="14" borderId="1" xfId="4" applyFont="1" applyFill="1" applyBorder="1" applyAlignment="1">
      <alignment vertical="top"/>
    </xf>
    <xf numFmtId="164" fontId="2" fillId="14" borderId="1" xfId="4" applyNumberFormat="1" applyFont="1" applyFill="1" applyBorder="1" applyAlignment="1">
      <alignment vertical="top"/>
    </xf>
    <xf numFmtId="0" fontId="2" fillId="14" borderId="1" xfId="4" applyFont="1" applyFill="1" applyBorder="1" applyAlignment="1">
      <alignment horizontal="center" vertical="top"/>
    </xf>
    <xf numFmtId="164" fontId="2" fillId="14" borderId="1" xfId="4" applyNumberFormat="1" applyFont="1" applyFill="1" applyBorder="1" applyAlignment="1">
      <alignment horizontal="center" vertical="top"/>
    </xf>
    <xf numFmtId="0" fontId="7" fillId="14" borderId="1" xfId="2" applyFont="1" applyFill="1" applyBorder="1" applyAlignment="1">
      <alignment horizontal="left" vertical="top" wrapText="1" indent="2"/>
    </xf>
    <xf numFmtId="0" fontId="7" fillId="14" borderId="1" xfId="2" applyFont="1" applyFill="1" applyBorder="1" applyAlignment="1">
      <alignment vertical="top"/>
    </xf>
    <xf numFmtId="49" fontId="11" fillId="14" borderId="1" xfId="2" applyNumberFormat="1" applyFont="1" applyFill="1" applyBorder="1" applyAlignment="1">
      <alignment vertical="top"/>
    </xf>
    <xf numFmtId="49" fontId="11" fillId="14" borderId="1" xfId="2" applyNumberFormat="1" applyFont="1" applyFill="1" applyBorder="1" applyAlignment="1">
      <alignment horizontal="center" vertical="top"/>
    </xf>
    <xf numFmtId="0" fontId="2" fillId="14" borderId="1" xfId="4" applyFont="1" applyFill="1" applyBorder="1" applyAlignment="1">
      <alignment horizontal="left" vertical="top" wrapText="1" indent="2"/>
    </xf>
    <xf numFmtId="0" fontId="19" fillId="14" borderId="1" xfId="4" applyFont="1" applyFill="1" applyBorder="1" applyAlignment="1">
      <alignment vertical="top"/>
    </xf>
    <xf numFmtId="0" fontId="19" fillId="14" borderId="1" xfId="4" applyFont="1" applyFill="1" applyBorder="1" applyAlignment="1">
      <alignment horizontal="left" vertical="top" indent="2"/>
    </xf>
    <xf numFmtId="0" fontId="19" fillId="14" borderId="1" xfId="2" applyFont="1" applyFill="1" applyBorder="1" applyAlignment="1">
      <alignment horizontal="left" vertical="top" wrapText="1" indent="2"/>
    </xf>
    <xf numFmtId="49" fontId="7" fillId="14" borderId="1" xfId="2" applyNumberFormat="1" applyFont="1" applyFill="1" applyBorder="1" applyAlignment="1">
      <alignment vertical="top"/>
    </xf>
    <xf numFmtId="49" fontId="7" fillId="14" borderId="1" xfId="2" applyNumberFormat="1" applyFont="1" applyFill="1" applyBorder="1" applyAlignment="1">
      <alignment horizontal="center" vertical="top"/>
    </xf>
    <xf numFmtId="0" fontId="5" fillId="14" borderId="1" xfId="4" applyFont="1" applyFill="1" applyBorder="1" applyAlignment="1">
      <alignment horizontal="left" vertical="top" wrapText="1"/>
    </xf>
    <xf numFmtId="0" fontId="2" fillId="14" borderId="1" xfId="4" applyFont="1" applyFill="1" applyBorder="1" applyAlignment="1">
      <alignment horizontal="left" vertical="top" wrapText="1"/>
    </xf>
    <xf numFmtId="0" fontId="2" fillId="14" borderId="1" xfId="4" applyFont="1" applyFill="1" applyBorder="1" applyAlignment="1">
      <alignment horizontal="left" vertical="top"/>
    </xf>
    <xf numFmtId="0" fontId="19" fillId="14" borderId="1" xfId="4" applyFont="1" applyFill="1" applyBorder="1" applyAlignment="1">
      <alignment horizontal="left" vertical="top" wrapText="1"/>
    </xf>
    <xf numFmtId="0" fontId="2" fillId="14" borderId="1" xfId="4" applyFont="1" applyFill="1" applyBorder="1" applyAlignment="1">
      <alignment horizontal="left" vertical="top" indent="2"/>
    </xf>
    <xf numFmtId="0" fontId="2" fillId="14" borderId="1" xfId="2" applyFont="1" applyFill="1" applyBorder="1" applyAlignment="1">
      <alignment vertical="top"/>
    </xf>
    <xf numFmtId="0" fontId="2" fillId="14" borderId="1" xfId="2" applyFont="1" applyFill="1" applyBorder="1" applyAlignment="1">
      <alignment horizontal="center" vertical="top"/>
    </xf>
    <xf numFmtId="0" fontId="7" fillId="14" borderId="1" xfId="4" applyFont="1" applyFill="1" applyBorder="1" applyAlignment="1">
      <alignment vertical="top" wrapText="1"/>
    </xf>
    <xf numFmtId="0" fontId="2" fillId="14" borderId="1" xfId="4" applyFont="1" applyFill="1" applyBorder="1" applyAlignment="1">
      <alignment horizontal="center" vertical="top" wrapText="1"/>
    </xf>
    <xf numFmtId="164" fontId="2" fillId="14" borderId="1" xfId="4" applyNumberFormat="1" applyFont="1" applyFill="1" applyBorder="1" applyAlignment="1">
      <alignment horizontal="center" vertical="top" wrapText="1"/>
    </xf>
    <xf numFmtId="0" fontId="4" fillId="14" borderId="1" xfId="4" applyFont="1" applyFill="1" applyBorder="1" applyAlignment="1">
      <alignment vertical="top"/>
    </xf>
    <xf numFmtId="0" fontId="4" fillId="14" borderId="1" xfId="4" applyFont="1" applyFill="1" applyBorder="1" applyAlignment="1">
      <alignment vertical="top" wrapText="1"/>
    </xf>
    <xf numFmtId="0" fontId="4" fillId="14" borderId="1" xfId="4" applyFont="1" applyFill="1" applyBorder="1" applyAlignment="1">
      <alignment horizontal="center" vertical="top"/>
    </xf>
    <xf numFmtId="49" fontId="4" fillId="14" borderId="1" xfId="4" applyNumberFormat="1" applyFont="1" applyFill="1" applyBorder="1" applyAlignment="1">
      <alignment vertical="top"/>
    </xf>
    <xf numFmtId="164" fontId="7" fillId="14" borderId="1" xfId="4" applyNumberFormat="1" applyFont="1" applyFill="1" applyBorder="1" applyAlignment="1">
      <alignment horizontal="center" vertical="top"/>
    </xf>
    <xf numFmtId="0" fontId="2" fillId="0" borderId="1" xfId="4" applyFont="1" applyBorder="1" applyAlignment="1">
      <alignment horizontal="center" vertical="center"/>
    </xf>
    <xf numFmtId="0" fontId="11" fillId="14" borderId="1" xfId="2" applyFont="1" applyFill="1" applyBorder="1" applyAlignment="1">
      <alignment vertical="top"/>
    </xf>
    <xf numFmtId="164" fontId="11" fillId="14" borderId="1" xfId="2" applyNumberFormat="1" applyFont="1" applyFill="1" applyBorder="1" applyAlignment="1">
      <alignment vertical="top"/>
    </xf>
    <xf numFmtId="0" fontId="11" fillId="14" borderId="1" xfId="2" applyFont="1" applyFill="1" applyBorder="1" applyAlignment="1">
      <alignment horizontal="center" vertical="top"/>
    </xf>
    <xf numFmtId="0" fontId="8" fillId="14" borderId="1" xfId="4" applyFont="1" applyFill="1" applyBorder="1" applyAlignment="1">
      <alignment horizontal="left" vertical="top"/>
    </xf>
    <xf numFmtId="0" fontId="4" fillId="14" borderId="1" xfId="4" applyFont="1" applyFill="1" applyBorder="1" applyAlignment="1">
      <alignment horizontal="center" vertical="top" wrapText="1"/>
    </xf>
    <xf numFmtId="164" fontId="2" fillId="14" borderId="1" xfId="4" applyNumberFormat="1" applyFont="1" applyFill="1" applyBorder="1" applyAlignment="1">
      <alignment vertical="top" wrapText="1"/>
    </xf>
    <xf numFmtId="0" fontId="17" fillId="14" borderId="1" xfId="4" applyFont="1" applyFill="1" applyBorder="1" applyAlignment="1">
      <alignment horizontal="left" vertical="top"/>
    </xf>
    <xf numFmtId="0" fontId="18" fillId="14" borderId="1" xfId="4" applyFont="1" applyFill="1" applyBorder="1" applyAlignment="1">
      <alignment horizontal="left" vertical="top"/>
    </xf>
    <xf numFmtId="0" fontId="17" fillId="14" borderId="1" xfId="4" applyFont="1" applyFill="1" applyBorder="1" applyAlignment="1">
      <alignment vertical="top"/>
    </xf>
    <xf numFmtId="0" fontId="7" fillId="15" borderId="1" xfId="4" applyFont="1" applyFill="1" applyBorder="1" applyAlignment="1">
      <alignment horizontal="left" vertical="top"/>
    </xf>
    <xf numFmtId="0" fontId="5" fillId="15" borderId="1" xfId="4" applyFont="1" applyFill="1" applyBorder="1" applyAlignment="1">
      <alignment horizontal="left" vertical="top"/>
    </xf>
    <xf numFmtId="0" fontId="2" fillId="15" borderId="1" xfId="4" applyFont="1" applyFill="1" applyBorder="1" applyAlignment="1">
      <alignment horizontal="left" vertical="top" wrapText="1" indent="2"/>
    </xf>
    <xf numFmtId="0" fontId="2" fillId="15" borderId="1" xfId="4" applyFont="1" applyFill="1" applyBorder="1" applyAlignment="1">
      <alignment vertical="top" wrapText="1"/>
    </xf>
    <xf numFmtId="0" fontId="2" fillId="15" borderId="1" xfId="4" applyFont="1" applyFill="1" applyBorder="1" applyAlignment="1">
      <alignment horizontal="center" vertical="top" wrapText="1"/>
    </xf>
    <xf numFmtId="165" fontId="7" fillId="0" borderId="1" xfId="2" applyNumberFormat="1" applyFont="1" applyBorder="1" applyAlignment="1">
      <alignment horizontal="center" vertical="top" wrapText="1"/>
    </xf>
    <xf numFmtId="165" fontId="7" fillId="0" borderId="1" xfId="0" applyNumberFormat="1" applyFont="1" applyBorder="1" applyAlignment="1">
      <alignment horizontal="center" vertical="top"/>
    </xf>
    <xf numFmtId="165" fontId="2" fillId="0" borderId="1" xfId="4" applyNumberFormat="1" applyFont="1" applyBorder="1" applyAlignment="1">
      <alignment vertical="top"/>
    </xf>
    <xf numFmtId="165" fontId="7" fillId="0" borderId="1" xfId="0" applyNumberFormat="1" applyFont="1" applyBorder="1" applyAlignment="1">
      <alignment horizontal="center" vertical="top" wrapText="1"/>
    </xf>
    <xf numFmtId="165" fontId="2" fillId="0" borderId="0" xfId="4" applyNumberFormat="1" applyFont="1" applyAlignment="1">
      <alignment vertical="top"/>
    </xf>
    <xf numFmtId="165" fontId="7" fillId="14" borderId="1" xfId="2" applyNumberFormat="1" applyFont="1" applyFill="1" applyBorder="1" applyAlignment="1">
      <alignment horizontal="center" vertical="top" wrapText="1"/>
    </xf>
    <xf numFmtId="165" fontId="7" fillId="14" borderId="1" xfId="0" applyNumberFormat="1" applyFont="1" applyFill="1" applyBorder="1" applyAlignment="1">
      <alignment horizontal="center" vertical="top" wrapText="1"/>
    </xf>
    <xf numFmtId="165" fontId="2" fillId="14" borderId="1" xfId="4" applyNumberFormat="1" applyFont="1" applyFill="1" applyBorder="1" applyAlignment="1">
      <alignment vertical="top"/>
    </xf>
    <xf numFmtId="165" fontId="7" fillId="14" borderId="1" xfId="0" applyNumberFormat="1" applyFont="1" applyFill="1" applyBorder="1" applyAlignment="1">
      <alignment horizontal="center" vertical="top"/>
    </xf>
    <xf numFmtId="49" fontId="11" fillId="13" borderId="1" xfId="2" applyNumberFormat="1" applyFont="1" applyFill="1" applyBorder="1" applyAlignment="1">
      <alignment vertical="top"/>
    </xf>
    <xf numFmtId="164" fontId="7" fillId="12" borderId="1" xfId="4" applyNumberFormat="1" applyFont="1" applyFill="1" applyBorder="1" applyAlignment="1">
      <alignment horizontal="center" vertical="top"/>
    </xf>
    <xf numFmtId="0" fontId="2" fillId="4" borderId="1" xfId="1" applyFont="1" applyFill="1" applyBorder="1" applyAlignment="1">
      <alignment horizontal="center" vertical="top"/>
    </xf>
    <xf numFmtId="0" fontId="2" fillId="0" borderId="1" xfId="1" applyFont="1" applyBorder="1" applyAlignment="1">
      <alignment horizontal="center" vertical="top"/>
    </xf>
    <xf numFmtId="0" fontId="2" fillId="0" borderId="3" xfId="1" applyFont="1" applyBorder="1" applyAlignment="1">
      <alignment horizontal="center" vertical="top"/>
    </xf>
    <xf numFmtId="0" fontId="2" fillId="0" borderId="4" xfId="1" applyFont="1" applyBorder="1" applyAlignment="1">
      <alignment horizontal="center" vertical="top"/>
    </xf>
    <xf numFmtId="0" fontId="2" fillId="0" borderId="5" xfId="1" applyFont="1" applyBorder="1" applyAlignment="1">
      <alignment horizontal="center" vertical="top"/>
    </xf>
    <xf numFmtId="0" fontId="2" fillId="4" borderId="3" xfId="1" applyFont="1" applyFill="1" applyBorder="1" applyAlignment="1">
      <alignment horizontal="center" vertical="top"/>
    </xf>
    <xf numFmtId="0" fontId="2" fillId="4" borderId="4" xfId="1" applyFont="1" applyFill="1" applyBorder="1" applyAlignment="1">
      <alignment horizontal="center" vertical="top"/>
    </xf>
    <xf numFmtId="0" fontId="2" fillId="4" borderId="5" xfId="1" applyFont="1" applyFill="1" applyBorder="1" applyAlignment="1">
      <alignment horizontal="center" vertical="top"/>
    </xf>
  </cellXfs>
  <cellStyles count="5">
    <cellStyle name="Bad 2" xfId="3" xr:uid="{37D74043-C146-4882-9EDF-5DF1DEEB27B5}"/>
    <cellStyle name="Normal" xfId="0" builtinId="0"/>
    <cellStyle name="Normal 2" xfId="1" xr:uid="{A1BA00F3-347F-4F4D-8D61-FDD07041A46C}"/>
    <cellStyle name="Normal 2 2" xfId="4" xr:uid="{2F6AE83D-FA09-48A1-9DCE-A1D455C7D3D9}"/>
    <cellStyle name="Normal 3" xfId="2" xr:uid="{13E4841C-2A4A-4C0B-924A-974D17B2F5C6}"/>
  </cellStyles>
  <dxfs count="171"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rgb="FFFFCCFF"/>
        </patternFill>
      </fill>
    </dxf>
    <dxf>
      <fill>
        <patternFill>
          <bgColor rgb="FFCCECFF"/>
        </patternFill>
      </fill>
    </dxf>
    <dxf>
      <fill>
        <patternFill>
          <bgColor theme="4" tint="0.59996337778862885"/>
        </patternFill>
      </fill>
    </dxf>
    <dxf>
      <font>
        <color auto="1"/>
      </font>
      <fill>
        <patternFill patternType="solid">
          <bgColor theme="7" tint="0.59996337778862885"/>
        </patternFill>
      </fill>
    </dxf>
    <dxf>
      <font>
        <color auto="1"/>
      </font>
      <fill>
        <patternFill patternType="solid">
          <bgColor theme="5" tint="0.59996337778862885"/>
        </patternFill>
      </fill>
    </dxf>
    <dxf>
      <font>
        <color theme="0"/>
      </font>
      <fill>
        <patternFill patternType="solid">
          <bgColor rgb="FFC00000"/>
        </patternFill>
      </fill>
    </dxf>
    <dxf>
      <font>
        <color auto="1"/>
      </font>
      <fill>
        <patternFill patternType="solid">
          <bgColor rgb="FFCCCCFF"/>
        </patternFill>
      </fill>
    </dxf>
    <dxf>
      <font>
        <color auto="1"/>
      </font>
      <fill>
        <patternFill patternType="solid">
          <bgColor theme="9" tint="0.39994506668294322"/>
        </patternFill>
      </fill>
    </dxf>
    <dxf>
      <fill>
        <patternFill>
          <bgColor theme="2"/>
        </patternFill>
      </fill>
    </dxf>
    <dxf>
      <font>
        <color auto="1"/>
      </font>
      <fill>
        <patternFill>
          <bgColor theme="8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2"/>
        </patternFill>
      </fill>
    </dxf>
    <dxf>
      <font>
        <color auto="1"/>
      </font>
      <fill>
        <patternFill>
          <bgColor theme="8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2"/>
        </patternFill>
      </fill>
    </dxf>
    <dxf>
      <font>
        <color auto="1"/>
      </font>
      <fill>
        <patternFill>
          <bgColor theme="8" tint="0.79998168889431442"/>
        </patternFill>
      </fill>
    </dxf>
    <dxf>
      <fill>
        <patternFill>
          <bgColor theme="5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rgb="FFFFCCFF"/>
        </patternFill>
      </fill>
    </dxf>
    <dxf>
      <fill>
        <patternFill>
          <bgColor rgb="FFCCECFF"/>
        </patternFill>
      </fill>
    </dxf>
    <dxf>
      <fill>
        <patternFill>
          <bgColor theme="4" tint="0.59996337778862885"/>
        </patternFill>
      </fill>
    </dxf>
    <dxf>
      <font>
        <color auto="1"/>
      </font>
      <fill>
        <patternFill patternType="solid">
          <bgColor theme="7" tint="0.59996337778862885"/>
        </patternFill>
      </fill>
    </dxf>
    <dxf>
      <font>
        <color auto="1"/>
      </font>
      <fill>
        <patternFill patternType="solid">
          <bgColor theme="5" tint="0.59996337778862885"/>
        </patternFill>
      </fill>
    </dxf>
    <dxf>
      <font>
        <color theme="0"/>
      </font>
      <fill>
        <patternFill patternType="solid">
          <bgColor rgb="FFC00000"/>
        </patternFill>
      </fill>
    </dxf>
    <dxf>
      <font>
        <color auto="1"/>
      </font>
      <fill>
        <patternFill patternType="solid">
          <bgColor rgb="FFCCCCFF"/>
        </patternFill>
      </fill>
    </dxf>
    <dxf>
      <font>
        <color auto="1"/>
      </font>
      <fill>
        <patternFill patternType="solid">
          <bgColor theme="9" tint="0.39994506668294322"/>
        </patternFill>
      </fill>
    </dxf>
    <dxf>
      <fill>
        <patternFill>
          <bgColor theme="2"/>
        </patternFill>
      </fill>
    </dxf>
    <dxf>
      <font>
        <color auto="1"/>
      </font>
      <fill>
        <patternFill>
          <bgColor theme="8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2"/>
        </patternFill>
      </fill>
    </dxf>
    <dxf>
      <font>
        <color auto="1"/>
      </font>
      <fill>
        <patternFill>
          <bgColor theme="8" tint="0.79998168889431442"/>
        </patternFill>
      </fill>
    </dxf>
    <dxf>
      <fill>
        <patternFill>
          <bgColor theme="5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2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occourts.sharepoint.com/sites/Vision_ILJ/General%20Documentation/Knowledge%20Sharing%20Documents/Vision%20Team%20Knowledge/Vision%20NG%20-%20Grouping/Vision%20NG%20-%20Pipeline%20Plan-CC.xlsx" TargetMode="External"/><Relationship Id="rId1" Type="http://schemas.openxmlformats.org/officeDocument/2006/relationships/externalLinkPath" Target="Vision%20NG%20-%20Pipeline%20Plan-CC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ipeline - OPS"/>
      <sheetName val="Pipeline with LOE"/>
      <sheetName val="Complexity LOE"/>
    </sheetNames>
    <sheetDataSet>
      <sheetData sheetId="0" refreshError="1"/>
      <sheetData sheetId="1" refreshError="1"/>
      <sheetData sheetId="2" refreshError="1">
        <row r="2">
          <cell r="A2" t="str">
            <v>Low</v>
          </cell>
          <cell r="B2">
            <v>4</v>
          </cell>
          <cell r="C2">
            <v>1.5</v>
          </cell>
        </row>
        <row r="3">
          <cell r="A3" t="str">
            <v>Low High</v>
          </cell>
          <cell r="B3">
            <v>8</v>
          </cell>
          <cell r="C3">
            <v>5</v>
          </cell>
        </row>
        <row r="4">
          <cell r="A4" t="str">
            <v>Medium</v>
          </cell>
          <cell r="B4">
            <v>12</v>
          </cell>
          <cell r="C4">
            <v>6.5</v>
          </cell>
        </row>
        <row r="5">
          <cell r="A5" t="str">
            <v>Medium High</v>
          </cell>
          <cell r="B5">
            <v>18</v>
          </cell>
          <cell r="C5">
            <v>8</v>
          </cell>
        </row>
        <row r="6">
          <cell r="A6" t="str">
            <v>High</v>
          </cell>
          <cell r="B6">
            <v>21</v>
          </cell>
          <cell r="C6">
            <v>10</v>
          </cell>
        </row>
        <row r="7">
          <cell r="A7" t="str">
            <v>Very High</v>
          </cell>
          <cell r="B7">
            <v>24</v>
          </cell>
          <cell r="C7">
            <v>11</v>
          </cell>
        </row>
      </sheetData>
    </sheetDataSet>
  </externalBook>
</externalLink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/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microsoft.com/office/2019/04/relationships/namedSheetView" Target="../namedSheetViews/namedSheetView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F11E8F-6A46-46BD-9589-617A7B4FE34D}">
  <sheetPr>
    <tabColor rgb="FF3366FF"/>
  </sheetPr>
  <dimension ref="A1:AK200"/>
  <sheetViews>
    <sheetView showGridLines="0" tabSelected="1" zoomScaleNormal="100" workbookViewId="0">
      <pane ySplit="1" topLeftCell="A9" activePane="bottomLeft" state="frozen"/>
      <selection pane="bottomLeft" activeCell="D49" sqref="D49"/>
    </sheetView>
  </sheetViews>
  <sheetFormatPr defaultColWidth="9.109375" defaultRowHeight="14.4" x14ac:dyDescent="0.3"/>
  <cols>
    <col min="1" max="1" width="10" style="117" customWidth="1"/>
    <col min="2" max="2" width="6" style="108" bestFit="1" customWidth="1"/>
    <col min="3" max="3" width="6" style="108" customWidth="1"/>
    <col min="4" max="4" width="28" style="108" bestFit="1" customWidth="1"/>
    <col min="5" max="5" width="46.5546875" style="108" bestFit="1" customWidth="1"/>
    <col min="6" max="6" width="37.44140625" style="108" customWidth="1"/>
    <col min="7" max="7" width="12.88671875" style="108" bestFit="1" customWidth="1"/>
    <col min="8" max="8" width="23.44140625" style="108" bestFit="1" customWidth="1"/>
    <col min="9" max="9" width="14.6640625" style="113" bestFit="1" customWidth="1"/>
    <col min="10" max="10" width="13.44140625" style="113" bestFit="1" customWidth="1"/>
    <col min="11" max="11" width="9.109375" style="108" customWidth="1"/>
    <col min="12" max="12" width="8.109375" style="108" customWidth="1"/>
    <col min="13" max="13" width="9" style="108" customWidth="1"/>
    <col min="14" max="14" width="9.6640625" style="240" customWidth="1"/>
    <col min="15" max="15" width="53.33203125" style="177" customWidth="1"/>
    <col min="16" max="18" width="11.6640625" style="108" customWidth="1"/>
    <col min="19" max="37" width="22" customWidth="1"/>
    <col min="38" max="16384" width="9.109375" style="108"/>
  </cols>
  <sheetData>
    <row r="1" spans="1:37" ht="28.8" x14ac:dyDescent="0.3">
      <c r="A1" s="115" t="s">
        <v>0</v>
      </c>
      <c r="B1" s="105" t="s">
        <v>1</v>
      </c>
      <c r="C1" s="105" t="s">
        <v>470</v>
      </c>
      <c r="D1" s="106" t="s">
        <v>2</v>
      </c>
      <c r="E1" s="106" t="s">
        <v>3</v>
      </c>
      <c r="F1" s="106" t="s">
        <v>4</v>
      </c>
      <c r="G1" s="106" t="s">
        <v>5</v>
      </c>
      <c r="H1" s="106" t="s">
        <v>6</v>
      </c>
      <c r="I1" s="105" t="s">
        <v>7</v>
      </c>
      <c r="J1" s="105" t="s">
        <v>8</v>
      </c>
      <c r="K1" s="53" t="s">
        <v>9</v>
      </c>
      <c r="L1" s="54" t="s">
        <v>10</v>
      </c>
      <c r="M1" s="55" t="s">
        <v>11</v>
      </c>
      <c r="N1" s="115" t="s">
        <v>466</v>
      </c>
      <c r="O1" s="107" t="s">
        <v>12</v>
      </c>
      <c r="P1" s="155" t="s">
        <v>13</v>
      </c>
      <c r="Q1" s="107" t="s">
        <v>14</v>
      </c>
      <c r="R1" s="107" t="s">
        <v>15</v>
      </c>
      <c r="S1" s="106" t="s">
        <v>16</v>
      </c>
      <c r="T1" s="106" t="s">
        <v>17</v>
      </c>
      <c r="U1" s="106" t="s">
        <v>18</v>
      </c>
      <c r="V1" s="106" t="s">
        <v>19</v>
      </c>
      <c r="W1" s="106" t="s">
        <v>20</v>
      </c>
      <c r="X1" s="106" t="s">
        <v>21</v>
      </c>
      <c r="Y1" s="106" t="s">
        <v>22</v>
      </c>
      <c r="Z1" s="106" t="s">
        <v>23</v>
      </c>
      <c r="AA1" s="106" t="s">
        <v>24</v>
      </c>
      <c r="AB1" s="106" t="s">
        <v>25</v>
      </c>
      <c r="AC1" s="106" t="s">
        <v>26</v>
      </c>
      <c r="AD1" s="106" t="s">
        <v>27</v>
      </c>
      <c r="AE1" s="106" t="s">
        <v>28</v>
      </c>
      <c r="AF1" s="106" t="s">
        <v>29</v>
      </c>
      <c r="AG1" s="106" t="s">
        <v>30</v>
      </c>
      <c r="AH1" s="106" t="s">
        <v>31</v>
      </c>
      <c r="AI1" s="106" t="s">
        <v>32</v>
      </c>
      <c r="AJ1" s="106" t="s">
        <v>33</v>
      </c>
      <c r="AK1" s="106" t="s">
        <v>34</v>
      </c>
    </row>
    <row r="2" spans="1:37" x14ac:dyDescent="0.3">
      <c r="A2" s="221">
        <v>1</v>
      </c>
      <c r="B2" s="118">
        <v>25</v>
      </c>
      <c r="C2" s="118"/>
      <c r="D2" s="119" t="s">
        <v>35</v>
      </c>
      <c r="E2" s="120" t="s">
        <v>36</v>
      </c>
      <c r="F2" s="120" t="s">
        <v>37</v>
      </c>
      <c r="G2" s="120" t="s">
        <v>38</v>
      </c>
      <c r="H2" s="120" t="s">
        <v>469</v>
      </c>
      <c r="I2" s="121"/>
      <c r="J2" s="121"/>
      <c r="K2" s="12" t="s">
        <v>39</v>
      </c>
      <c r="L2" s="26" t="s">
        <v>40</v>
      </c>
      <c r="M2" s="26" t="s">
        <v>41</v>
      </c>
      <c r="N2" s="237"/>
      <c r="O2" s="116"/>
      <c r="P2" s="112">
        <f t="shared" ref="P2:P33" si="0">IFERROR(VLOOKUP($G2,ComplexityLOE,2,FALSE),"")</f>
        <v>21</v>
      </c>
      <c r="Q2" s="109">
        <f t="shared" ref="Q2:Q33" si="1">IFERROR(VLOOKUP($G2,ComplexityLOE,3,FALSE),"")</f>
        <v>10</v>
      </c>
      <c r="R2" s="110">
        <f t="shared" ref="R2:R33" si="2">IFERROR(P2+Q2,"")</f>
        <v>31</v>
      </c>
      <c r="S2">
        <v>452623</v>
      </c>
      <c r="T2">
        <v>0</v>
      </c>
      <c r="U2">
        <v>21282</v>
      </c>
      <c r="V2">
        <v>12632</v>
      </c>
      <c r="W2">
        <v>46525</v>
      </c>
      <c r="X2">
        <v>1145</v>
      </c>
      <c r="Y2">
        <v>72</v>
      </c>
      <c r="Z2">
        <v>0</v>
      </c>
      <c r="AA2">
        <v>0</v>
      </c>
      <c r="AB2">
        <v>0</v>
      </c>
      <c r="AC2">
        <v>0</v>
      </c>
      <c r="AD2">
        <v>0</v>
      </c>
      <c r="AE2">
        <v>3167</v>
      </c>
      <c r="AF2">
        <v>0</v>
      </c>
      <c r="AG2">
        <v>1284</v>
      </c>
      <c r="AH2">
        <v>1</v>
      </c>
      <c r="AI2">
        <v>0</v>
      </c>
      <c r="AJ2">
        <v>344843</v>
      </c>
      <c r="AK2">
        <v>21672</v>
      </c>
    </row>
    <row r="3" spans="1:37" x14ac:dyDescent="0.3">
      <c r="A3" s="221">
        <v>2</v>
      </c>
      <c r="B3" s="118">
        <v>25.1</v>
      </c>
      <c r="C3" s="118"/>
      <c r="D3" s="119" t="s">
        <v>35</v>
      </c>
      <c r="E3" s="124" t="s">
        <v>42</v>
      </c>
      <c r="F3" s="128" t="s">
        <v>43</v>
      </c>
      <c r="G3" s="120" t="s">
        <v>44</v>
      </c>
      <c r="H3" s="120" t="s">
        <v>469</v>
      </c>
      <c r="I3" s="121"/>
      <c r="J3" s="121"/>
      <c r="K3" s="12" t="s">
        <v>39</v>
      </c>
      <c r="L3" s="11" t="s">
        <v>40</v>
      </c>
      <c r="M3" s="11" t="s">
        <v>40</v>
      </c>
      <c r="N3" s="236"/>
      <c r="O3" s="116"/>
      <c r="P3" s="112">
        <f t="shared" si="0"/>
        <v>4</v>
      </c>
      <c r="Q3" s="109">
        <f t="shared" si="1"/>
        <v>1.5</v>
      </c>
      <c r="R3" s="110">
        <f t="shared" si="2"/>
        <v>5.5</v>
      </c>
      <c r="S3">
        <v>7717</v>
      </c>
      <c r="T3">
        <v>0</v>
      </c>
      <c r="U3">
        <v>10</v>
      </c>
      <c r="V3">
        <v>8</v>
      </c>
      <c r="W3">
        <v>6692</v>
      </c>
      <c r="X3">
        <v>75</v>
      </c>
      <c r="Y3">
        <v>5</v>
      </c>
      <c r="Z3">
        <v>0</v>
      </c>
      <c r="AA3">
        <v>0</v>
      </c>
      <c r="AB3">
        <v>0</v>
      </c>
      <c r="AC3">
        <v>0</v>
      </c>
      <c r="AD3">
        <v>0</v>
      </c>
      <c r="AE3">
        <v>5</v>
      </c>
      <c r="AF3">
        <v>0</v>
      </c>
      <c r="AG3">
        <v>139</v>
      </c>
      <c r="AH3">
        <v>0</v>
      </c>
      <c r="AI3">
        <v>0</v>
      </c>
      <c r="AJ3">
        <v>783</v>
      </c>
      <c r="AK3">
        <v>0</v>
      </c>
    </row>
    <row r="4" spans="1:37" x14ac:dyDescent="0.3">
      <c r="A4" s="221">
        <v>3</v>
      </c>
      <c r="B4" s="118">
        <v>90</v>
      </c>
      <c r="C4" s="118"/>
      <c r="D4" s="119" t="s">
        <v>45</v>
      </c>
      <c r="E4" s="120" t="s">
        <v>46</v>
      </c>
      <c r="F4" s="120" t="s">
        <v>47</v>
      </c>
      <c r="G4" s="120" t="s">
        <v>48</v>
      </c>
      <c r="H4" s="120" t="s">
        <v>469</v>
      </c>
      <c r="I4" s="121"/>
      <c r="J4" s="121"/>
      <c r="K4" s="2" t="s">
        <v>49</v>
      </c>
      <c r="L4" s="11" t="s">
        <v>40</v>
      </c>
      <c r="M4" s="11" t="s">
        <v>40</v>
      </c>
      <c r="N4" s="236"/>
      <c r="O4" s="116"/>
      <c r="P4" s="112">
        <f t="shared" si="0"/>
        <v>12</v>
      </c>
      <c r="Q4" s="109">
        <f t="shared" si="1"/>
        <v>6.5</v>
      </c>
      <c r="R4" s="110">
        <f t="shared" si="2"/>
        <v>18.5</v>
      </c>
      <c r="S4">
        <v>3177</v>
      </c>
      <c r="T4">
        <v>0</v>
      </c>
      <c r="U4">
        <v>0</v>
      </c>
      <c r="V4">
        <v>0</v>
      </c>
      <c r="W4">
        <v>0</v>
      </c>
      <c r="X4">
        <v>4</v>
      </c>
      <c r="Y4">
        <v>74</v>
      </c>
      <c r="Z4">
        <v>0</v>
      </c>
      <c r="AA4">
        <v>0</v>
      </c>
      <c r="AB4">
        <v>0</v>
      </c>
      <c r="AC4">
        <v>0</v>
      </c>
      <c r="AD4">
        <v>0</v>
      </c>
      <c r="AE4">
        <v>2449</v>
      </c>
      <c r="AF4">
        <v>0</v>
      </c>
      <c r="AG4">
        <v>0</v>
      </c>
      <c r="AH4">
        <v>135</v>
      </c>
      <c r="AI4">
        <v>0</v>
      </c>
      <c r="AJ4">
        <v>0</v>
      </c>
      <c r="AK4">
        <v>515</v>
      </c>
    </row>
    <row r="5" spans="1:37" x14ac:dyDescent="0.3">
      <c r="A5" s="221">
        <v>4</v>
      </c>
      <c r="B5" s="118">
        <v>2</v>
      </c>
      <c r="C5" s="118"/>
      <c r="D5" s="119" t="s">
        <v>50</v>
      </c>
      <c r="E5" s="129" t="s">
        <v>56</v>
      </c>
      <c r="F5" s="129" t="s">
        <v>57</v>
      </c>
      <c r="G5" s="129" t="s">
        <v>44</v>
      </c>
      <c r="H5" s="120" t="s">
        <v>469</v>
      </c>
      <c r="I5" s="130" t="s">
        <v>55</v>
      </c>
      <c r="J5" s="130"/>
      <c r="K5" s="111"/>
      <c r="L5" s="111"/>
      <c r="M5" s="111"/>
      <c r="N5" s="238"/>
      <c r="O5" s="116"/>
      <c r="P5" s="112">
        <f t="shared" si="0"/>
        <v>4</v>
      </c>
      <c r="Q5" s="109">
        <f t="shared" si="1"/>
        <v>1.5</v>
      </c>
      <c r="R5" s="110">
        <f t="shared" si="2"/>
        <v>5.5</v>
      </c>
      <c r="S5">
        <v>8</v>
      </c>
      <c r="T5">
        <v>0</v>
      </c>
      <c r="U5">
        <v>0</v>
      </c>
      <c r="V5">
        <v>0</v>
      </c>
      <c r="W5">
        <v>0</v>
      </c>
      <c r="X5">
        <v>0</v>
      </c>
      <c r="Y5">
        <v>8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</row>
    <row r="6" spans="1:37" x14ac:dyDescent="0.3">
      <c r="A6" s="221">
        <v>5</v>
      </c>
      <c r="B6" s="131">
        <v>55</v>
      </c>
      <c r="C6" s="131"/>
      <c r="D6" s="132" t="s">
        <v>67</v>
      </c>
      <c r="E6" s="133" t="s">
        <v>68</v>
      </c>
      <c r="F6" s="133" t="s">
        <v>69</v>
      </c>
      <c r="G6" s="133" t="s">
        <v>53</v>
      </c>
      <c r="H6" s="133" t="s">
        <v>469</v>
      </c>
      <c r="I6" s="134"/>
      <c r="J6" s="134"/>
      <c r="K6" s="2" t="s">
        <v>70</v>
      </c>
      <c r="L6" s="11" t="s">
        <v>40</v>
      </c>
      <c r="M6" s="11" t="s">
        <v>40</v>
      </c>
      <c r="N6" s="236"/>
      <c r="O6" s="116"/>
      <c r="P6" s="112">
        <f t="shared" si="0"/>
        <v>8</v>
      </c>
      <c r="Q6" s="109">
        <f t="shared" si="1"/>
        <v>5</v>
      </c>
      <c r="R6" s="110">
        <f t="shared" si="2"/>
        <v>13</v>
      </c>
      <c r="S6">
        <v>6712</v>
      </c>
      <c r="T6">
        <v>0</v>
      </c>
      <c r="U6">
        <v>7</v>
      </c>
      <c r="V6">
        <v>1</v>
      </c>
      <c r="W6">
        <v>6222</v>
      </c>
      <c r="X6">
        <v>140</v>
      </c>
      <c r="Y6">
        <v>24</v>
      </c>
      <c r="Z6">
        <v>0</v>
      </c>
      <c r="AA6">
        <v>0</v>
      </c>
      <c r="AB6">
        <v>0</v>
      </c>
      <c r="AC6">
        <v>0</v>
      </c>
      <c r="AD6">
        <v>0</v>
      </c>
      <c r="AE6">
        <v>18</v>
      </c>
      <c r="AF6">
        <v>0</v>
      </c>
      <c r="AG6">
        <v>2</v>
      </c>
      <c r="AH6">
        <v>0</v>
      </c>
      <c r="AI6">
        <v>0</v>
      </c>
      <c r="AJ6">
        <v>286</v>
      </c>
      <c r="AK6">
        <v>12</v>
      </c>
    </row>
    <row r="7" spans="1:37" x14ac:dyDescent="0.3">
      <c r="A7" s="221">
        <v>6</v>
      </c>
      <c r="B7" s="135">
        <v>55.1</v>
      </c>
      <c r="C7" s="135"/>
      <c r="D7" s="132" t="s">
        <v>67</v>
      </c>
      <c r="E7" s="136" t="s">
        <v>71</v>
      </c>
      <c r="F7" s="133" t="s">
        <v>72</v>
      </c>
      <c r="G7" s="133" t="s">
        <v>44</v>
      </c>
      <c r="H7" s="133" t="s">
        <v>469</v>
      </c>
      <c r="I7" s="134"/>
      <c r="J7" s="134"/>
      <c r="K7" s="2" t="s">
        <v>70</v>
      </c>
      <c r="L7" s="11" t="s">
        <v>40</v>
      </c>
      <c r="M7" s="11" t="s">
        <v>40</v>
      </c>
      <c r="N7" s="236"/>
      <c r="O7" s="116"/>
      <c r="P7" s="112">
        <f t="shared" si="0"/>
        <v>4</v>
      </c>
      <c r="Q7" s="109">
        <f t="shared" si="1"/>
        <v>1.5</v>
      </c>
      <c r="R7" s="110">
        <f t="shared" si="2"/>
        <v>5.5</v>
      </c>
      <c r="S7">
        <v>7131</v>
      </c>
      <c r="T7">
        <v>0</v>
      </c>
      <c r="U7">
        <v>7</v>
      </c>
      <c r="V7">
        <v>1</v>
      </c>
      <c r="W7">
        <v>6631</v>
      </c>
      <c r="X7">
        <v>148</v>
      </c>
      <c r="Y7">
        <v>27</v>
      </c>
      <c r="Z7">
        <v>0</v>
      </c>
      <c r="AA7">
        <v>0</v>
      </c>
      <c r="AB7">
        <v>0</v>
      </c>
      <c r="AC7">
        <v>0</v>
      </c>
      <c r="AD7">
        <v>0</v>
      </c>
      <c r="AE7">
        <v>18</v>
      </c>
      <c r="AF7">
        <v>0</v>
      </c>
      <c r="AG7">
        <v>2</v>
      </c>
      <c r="AH7">
        <v>0</v>
      </c>
      <c r="AI7">
        <v>0</v>
      </c>
      <c r="AJ7">
        <v>285</v>
      </c>
      <c r="AK7">
        <v>12</v>
      </c>
    </row>
    <row r="8" spans="1:37" x14ac:dyDescent="0.3">
      <c r="A8" s="221">
        <v>7</v>
      </c>
      <c r="B8" s="131">
        <v>56</v>
      </c>
      <c r="C8" s="131"/>
      <c r="D8" s="137" t="s">
        <v>67</v>
      </c>
      <c r="E8" s="138" t="s">
        <v>73</v>
      </c>
      <c r="F8" s="139" t="s">
        <v>74</v>
      </c>
      <c r="G8" s="139" t="s">
        <v>53</v>
      </c>
      <c r="H8" s="133" t="s">
        <v>469</v>
      </c>
      <c r="I8" s="140" t="s">
        <v>55</v>
      </c>
      <c r="J8" s="140"/>
      <c r="K8" s="111"/>
      <c r="L8" s="111"/>
      <c r="M8" s="111"/>
      <c r="N8" s="238"/>
      <c r="O8" s="116"/>
      <c r="P8" s="112">
        <f t="shared" si="0"/>
        <v>8</v>
      </c>
      <c r="Q8" s="109">
        <f t="shared" si="1"/>
        <v>5</v>
      </c>
      <c r="R8" s="110">
        <f t="shared" si="2"/>
        <v>13</v>
      </c>
      <c r="S8">
        <v>6</v>
      </c>
      <c r="T8">
        <v>0</v>
      </c>
      <c r="U8">
        <v>0</v>
      </c>
      <c r="V8">
        <v>0</v>
      </c>
      <c r="W8">
        <v>0</v>
      </c>
      <c r="X8">
        <v>0</v>
      </c>
      <c r="Y8">
        <v>6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</row>
    <row r="9" spans="1:37" x14ac:dyDescent="0.3">
      <c r="A9" s="221">
        <v>8</v>
      </c>
      <c r="B9" s="131">
        <v>56.1</v>
      </c>
      <c r="C9" s="131"/>
      <c r="D9" s="137" t="s">
        <v>67</v>
      </c>
      <c r="E9" s="141" t="s">
        <v>75</v>
      </c>
      <c r="F9" s="142" t="s">
        <v>76</v>
      </c>
      <c r="G9" s="143" t="s">
        <v>53</v>
      </c>
      <c r="H9" s="133" t="s">
        <v>469</v>
      </c>
      <c r="I9" s="140" t="s">
        <v>55</v>
      </c>
      <c r="J9" s="140"/>
      <c r="K9" s="111"/>
      <c r="L9" s="111"/>
      <c r="M9" s="111"/>
      <c r="N9" s="238"/>
      <c r="O9" s="116"/>
      <c r="P9" s="112">
        <f t="shared" si="0"/>
        <v>8</v>
      </c>
      <c r="Q9" s="109">
        <f t="shared" si="1"/>
        <v>5</v>
      </c>
      <c r="R9" s="110">
        <f t="shared" si="2"/>
        <v>13</v>
      </c>
      <c r="S9">
        <v>1</v>
      </c>
      <c r="T9">
        <v>0</v>
      </c>
      <c r="U9">
        <v>0</v>
      </c>
      <c r="V9">
        <v>0</v>
      </c>
      <c r="W9">
        <v>0</v>
      </c>
      <c r="X9">
        <v>0</v>
      </c>
      <c r="Y9">
        <v>1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</row>
    <row r="10" spans="1:37" x14ac:dyDescent="0.3">
      <c r="A10" s="221">
        <v>9</v>
      </c>
      <c r="B10" s="131">
        <v>57</v>
      </c>
      <c r="C10" s="131"/>
      <c r="D10" s="137" t="s">
        <v>67</v>
      </c>
      <c r="E10" s="138" t="s">
        <v>77</v>
      </c>
      <c r="F10" s="139" t="s">
        <v>78</v>
      </c>
      <c r="G10" s="139" t="s">
        <v>44</v>
      </c>
      <c r="H10" s="133" t="s">
        <v>469</v>
      </c>
      <c r="I10" s="140" t="s">
        <v>55</v>
      </c>
      <c r="J10" s="140"/>
      <c r="K10" s="111"/>
      <c r="L10" s="111"/>
      <c r="M10" s="111"/>
      <c r="N10" s="238"/>
      <c r="O10" s="116"/>
      <c r="P10" s="112">
        <f t="shared" si="0"/>
        <v>4</v>
      </c>
      <c r="Q10" s="109">
        <f t="shared" si="1"/>
        <v>1.5</v>
      </c>
      <c r="R10" s="110">
        <f t="shared" si="2"/>
        <v>5.5</v>
      </c>
      <c r="S10">
        <v>6</v>
      </c>
      <c r="T10">
        <v>0</v>
      </c>
      <c r="U10">
        <v>0</v>
      </c>
      <c r="V10">
        <v>0</v>
      </c>
      <c r="W10">
        <v>0</v>
      </c>
      <c r="X10">
        <v>0</v>
      </c>
      <c r="Y10">
        <v>6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</row>
    <row r="11" spans="1:37" x14ac:dyDescent="0.3">
      <c r="A11" s="221">
        <v>10</v>
      </c>
      <c r="B11" s="131">
        <v>57.1</v>
      </c>
      <c r="C11" s="131"/>
      <c r="D11" s="137" t="s">
        <v>67</v>
      </c>
      <c r="E11" s="144" t="s">
        <v>79</v>
      </c>
      <c r="F11" s="139" t="s">
        <v>80</v>
      </c>
      <c r="G11" s="139"/>
      <c r="H11" s="133" t="s">
        <v>469</v>
      </c>
      <c r="I11" s="140" t="s">
        <v>55</v>
      </c>
      <c r="J11" s="140"/>
      <c r="K11" s="111"/>
      <c r="L11" s="111"/>
      <c r="M11" s="111"/>
      <c r="N11" s="238"/>
      <c r="O11" s="116"/>
      <c r="P11" s="112" t="str">
        <f t="shared" si="0"/>
        <v/>
      </c>
      <c r="Q11" s="109" t="str">
        <f t="shared" si="1"/>
        <v/>
      </c>
      <c r="R11" s="110" t="str">
        <f t="shared" si="2"/>
        <v/>
      </c>
      <c r="S11">
        <v>7</v>
      </c>
      <c r="T11">
        <v>0</v>
      </c>
      <c r="U11">
        <v>0</v>
      </c>
      <c r="V11">
        <v>0</v>
      </c>
      <c r="W11">
        <v>0</v>
      </c>
      <c r="X11">
        <v>0</v>
      </c>
      <c r="Y11">
        <v>7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</row>
    <row r="12" spans="1:37" x14ac:dyDescent="0.3">
      <c r="A12" s="221">
        <v>11</v>
      </c>
      <c r="B12" s="131">
        <v>57.2</v>
      </c>
      <c r="C12" s="131"/>
      <c r="D12" s="137" t="s">
        <v>67</v>
      </c>
      <c r="E12" s="145" t="s">
        <v>81</v>
      </c>
      <c r="F12" s="146" t="s">
        <v>82</v>
      </c>
      <c r="G12" s="146"/>
      <c r="H12" s="133" t="s">
        <v>469</v>
      </c>
      <c r="I12" s="140"/>
      <c r="J12" s="140"/>
      <c r="K12" s="2" t="s">
        <v>70</v>
      </c>
      <c r="L12" s="11" t="s">
        <v>40</v>
      </c>
      <c r="M12" s="11" t="s">
        <v>40</v>
      </c>
      <c r="N12" s="236"/>
      <c r="O12" s="116"/>
      <c r="P12" s="112" t="str">
        <f t="shared" si="0"/>
        <v/>
      </c>
      <c r="Q12" s="109" t="str">
        <f t="shared" si="1"/>
        <v/>
      </c>
      <c r="R12" s="110" t="str">
        <f t="shared" si="2"/>
        <v/>
      </c>
      <c r="S12">
        <v>9</v>
      </c>
      <c r="T12">
        <v>0</v>
      </c>
      <c r="U12">
        <v>0</v>
      </c>
      <c r="V12">
        <v>0</v>
      </c>
      <c r="W12">
        <v>8</v>
      </c>
      <c r="X12">
        <v>0</v>
      </c>
      <c r="Y12">
        <v>1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</row>
    <row r="13" spans="1:37" x14ac:dyDescent="0.3">
      <c r="A13" s="221">
        <v>12</v>
      </c>
      <c r="B13" s="118">
        <v>53</v>
      </c>
      <c r="C13" s="118"/>
      <c r="D13" s="119" t="s">
        <v>83</v>
      </c>
      <c r="E13" s="122" t="s">
        <v>84</v>
      </c>
      <c r="F13" s="122" t="s">
        <v>85</v>
      </c>
      <c r="G13" s="122" t="s">
        <v>86</v>
      </c>
      <c r="H13" s="122" t="s">
        <v>467</v>
      </c>
      <c r="I13" s="123"/>
      <c r="J13" s="123"/>
      <c r="K13" s="75" t="s">
        <v>70</v>
      </c>
      <c r="L13" s="75" t="s">
        <v>41</v>
      </c>
      <c r="M13" s="78" t="s">
        <v>87</v>
      </c>
      <c r="N13" s="239"/>
      <c r="O13" s="116"/>
      <c r="P13" s="112">
        <f t="shared" si="0"/>
        <v>18</v>
      </c>
      <c r="Q13" s="109">
        <f t="shared" si="1"/>
        <v>8</v>
      </c>
      <c r="R13" s="110">
        <f t="shared" si="2"/>
        <v>26</v>
      </c>
      <c r="S13">
        <v>1882930</v>
      </c>
      <c r="T13">
        <v>29</v>
      </c>
      <c r="U13">
        <v>209940</v>
      </c>
      <c r="V13">
        <v>126322</v>
      </c>
      <c r="W13">
        <v>380608</v>
      </c>
      <c r="X13">
        <v>30035</v>
      </c>
      <c r="Y13">
        <v>2244</v>
      </c>
      <c r="Z13">
        <v>144</v>
      </c>
      <c r="AA13">
        <v>0</v>
      </c>
      <c r="AB13">
        <v>55790</v>
      </c>
      <c r="AC13">
        <v>16044</v>
      </c>
      <c r="AD13">
        <v>24541</v>
      </c>
      <c r="AE13">
        <v>32769</v>
      </c>
      <c r="AF13">
        <v>1904</v>
      </c>
      <c r="AG13">
        <v>15414</v>
      </c>
      <c r="AH13">
        <v>1336</v>
      </c>
      <c r="AI13">
        <v>38</v>
      </c>
      <c r="AJ13">
        <v>918799</v>
      </c>
      <c r="AK13">
        <v>66973</v>
      </c>
    </row>
    <row r="14" spans="1:37" x14ac:dyDescent="0.3">
      <c r="A14" s="221">
        <v>13</v>
      </c>
      <c r="B14" s="118">
        <v>53.3</v>
      </c>
      <c r="C14" s="118"/>
      <c r="D14" s="119" t="s">
        <v>83</v>
      </c>
      <c r="E14" s="124" t="s">
        <v>88</v>
      </c>
      <c r="F14" s="125" t="s">
        <v>89</v>
      </c>
      <c r="G14" s="126" t="s">
        <v>53</v>
      </c>
      <c r="H14" s="122" t="s">
        <v>467</v>
      </c>
      <c r="I14" s="127"/>
      <c r="J14" s="127"/>
      <c r="K14" s="2" t="s">
        <v>70</v>
      </c>
      <c r="L14" s="11" t="s">
        <v>40</v>
      </c>
      <c r="M14" s="24" t="s">
        <v>41</v>
      </c>
      <c r="N14" s="239"/>
      <c r="O14" s="116"/>
      <c r="P14" s="112">
        <f t="shared" si="0"/>
        <v>8</v>
      </c>
      <c r="Q14" s="109">
        <f t="shared" si="1"/>
        <v>5</v>
      </c>
      <c r="R14" s="110">
        <f t="shared" si="2"/>
        <v>13</v>
      </c>
      <c r="S14">
        <v>149</v>
      </c>
      <c r="T14">
        <v>0</v>
      </c>
      <c r="U14">
        <v>10</v>
      </c>
      <c r="V14">
        <v>0</v>
      </c>
      <c r="W14">
        <v>56</v>
      </c>
      <c r="X14">
        <v>1</v>
      </c>
      <c r="Y14">
        <v>3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2</v>
      </c>
      <c r="AG14">
        <v>0</v>
      </c>
      <c r="AH14">
        <v>0</v>
      </c>
      <c r="AI14">
        <v>0</v>
      </c>
      <c r="AJ14">
        <v>76</v>
      </c>
      <c r="AK14">
        <v>1</v>
      </c>
    </row>
    <row r="15" spans="1:37" x14ac:dyDescent="0.3">
      <c r="A15" s="221">
        <v>14</v>
      </c>
      <c r="B15" s="131">
        <v>10</v>
      </c>
      <c r="C15" s="131"/>
      <c r="D15" s="132" t="s">
        <v>90</v>
      </c>
      <c r="E15" s="133" t="s">
        <v>91</v>
      </c>
      <c r="F15" s="133" t="s">
        <v>92</v>
      </c>
      <c r="G15" s="133" t="s">
        <v>53</v>
      </c>
      <c r="H15" s="133" t="s">
        <v>468</v>
      </c>
      <c r="I15" s="134"/>
      <c r="J15" s="134"/>
      <c r="K15" s="75" t="s">
        <v>70</v>
      </c>
      <c r="L15" s="75" t="s">
        <v>40</v>
      </c>
      <c r="M15" s="75" t="s">
        <v>40</v>
      </c>
      <c r="N15" s="237"/>
      <c r="O15" s="116"/>
      <c r="P15" s="112">
        <f t="shared" si="0"/>
        <v>8</v>
      </c>
      <c r="Q15" s="109">
        <f t="shared" si="1"/>
        <v>5</v>
      </c>
      <c r="R15" s="110">
        <f t="shared" si="2"/>
        <v>13</v>
      </c>
      <c r="S15">
        <v>8014</v>
      </c>
      <c r="T15">
        <v>0</v>
      </c>
      <c r="U15">
        <v>37</v>
      </c>
      <c r="V15">
        <v>8</v>
      </c>
      <c r="W15">
        <v>6506</v>
      </c>
      <c r="X15">
        <v>79</v>
      </c>
      <c r="Y15">
        <v>10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32</v>
      </c>
      <c r="AF15">
        <v>0</v>
      </c>
      <c r="AG15">
        <v>4</v>
      </c>
      <c r="AH15">
        <v>0</v>
      </c>
      <c r="AI15">
        <v>0</v>
      </c>
      <c r="AJ15">
        <v>1324</v>
      </c>
      <c r="AK15">
        <v>14</v>
      </c>
    </row>
    <row r="16" spans="1:37" x14ac:dyDescent="0.3">
      <c r="A16" s="221">
        <v>15</v>
      </c>
      <c r="B16" s="131">
        <v>13</v>
      </c>
      <c r="C16" s="131"/>
      <c r="D16" s="132" t="s">
        <v>90</v>
      </c>
      <c r="E16" s="133" t="s">
        <v>104</v>
      </c>
      <c r="F16" s="133" t="s">
        <v>105</v>
      </c>
      <c r="G16" s="147" t="s">
        <v>48</v>
      </c>
      <c r="H16" s="133" t="s">
        <v>468</v>
      </c>
      <c r="I16" s="134"/>
      <c r="J16" s="134"/>
      <c r="K16" s="75" t="s">
        <v>70</v>
      </c>
      <c r="L16" s="75" t="s">
        <v>40</v>
      </c>
      <c r="M16" s="75" t="s">
        <v>40</v>
      </c>
      <c r="N16" s="237"/>
      <c r="O16" s="116"/>
      <c r="P16" s="112">
        <f t="shared" si="0"/>
        <v>12</v>
      </c>
      <c r="Q16" s="109">
        <f t="shared" si="1"/>
        <v>6.5</v>
      </c>
      <c r="R16" s="110">
        <f t="shared" si="2"/>
        <v>18.5</v>
      </c>
      <c r="S16">
        <v>243</v>
      </c>
      <c r="T16">
        <v>0</v>
      </c>
      <c r="U16">
        <v>1</v>
      </c>
      <c r="V16">
        <v>1</v>
      </c>
      <c r="W16">
        <v>168</v>
      </c>
      <c r="X16">
        <v>6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2</v>
      </c>
      <c r="AF16">
        <v>0</v>
      </c>
      <c r="AG16">
        <v>10</v>
      </c>
      <c r="AH16">
        <v>0</v>
      </c>
      <c r="AI16">
        <v>0</v>
      </c>
      <c r="AJ16">
        <v>55</v>
      </c>
      <c r="AK16">
        <v>0</v>
      </c>
    </row>
    <row r="17" spans="1:37" x14ac:dyDescent="0.3">
      <c r="A17" s="221">
        <v>16</v>
      </c>
      <c r="B17" s="131">
        <v>9</v>
      </c>
      <c r="C17" s="131"/>
      <c r="D17" s="132" t="s">
        <v>90</v>
      </c>
      <c r="E17" s="133" t="s">
        <v>94</v>
      </c>
      <c r="F17" s="133" t="s">
        <v>95</v>
      </c>
      <c r="G17" s="147" t="s">
        <v>48</v>
      </c>
      <c r="H17" s="147" t="s">
        <v>461</v>
      </c>
      <c r="I17" s="148"/>
      <c r="J17" s="148"/>
      <c r="K17" s="24" t="s">
        <v>39</v>
      </c>
      <c r="L17" s="3" t="s">
        <v>40</v>
      </c>
      <c r="M17" s="3" t="s">
        <v>40</v>
      </c>
      <c r="N17" s="237"/>
      <c r="O17" s="116"/>
      <c r="P17" s="112">
        <f t="shared" si="0"/>
        <v>12</v>
      </c>
      <c r="Q17" s="109">
        <f t="shared" si="1"/>
        <v>6.5</v>
      </c>
      <c r="R17" s="110">
        <f t="shared" si="2"/>
        <v>18.5</v>
      </c>
      <c r="S17">
        <v>13643</v>
      </c>
      <c r="T17">
        <v>0</v>
      </c>
      <c r="U17">
        <v>20</v>
      </c>
      <c r="V17">
        <v>17</v>
      </c>
      <c r="W17">
        <v>5872</v>
      </c>
      <c r="X17">
        <v>60</v>
      </c>
      <c r="Y17">
        <v>19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141</v>
      </c>
      <c r="AF17">
        <v>73</v>
      </c>
      <c r="AG17">
        <v>689</v>
      </c>
      <c r="AH17">
        <v>0</v>
      </c>
      <c r="AI17">
        <v>4</v>
      </c>
      <c r="AJ17">
        <v>6514</v>
      </c>
      <c r="AK17">
        <v>234</v>
      </c>
    </row>
    <row r="18" spans="1:37" x14ac:dyDescent="0.3">
      <c r="A18" s="221">
        <v>17</v>
      </c>
      <c r="B18" s="131">
        <v>9.1</v>
      </c>
      <c r="C18" s="131"/>
      <c r="D18" s="132" t="s">
        <v>90</v>
      </c>
      <c r="E18" s="145" t="s">
        <v>96</v>
      </c>
      <c r="F18" s="149" t="s">
        <v>97</v>
      </c>
      <c r="G18" s="149" t="s">
        <v>98</v>
      </c>
      <c r="H18" s="147" t="s">
        <v>461</v>
      </c>
      <c r="I18" s="148"/>
      <c r="J18" s="148"/>
      <c r="K18" s="24" t="s">
        <v>39</v>
      </c>
      <c r="L18" s="3" t="s">
        <v>40</v>
      </c>
      <c r="M18" s="3" t="s">
        <v>40</v>
      </c>
      <c r="N18" s="237"/>
      <c r="O18" s="116"/>
      <c r="P18" s="112">
        <f t="shared" si="0"/>
        <v>18</v>
      </c>
      <c r="Q18" s="109">
        <f t="shared" si="1"/>
        <v>8</v>
      </c>
      <c r="R18" s="110">
        <f t="shared" si="2"/>
        <v>26</v>
      </c>
      <c r="S18">
        <v>21740</v>
      </c>
      <c r="T18">
        <v>0</v>
      </c>
      <c r="U18">
        <v>14</v>
      </c>
      <c r="V18">
        <v>0</v>
      </c>
      <c r="W18">
        <v>6166</v>
      </c>
      <c r="X18">
        <v>14</v>
      </c>
      <c r="Y18">
        <v>16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11</v>
      </c>
      <c r="AF18">
        <v>0</v>
      </c>
      <c r="AG18">
        <v>1295</v>
      </c>
      <c r="AH18">
        <v>0</v>
      </c>
      <c r="AI18">
        <v>0</v>
      </c>
      <c r="AJ18">
        <v>14216</v>
      </c>
      <c r="AK18">
        <v>8</v>
      </c>
    </row>
    <row r="19" spans="1:37" x14ac:dyDescent="0.3">
      <c r="A19" s="221">
        <v>18</v>
      </c>
      <c r="B19" s="131">
        <v>9.1999999999999993</v>
      </c>
      <c r="C19" s="131"/>
      <c r="D19" s="132" t="s">
        <v>90</v>
      </c>
      <c r="E19" s="150" t="s">
        <v>99</v>
      </c>
      <c r="F19" s="151" t="s">
        <v>100</v>
      </c>
      <c r="G19" s="152" t="s">
        <v>53</v>
      </c>
      <c r="H19" s="147" t="s">
        <v>461</v>
      </c>
      <c r="I19" s="148"/>
      <c r="J19" s="148"/>
      <c r="K19" s="24" t="s">
        <v>39</v>
      </c>
      <c r="L19" s="3" t="s">
        <v>40</v>
      </c>
      <c r="M19" s="3" t="s">
        <v>40</v>
      </c>
      <c r="N19" s="237"/>
      <c r="O19" s="116" t="s">
        <v>101</v>
      </c>
      <c r="P19" s="112">
        <f t="shared" si="0"/>
        <v>8</v>
      </c>
      <c r="Q19" s="109">
        <f t="shared" si="1"/>
        <v>5</v>
      </c>
      <c r="R19" s="110">
        <f t="shared" si="2"/>
        <v>13</v>
      </c>
      <c r="S19">
        <v>21221</v>
      </c>
      <c r="T19">
        <v>0</v>
      </c>
      <c r="U19">
        <v>7</v>
      </c>
      <c r="V19">
        <v>0</v>
      </c>
      <c r="W19">
        <v>5892</v>
      </c>
      <c r="X19">
        <v>11</v>
      </c>
      <c r="Y19">
        <v>13</v>
      </c>
      <c r="Z19">
        <v>0</v>
      </c>
      <c r="AA19">
        <v>0</v>
      </c>
      <c r="AB19">
        <v>354</v>
      </c>
      <c r="AC19">
        <v>1</v>
      </c>
      <c r="AD19">
        <v>15</v>
      </c>
      <c r="AE19">
        <v>7</v>
      </c>
      <c r="AF19">
        <v>0</v>
      </c>
      <c r="AG19">
        <v>1212</v>
      </c>
      <c r="AH19">
        <v>0</v>
      </c>
      <c r="AI19">
        <v>0</v>
      </c>
      <c r="AJ19">
        <v>13701</v>
      </c>
      <c r="AK19">
        <v>8</v>
      </c>
    </row>
    <row r="20" spans="1:37" x14ac:dyDescent="0.3">
      <c r="A20" s="221">
        <v>19</v>
      </c>
      <c r="B20" s="231">
        <v>9.3000000000000007</v>
      </c>
      <c r="C20" s="231"/>
      <c r="D20" s="232" t="s">
        <v>83</v>
      </c>
      <c r="E20" s="233" t="s">
        <v>102</v>
      </c>
      <c r="F20" s="234" t="s">
        <v>103</v>
      </c>
      <c r="G20" s="234" t="s">
        <v>53</v>
      </c>
      <c r="H20" s="147" t="s">
        <v>461</v>
      </c>
      <c r="I20" s="235"/>
      <c r="J20" s="235"/>
      <c r="K20" s="2" t="s">
        <v>70</v>
      </c>
      <c r="L20" s="3" t="s">
        <v>41</v>
      </c>
      <c r="M20" s="12" t="s">
        <v>87</v>
      </c>
      <c r="N20" s="239"/>
      <c r="O20" s="116"/>
      <c r="P20" s="112">
        <f t="shared" si="0"/>
        <v>8</v>
      </c>
      <c r="Q20" s="109">
        <f t="shared" si="1"/>
        <v>5</v>
      </c>
      <c r="R20" s="110">
        <f t="shared" si="2"/>
        <v>13</v>
      </c>
      <c r="S20">
        <v>803806</v>
      </c>
      <c r="T20">
        <v>42</v>
      </c>
      <c r="U20">
        <v>42861</v>
      </c>
      <c r="V20">
        <v>21252</v>
      </c>
      <c r="W20">
        <v>107110</v>
      </c>
      <c r="X20">
        <v>12140</v>
      </c>
      <c r="Y20">
        <v>679</v>
      </c>
      <c r="Z20">
        <v>16</v>
      </c>
      <c r="AA20">
        <v>0</v>
      </c>
      <c r="AB20">
        <v>38253</v>
      </c>
      <c r="AC20">
        <v>4824</v>
      </c>
      <c r="AD20">
        <v>8675</v>
      </c>
      <c r="AE20">
        <v>18001</v>
      </c>
      <c r="AF20">
        <v>333</v>
      </c>
      <c r="AG20">
        <v>2988</v>
      </c>
      <c r="AH20">
        <v>397</v>
      </c>
      <c r="AI20">
        <v>3</v>
      </c>
      <c r="AJ20">
        <v>514880</v>
      </c>
      <c r="AK20">
        <v>31352</v>
      </c>
    </row>
    <row r="21" spans="1:37" x14ac:dyDescent="0.3">
      <c r="A21" s="221">
        <v>20</v>
      </c>
      <c r="B21" s="131">
        <v>14</v>
      </c>
      <c r="C21" s="131"/>
      <c r="D21" s="132" t="s">
        <v>90</v>
      </c>
      <c r="E21" s="133" t="s">
        <v>107</v>
      </c>
      <c r="F21" s="133" t="s">
        <v>108</v>
      </c>
      <c r="G21" s="147" t="s">
        <v>53</v>
      </c>
      <c r="H21" s="147" t="s">
        <v>93</v>
      </c>
      <c r="I21" s="134"/>
      <c r="J21" s="134"/>
      <c r="K21" s="75" t="s">
        <v>70</v>
      </c>
      <c r="L21" s="75" t="s">
        <v>40</v>
      </c>
      <c r="M21" s="75" t="s">
        <v>40</v>
      </c>
      <c r="N21" s="237"/>
      <c r="O21" s="116"/>
      <c r="P21" s="112">
        <f t="shared" si="0"/>
        <v>8</v>
      </c>
      <c r="Q21" s="109">
        <f t="shared" si="1"/>
        <v>5</v>
      </c>
      <c r="R21" s="110">
        <f t="shared" si="2"/>
        <v>13</v>
      </c>
      <c r="S21">
        <v>258</v>
      </c>
      <c r="T21">
        <v>0</v>
      </c>
      <c r="U21">
        <v>0</v>
      </c>
      <c r="V21">
        <v>0</v>
      </c>
      <c r="W21">
        <v>4</v>
      </c>
      <c r="X21">
        <v>1</v>
      </c>
      <c r="Y21">
        <v>1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2</v>
      </c>
      <c r="AF21">
        <v>0</v>
      </c>
      <c r="AG21">
        <v>0</v>
      </c>
      <c r="AH21">
        <v>0</v>
      </c>
      <c r="AI21">
        <v>0</v>
      </c>
      <c r="AJ21">
        <v>250</v>
      </c>
      <c r="AK21">
        <v>0</v>
      </c>
    </row>
    <row r="22" spans="1:37" x14ac:dyDescent="0.3">
      <c r="A22" s="221">
        <v>21</v>
      </c>
      <c r="B22" s="131">
        <v>8</v>
      </c>
      <c r="C22" s="131"/>
      <c r="D22" s="132" t="s">
        <v>90</v>
      </c>
      <c r="E22" s="133" t="s">
        <v>109</v>
      </c>
      <c r="F22" s="133" t="s">
        <v>110</v>
      </c>
      <c r="G22" s="147" t="s">
        <v>48</v>
      </c>
      <c r="H22" s="147" t="s">
        <v>93</v>
      </c>
      <c r="I22" s="148"/>
      <c r="J22" s="148"/>
      <c r="K22" s="3" t="s">
        <v>70</v>
      </c>
      <c r="L22" s="3" t="s">
        <v>40</v>
      </c>
      <c r="M22" s="3" t="s">
        <v>40</v>
      </c>
      <c r="N22" s="237"/>
      <c r="O22" s="116"/>
      <c r="P22" s="112">
        <f t="shared" si="0"/>
        <v>12</v>
      </c>
      <c r="Q22" s="109">
        <f t="shared" si="1"/>
        <v>6.5</v>
      </c>
      <c r="R22" s="110">
        <f t="shared" si="2"/>
        <v>18.5</v>
      </c>
      <c r="S22">
        <v>73912</v>
      </c>
      <c r="T22">
        <v>0</v>
      </c>
      <c r="U22">
        <v>908</v>
      </c>
      <c r="V22">
        <v>551</v>
      </c>
      <c r="W22">
        <v>66145</v>
      </c>
      <c r="X22">
        <v>5070</v>
      </c>
      <c r="Y22">
        <v>43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1027</v>
      </c>
      <c r="AF22">
        <v>0</v>
      </c>
      <c r="AG22">
        <v>0</v>
      </c>
      <c r="AH22">
        <v>1</v>
      </c>
      <c r="AI22">
        <v>0</v>
      </c>
      <c r="AJ22">
        <v>125</v>
      </c>
      <c r="AK22">
        <v>42</v>
      </c>
    </row>
    <row r="23" spans="1:37" x14ac:dyDescent="0.3">
      <c r="A23" s="221">
        <v>22</v>
      </c>
      <c r="B23" s="131">
        <v>8.1</v>
      </c>
      <c r="C23" s="131"/>
      <c r="D23" s="132" t="s">
        <v>90</v>
      </c>
      <c r="E23" s="150" t="s">
        <v>111</v>
      </c>
      <c r="F23" s="151" t="s">
        <v>112</v>
      </c>
      <c r="G23" s="245" t="s">
        <v>48</v>
      </c>
      <c r="H23" s="147" t="s">
        <v>93</v>
      </c>
      <c r="I23" s="148"/>
      <c r="J23" s="148"/>
      <c r="K23" s="3" t="s">
        <v>70</v>
      </c>
      <c r="L23" s="3" t="s">
        <v>40</v>
      </c>
      <c r="M23" s="3" t="s">
        <v>40</v>
      </c>
      <c r="N23" s="237"/>
      <c r="O23" s="116"/>
      <c r="P23" s="112">
        <f t="shared" si="0"/>
        <v>12</v>
      </c>
      <c r="Q23" s="109">
        <f t="shared" si="1"/>
        <v>6.5</v>
      </c>
      <c r="R23" s="110">
        <f t="shared" si="2"/>
        <v>18.5</v>
      </c>
      <c r="S23">
        <v>1353</v>
      </c>
      <c r="T23">
        <v>0</v>
      </c>
      <c r="U23">
        <v>0</v>
      </c>
      <c r="V23">
        <v>0</v>
      </c>
      <c r="W23">
        <v>1341</v>
      </c>
      <c r="X23">
        <v>8</v>
      </c>
      <c r="Y23">
        <v>3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1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</row>
    <row r="24" spans="1:37" x14ac:dyDescent="0.3">
      <c r="A24" s="221">
        <v>23</v>
      </c>
      <c r="B24" s="188">
        <v>103</v>
      </c>
      <c r="C24" s="188" t="s">
        <v>471</v>
      </c>
      <c r="D24" s="189" t="s">
        <v>113</v>
      </c>
      <c r="E24" s="191" t="s">
        <v>120</v>
      </c>
      <c r="F24" s="191" t="s">
        <v>121</v>
      </c>
      <c r="G24" s="191" t="s">
        <v>48</v>
      </c>
      <c r="H24" s="191" t="s">
        <v>93</v>
      </c>
      <c r="I24" s="194"/>
      <c r="J24" s="195">
        <f>SUM(P24:P27)</f>
        <v>48</v>
      </c>
      <c r="K24" s="24" t="s">
        <v>39</v>
      </c>
      <c r="L24" s="11" t="s">
        <v>40</v>
      </c>
      <c r="M24" s="11" t="s">
        <v>40</v>
      </c>
      <c r="N24" s="241">
        <v>46328</v>
      </c>
      <c r="O24" s="116"/>
      <c r="P24" s="112">
        <f t="shared" si="0"/>
        <v>12</v>
      </c>
      <c r="Q24" s="109">
        <f t="shared" si="1"/>
        <v>6.5</v>
      </c>
      <c r="R24" s="110">
        <f t="shared" si="2"/>
        <v>18.5</v>
      </c>
      <c r="S24">
        <v>460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1</v>
      </c>
      <c r="AC24">
        <v>0</v>
      </c>
      <c r="AD24">
        <v>0</v>
      </c>
      <c r="AE24">
        <v>1</v>
      </c>
      <c r="AF24">
        <v>0</v>
      </c>
      <c r="AG24">
        <v>0</v>
      </c>
      <c r="AH24">
        <v>0</v>
      </c>
      <c r="AI24">
        <v>0</v>
      </c>
      <c r="AJ24">
        <v>458</v>
      </c>
      <c r="AK24">
        <v>0</v>
      </c>
    </row>
    <row r="25" spans="1:37" x14ac:dyDescent="0.3">
      <c r="A25" s="221">
        <v>24</v>
      </c>
      <c r="B25" s="188">
        <v>104</v>
      </c>
      <c r="C25" s="188" t="s">
        <v>471</v>
      </c>
      <c r="D25" s="189" t="s">
        <v>113</v>
      </c>
      <c r="E25" s="191" t="s">
        <v>116</v>
      </c>
      <c r="F25" s="191" t="s">
        <v>117</v>
      </c>
      <c r="G25" s="191" t="s">
        <v>48</v>
      </c>
      <c r="H25" s="191" t="s">
        <v>93</v>
      </c>
      <c r="I25" s="194"/>
      <c r="J25" s="194"/>
      <c r="K25" s="24" t="s">
        <v>39</v>
      </c>
      <c r="L25" s="11" t="s">
        <v>40</v>
      </c>
      <c r="M25" s="11" t="s">
        <v>40</v>
      </c>
      <c r="N25" s="241"/>
      <c r="O25" s="116"/>
      <c r="P25" s="112">
        <f t="shared" si="0"/>
        <v>12</v>
      </c>
      <c r="Q25" s="109">
        <f t="shared" si="1"/>
        <v>6.5</v>
      </c>
      <c r="R25" s="110">
        <f t="shared" si="2"/>
        <v>18.5</v>
      </c>
      <c r="S25">
        <v>140</v>
      </c>
      <c r="T25">
        <v>0</v>
      </c>
      <c r="U25">
        <v>0</v>
      </c>
      <c r="V25">
        <v>0</v>
      </c>
      <c r="W25">
        <v>0</v>
      </c>
      <c r="X25">
        <v>1</v>
      </c>
      <c r="Y25">
        <v>1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8</v>
      </c>
      <c r="AF25">
        <v>0</v>
      </c>
      <c r="AG25">
        <v>0</v>
      </c>
      <c r="AH25">
        <v>0</v>
      </c>
      <c r="AI25">
        <v>0</v>
      </c>
      <c r="AJ25">
        <v>84</v>
      </c>
      <c r="AK25">
        <v>46</v>
      </c>
    </row>
    <row r="26" spans="1:37" x14ac:dyDescent="0.3">
      <c r="A26" s="221">
        <v>25</v>
      </c>
      <c r="B26" s="188">
        <v>102</v>
      </c>
      <c r="C26" s="188" t="s">
        <v>471</v>
      </c>
      <c r="D26" s="189" t="s">
        <v>113</v>
      </c>
      <c r="E26" s="191" t="s">
        <v>114</v>
      </c>
      <c r="F26" s="191" t="s">
        <v>115</v>
      </c>
      <c r="G26" s="191" t="s">
        <v>48</v>
      </c>
      <c r="H26" s="193"/>
      <c r="I26" s="194"/>
      <c r="J26" s="195"/>
      <c r="K26" s="24" t="s">
        <v>39</v>
      </c>
      <c r="L26" s="11" t="s">
        <v>40</v>
      </c>
      <c r="M26" s="11" t="s">
        <v>40</v>
      </c>
      <c r="N26" s="241"/>
      <c r="O26" s="116"/>
      <c r="P26" s="112">
        <f t="shared" si="0"/>
        <v>12</v>
      </c>
      <c r="Q26" s="109">
        <f t="shared" si="1"/>
        <v>6.5</v>
      </c>
      <c r="R26" s="110">
        <f t="shared" si="2"/>
        <v>18.5</v>
      </c>
      <c r="S26">
        <v>126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4</v>
      </c>
      <c r="AF26">
        <v>0</v>
      </c>
      <c r="AG26">
        <v>0</v>
      </c>
      <c r="AH26">
        <v>0</v>
      </c>
      <c r="AI26">
        <v>0</v>
      </c>
      <c r="AJ26">
        <v>74</v>
      </c>
      <c r="AK26">
        <v>48</v>
      </c>
    </row>
    <row r="27" spans="1:37" x14ac:dyDescent="0.3">
      <c r="A27" s="221">
        <v>26</v>
      </c>
      <c r="B27" s="188">
        <v>111</v>
      </c>
      <c r="C27" s="188" t="s">
        <v>471</v>
      </c>
      <c r="D27" s="189" t="s">
        <v>113</v>
      </c>
      <c r="E27" s="201" t="s">
        <v>118</v>
      </c>
      <c r="F27" s="191" t="s">
        <v>119</v>
      </c>
      <c r="G27" s="191" t="s">
        <v>48</v>
      </c>
      <c r="H27" s="193"/>
      <c r="I27" s="194"/>
      <c r="J27" s="194"/>
      <c r="K27" s="3" t="s">
        <v>40</v>
      </c>
      <c r="L27" s="3" t="s">
        <v>87</v>
      </c>
      <c r="M27" s="11" t="s">
        <v>40</v>
      </c>
      <c r="N27" s="241"/>
      <c r="O27" s="116"/>
      <c r="P27" s="112">
        <f t="shared" si="0"/>
        <v>12</v>
      </c>
      <c r="Q27" s="109">
        <f t="shared" si="1"/>
        <v>6.5</v>
      </c>
      <c r="R27" s="110">
        <f t="shared" si="2"/>
        <v>18.5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</row>
    <row r="28" spans="1:37" x14ac:dyDescent="0.3">
      <c r="A28" s="221">
        <v>27</v>
      </c>
      <c r="B28" s="156">
        <v>105</v>
      </c>
      <c r="C28" s="156" t="s">
        <v>472</v>
      </c>
      <c r="D28" s="157" t="s">
        <v>113</v>
      </c>
      <c r="E28" s="158" t="s">
        <v>122</v>
      </c>
      <c r="F28" s="158" t="s">
        <v>123</v>
      </c>
      <c r="G28" s="158" t="s">
        <v>53</v>
      </c>
      <c r="H28" s="159"/>
      <c r="I28" s="160"/>
      <c r="J28" s="109">
        <f>SUM(P28:P30,P33:P35)</f>
        <v>48</v>
      </c>
      <c r="K28" s="24" t="s">
        <v>39</v>
      </c>
      <c r="L28" s="11" t="s">
        <v>40</v>
      </c>
      <c r="M28" s="11" t="s">
        <v>40</v>
      </c>
      <c r="N28" s="236">
        <f>N24+21</f>
        <v>46349</v>
      </c>
      <c r="O28" s="116"/>
      <c r="P28" s="112">
        <f t="shared" si="0"/>
        <v>8</v>
      </c>
      <c r="Q28" s="109">
        <f t="shared" si="1"/>
        <v>5</v>
      </c>
      <c r="R28" s="110">
        <f t="shared" si="2"/>
        <v>13</v>
      </c>
      <c r="S28">
        <v>6575</v>
      </c>
      <c r="T28">
        <v>0</v>
      </c>
      <c r="U28">
        <v>159</v>
      </c>
      <c r="V28">
        <v>205</v>
      </c>
      <c r="W28">
        <v>806</v>
      </c>
      <c r="X28">
        <v>75</v>
      </c>
      <c r="Y28">
        <v>1</v>
      </c>
      <c r="Z28">
        <v>0</v>
      </c>
      <c r="AA28">
        <v>0</v>
      </c>
      <c r="AB28">
        <v>4</v>
      </c>
      <c r="AC28">
        <v>4</v>
      </c>
      <c r="AD28">
        <v>4</v>
      </c>
      <c r="AE28">
        <v>73</v>
      </c>
      <c r="AF28">
        <v>96</v>
      </c>
      <c r="AG28">
        <v>1</v>
      </c>
      <c r="AH28">
        <v>0</v>
      </c>
      <c r="AI28">
        <v>0</v>
      </c>
      <c r="AJ28">
        <v>4945</v>
      </c>
      <c r="AK28">
        <v>202</v>
      </c>
    </row>
    <row r="29" spans="1:37" ht="13.5" customHeight="1" x14ac:dyDescent="0.3">
      <c r="A29" s="221">
        <v>28</v>
      </c>
      <c r="B29" s="156">
        <v>105.1</v>
      </c>
      <c r="C29" s="156" t="s">
        <v>472</v>
      </c>
      <c r="D29" s="157" t="s">
        <v>113</v>
      </c>
      <c r="E29" s="161" t="s">
        <v>124</v>
      </c>
      <c r="F29" s="158" t="s">
        <v>125</v>
      </c>
      <c r="G29" s="158" t="s">
        <v>44</v>
      </c>
      <c r="H29" s="159"/>
      <c r="I29" s="160"/>
      <c r="J29" s="160"/>
      <c r="K29" s="24" t="s">
        <v>39</v>
      </c>
      <c r="L29" s="11" t="s">
        <v>40</v>
      </c>
      <c r="M29" s="11" t="s">
        <v>40</v>
      </c>
      <c r="N29" s="236"/>
      <c r="O29" s="116"/>
      <c r="P29" s="112">
        <f t="shared" si="0"/>
        <v>4</v>
      </c>
      <c r="Q29" s="109">
        <f t="shared" si="1"/>
        <v>1.5</v>
      </c>
      <c r="R29" s="110">
        <f t="shared" si="2"/>
        <v>5.5</v>
      </c>
      <c r="S29">
        <v>641</v>
      </c>
      <c r="T29">
        <v>0</v>
      </c>
      <c r="U29">
        <v>5</v>
      </c>
      <c r="V29">
        <v>3</v>
      </c>
      <c r="W29">
        <v>60</v>
      </c>
      <c r="X29">
        <v>23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3</v>
      </c>
      <c r="AF29">
        <v>6</v>
      </c>
      <c r="AG29">
        <v>0</v>
      </c>
      <c r="AH29">
        <v>0</v>
      </c>
      <c r="AI29">
        <v>0</v>
      </c>
      <c r="AJ29">
        <v>462</v>
      </c>
      <c r="AK29">
        <v>79</v>
      </c>
    </row>
    <row r="30" spans="1:37" x14ac:dyDescent="0.3">
      <c r="A30" s="221">
        <v>29</v>
      </c>
      <c r="B30" s="156">
        <v>106</v>
      </c>
      <c r="C30" s="156" t="s">
        <v>472</v>
      </c>
      <c r="D30" s="157" t="s">
        <v>113</v>
      </c>
      <c r="E30" s="158" t="s">
        <v>126</v>
      </c>
      <c r="F30" s="158" t="s">
        <v>127</v>
      </c>
      <c r="G30" s="158" t="s">
        <v>53</v>
      </c>
      <c r="H30" s="159"/>
      <c r="I30" s="160"/>
      <c r="J30" s="109"/>
      <c r="K30" s="24" t="s">
        <v>39</v>
      </c>
      <c r="L30" s="11" t="s">
        <v>40</v>
      </c>
      <c r="M30" s="11" t="s">
        <v>40</v>
      </c>
      <c r="N30" s="236"/>
      <c r="O30" s="116"/>
      <c r="P30" s="112">
        <f t="shared" si="0"/>
        <v>8</v>
      </c>
      <c r="Q30" s="109">
        <f t="shared" si="1"/>
        <v>5</v>
      </c>
      <c r="R30" s="110">
        <f t="shared" si="2"/>
        <v>13</v>
      </c>
      <c r="S30">
        <v>3406</v>
      </c>
      <c r="T30">
        <v>2</v>
      </c>
      <c r="U30">
        <v>48</v>
      </c>
      <c r="V30">
        <v>227</v>
      </c>
      <c r="W30">
        <v>554</v>
      </c>
      <c r="X30">
        <v>36</v>
      </c>
      <c r="Y30">
        <v>0</v>
      </c>
      <c r="Z30">
        <v>0</v>
      </c>
      <c r="AA30">
        <v>0</v>
      </c>
      <c r="AB30">
        <v>100</v>
      </c>
      <c r="AC30">
        <v>44</v>
      </c>
      <c r="AD30">
        <v>21</v>
      </c>
      <c r="AE30">
        <v>66</v>
      </c>
      <c r="AF30">
        <v>0</v>
      </c>
      <c r="AG30">
        <v>11</v>
      </c>
      <c r="AH30">
        <v>4</v>
      </c>
      <c r="AI30">
        <v>0</v>
      </c>
      <c r="AJ30">
        <v>2221</v>
      </c>
      <c r="AK30">
        <v>72</v>
      </c>
    </row>
    <row r="31" spans="1:37" x14ac:dyDescent="0.3">
      <c r="A31" s="221">
        <v>30</v>
      </c>
      <c r="B31" s="156">
        <v>107</v>
      </c>
      <c r="C31" s="156" t="s">
        <v>472</v>
      </c>
      <c r="D31" s="157" t="s">
        <v>113</v>
      </c>
      <c r="E31" s="162" t="s">
        <v>128</v>
      </c>
      <c r="F31" s="158" t="s">
        <v>129</v>
      </c>
      <c r="G31" s="158" t="s">
        <v>44</v>
      </c>
      <c r="H31" s="159"/>
      <c r="I31" s="160"/>
      <c r="J31" s="160"/>
      <c r="K31" s="24" t="s">
        <v>39</v>
      </c>
      <c r="L31" s="11" t="s">
        <v>40</v>
      </c>
      <c r="M31" s="11" t="s">
        <v>40</v>
      </c>
      <c r="N31" s="236"/>
      <c r="O31" s="116" t="s">
        <v>130</v>
      </c>
      <c r="P31" s="112">
        <f t="shared" si="0"/>
        <v>4</v>
      </c>
      <c r="Q31" s="109">
        <f t="shared" si="1"/>
        <v>1.5</v>
      </c>
      <c r="R31" s="110">
        <f t="shared" si="2"/>
        <v>5.5</v>
      </c>
      <c r="S31">
        <v>5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5</v>
      </c>
      <c r="AK31">
        <v>0</v>
      </c>
    </row>
    <row r="32" spans="1:37" x14ac:dyDescent="0.3">
      <c r="A32" s="221">
        <v>31</v>
      </c>
      <c r="B32" s="156">
        <v>108</v>
      </c>
      <c r="C32" s="156" t="s">
        <v>472</v>
      </c>
      <c r="D32" s="157" t="s">
        <v>113</v>
      </c>
      <c r="E32" s="162" t="s">
        <v>131</v>
      </c>
      <c r="F32" s="158" t="s">
        <v>132</v>
      </c>
      <c r="G32" s="158" t="s">
        <v>53</v>
      </c>
      <c r="H32" s="158"/>
      <c r="I32" s="160"/>
      <c r="J32" s="160"/>
      <c r="K32" s="24" t="s">
        <v>39</v>
      </c>
      <c r="L32" s="11" t="s">
        <v>40</v>
      </c>
      <c r="M32" s="11" t="s">
        <v>40</v>
      </c>
      <c r="N32" s="236"/>
      <c r="O32" s="116" t="s">
        <v>130</v>
      </c>
      <c r="P32" s="112">
        <f t="shared" si="0"/>
        <v>8</v>
      </c>
      <c r="Q32" s="109">
        <f t="shared" si="1"/>
        <v>5</v>
      </c>
      <c r="R32" s="110">
        <f t="shared" si="2"/>
        <v>13</v>
      </c>
      <c r="S32">
        <v>3</v>
      </c>
      <c r="T32">
        <v>0</v>
      </c>
      <c r="U32">
        <v>0</v>
      </c>
      <c r="V32">
        <v>0</v>
      </c>
      <c r="W32">
        <v>0</v>
      </c>
      <c r="X32">
        <v>2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1</v>
      </c>
      <c r="AK32">
        <v>0</v>
      </c>
    </row>
    <row r="33" spans="1:37" x14ac:dyDescent="0.3">
      <c r="A33" s="221">
        <v>32</v>
      </c>
      <c r="B33" s="156">
        <v>109</v>
      </c>
      <c r="C33" s="156" t="s">
        <v>472</v>
      </c>
      <c r="D33" s="157" t="s">
        <v>113</v>
      </c>
      <c r="E33" s="158" t="s">
        <v>133</v>
      </c>
      <c r="F33" s="158" t="s">
        <v>134</v>
      </c>
      <c r="G33" s="158" t="s">
        <v>48</v>
      </c>
      <c r="H33" s="158"/>
      <c r="I33" s="160"/>
      <c r="J33" s="160"/>
      <c r="K33" s="24" t="s">
        <v>39</v>
      </c>
      <c r="L33" s="3" t="s">
        <v>41</v>
      </c>
      <c r="M33" s="3" t="s">
        <v>41</v>
      </c>
      <c r="N33" s="237"/>
      <c r="O33" s="116"/>
      <c r="P33" s="112">
        <f t="shared" si="0"/>
        <v>12</v>
      </c>
      <c r="Q33" s="109">
        <f t="shared" si="1"/>
        <v>6.5</v>
      </c>
      <c r="R33" s="110">
        <f t="shared" si="2"/>
        <v>18.5</v>
      </c>
      <c r="S33">
        <v>38737</v>
      </c>
      <c r="T33">
        <v>0</v>
      </c>
      <c r="U33">
        <v>323</v>
      </c>
      <c r="V33">
        <v>535</v>
      </c>
      <c r="W33">
        <v>738</v>
      </c>
      <c r="X33">
        <v>2816</v>
      </c>
      <c r="Y33">
        <v>68</v>
      </c>
      <c r="Z33">
        <v>0</v>
      </c>
      <c r="AA33">
        <v>0</v>
      </c>
      <c r="AB33">
        <v>0</v>
      </c>
      <c r="AC33">
        <v>15</v>
      </c>
      <c r="AD33">
        <v>220</v>
      </c>
      <c r="AE33">
        <v>617</v>
      </c>
      <c r="AF33">
        <v>0</v>
      </c>
      <c r="AG33">
        <v>13</v>
      </c>
      <c r="AH33">
        <v>0</v>
      </c>
      <c r="AI33">
        <v>0</v>
      </c>
      <c r="AJ33">
        <v>30597</v>
      </c>
      <c r="AK33">
        <v>2795</v>
      </c>
    </row>
    <row r="34" spans="1:37" x14ac:dyDescent="0.3">
      <c r="A34" s="221">
        <v>33</v>
      </c>
      <c r="B34" s="156">
        <v>109.1</v>
      </c>
      <c r="C34" s="156" t="s">
        <v>472</v>
      </c>
      <c r="D34" s="157" t="s">
        <v>113</v>
      </c>
      <c r="E34" s="161" t="s">
        <v>135</v>
      </c>
      <c r="F34" s="158" t="s">
        <v>136</v>
      </c>
      <c r="G34" s="158" t="s">
        <v>44</v>
      </c>
      <c r="H34" s="158"/>
      <c r="I34" s="160"/>
      <c r="J34" s="160"/>
      <c r="K34" s="24" t="s">
        <v>39</v>
      </c>
      <c r="L34" s="3" t="s">
        <v>41</v>
      </c>
      <c r="M34" s="3" t="s">
        <v>41</v>
      </c>
      <c r="N34" s="237"/>
      <c r="O34" s="116"/>
      <c r="P34" s="112">
        <f t="shared" ref="P34:P61" si="3">IFERROR(VLOOKUP($G34,ComplexityLOE,2,FALSE),"")</f>
        <v>4</v>
      </c>
      <c r="Q34" s="109">
        <f t="shared" ref="Q34:Q61" si="4">IFERROR(VLOOKUP($G34,ComplexityLOE,3,FALSE),"")</f>
        <v>1.5</v>
      </c>
      <c r="R34" s="110">
        <f t="shared" ref="R34:R65" si="5">IFERROR(P34+Q34,"")</f>
        <v>5.5</v>
      </c>
      <c r="S34">
        <v>3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3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</row>
    <row r="35" spans="1:37" x14ac:dyDescent="0.3">
      <c r="A35" s="221">
        <v>34</v>
      </c>
      <c r="B35" s="156">
        <v>110</v>
      </c>
      <c r="C35" s="156" t="s">
        <v>472</v>
      </c>
      <c r="D35" s="157" t="s">
        <v>113</v>
      </c>
      <c r="E35" s="42" t="s">
        <v>137</v>
      </c>
      <c r="F35" s="42" t="s">
        <v>138</v>
      </c>
      <c r="G35" s="158" t="s">
        <v>48</v>
      </c>
      <c r="H35" s="158"/>
      <c r="I35" s="160"/>
      <c r="J35" s="160"/>
      <c r="K35" s="24" t="s">
        <v>39</v>
      </c>
      <c r="L35" s="3" t="s">
        <v>41</v>
      </c>
      <c r="M35" s="3" t="s">
        <v>41</v>
      </c>
      <c r="N35" s="237"/>
      <c r="O35" s="116"/>
      <c r="P35" s="112">
        <f t="shared" si="3"/>
        <v>12</v>
      </c>
      <c r="Q35" s="109">
        <f t="shared" si="4"/>
        <v>6.5</v>
      </c>
      <c r="R35" s="110">
        <f t="shared" si="5"/>
        <v>18.5</v>
      </c>
      <c r="S35">
        <v>57610</v>
      </c>
      <c r="T35">
        <v>0</v>
      </c>
      <c r="U35">
        <v>1928</v>
      </c>
      <c r="V35">
        <v>680</v>
      </c>
      <c r="W35">
        <v>2128</v>
      </c>
      <c r="X35">
        <v>2086</v>
      </c>
      <c r="Y35">
        <v>101</v>
      </c>
      <c r="Z35">
        <v>0</v>
      </c>
      <c r="AA35">
        <v>0</v>
      </c>
      <c r="AB35">
        <v>21</v>
      </c>
      <c r="AC35">
        <v>32</v>
      </c>
      <c r="AD35">
        <v>240</v>
      </c>
      <c r="AE35">
        <v>861</v>
      </c>
      <c r="AF35">
        <v>0</v>
      </c>
      <c r="AG35">
        <v>436</v>
      </c>
      <c r="AH35">
        <v>13</v>
      </c>
      <c r="AI35">
        <v>7</v>
      </c>
      <c r="AJ35">
        <v>46527</v>
      </c>
      <c r="AK35">
        <v>2550</v>
      </c>
    </row>
    <row r="36" spans="1:37" x14ac:dyDescent="0.3">
      <c r="A36" s="221">
        <v>35</v>
      </c>
      <c r="B36" s="188">
        <v>17</v>
      </c>
      <c r="C36" s="188" t="s">
        <v>473</v>
      </c>
      <c r="D36" s="189" t="s">
        <v>35</v>
      </c>
      <c r="E36" s="190" t="s">
        <v>139</v>
      </c>
      <c r="F36" s="191" t="s">
        <v>140</v>
      </c>
      <c r="G36" s="191" t="s">
        <v>86</v>
      </c>
      <c r="H36" s="193"/>
      <c r="I36" s="194"/>
      <c r="J36" s="195">
        <f>SUM(P36:P38)</f>
        <v>34</v>
      </c>
      <c r="K36" s="24" t="s">
        <v>39</v>
      </c>
      <c r="L36" s="24" t="s">
        <v>41</v>
      </c>
      <c r="M36" s="24" t="s">
        <v>41</v>
      </c>
      <c r="N36" s="242">
        <f>N28+21</f>
        <v>46370</v>
      </c>
      <c r="O36" s="116"/>
      <c r="P36" s="112">
        <f t="shared" si="3"/>
        <v>18</v>
      </c>
      <c r="Q36" s="109">
        <f t="shared" si="4"/>
        <v>8</v>
      </c>
      <c r="R36" s="110">
        <f t="shared" si="5"/>
        <v>26</v>
      </c>
      <c r="S36">
        <v>220508</v>
      </c>
      <c r="T36">
        <v>4</v>
      </c>
      <c r="U36">
        <v>10825</v>
      </c>
      <c r="V36">
        <v>6249</v>
      </c>
      <c r="W36">
        <v>40910</v>
      </c>
      <c r="X36">
        <v>6459</v>
      </c>
      <c r="Y36">
        <v>1692</v>
      </c>
      <c r="Z36">
        <v>38</v>
      </c>
      <c r="AA36">
        <v>43</v>
      </c>
      <c r="AB36">
        <v>45025</v>
      </c>
      <c r="AC36">
        <v>8603</v>
      </c>
      <c r="AD36">
        <v>22190</v>
      </c>
      <c r="AE36">
        <v>7049</v>
      </c>
      <c r="AF36">
        <v>476</v>
      </c>
      <c r="AG36">
        <v>1818</v>
      </c>
      <c r="AH36">
        <v>1152</v>
      </c>
      <c r="AI36">
        <v>42</v>
      </c>
      <c r="AJ36">
        <v>64018</v>
      </c>
      <c r="AK36">
        <v>3915</v>
      </c>
    </row>
    <row r="37" spans="1:37" x14ac:dyDescent="0.3">
      <c r="A37" s="221">
        <v>36</v>
      </c>
      <c r="B37" s="188">
        <v>17.100000000000001</v>
      </c>
      <c r="C37" s="188" t="s">
        <v>473</v>
      </c>
      <c r="D37" s="189" t="s">
        <v>35</v>
      </c>
      <c r="E37" s="200" t="s">
        <v>141</v>
      </c>
      <c r="F37" s="191" t="s">
        <v>142</v>
      </c>
      <c r="G37" s="191" t="s">
        <v>53</v>
      </c>
      <c r="H37" s="191"/>
      <c r="I37" s="194"/>
      <c r="J37" s="194"/>
      <c r="K37" s="24" t="s">
        <v>39</v>
      </c>
      <c r="L37" s="24" t="s">
        <v>40</v>
      </c>
      <c r="M37" s="24" t="s">
        <v>40</v>
      </c>
      <c r="N37" s="242"/>
      <c r="O37" s="116"/>
      <c r="P37" s="112">
        <f t="shared" si="3"/>
        <v>8</v>
      </c>
      <c r="Q37" s="109">
        <f t="shared" si="4"/>
        <v>5</v>
      </c>
      <c r="R37" s="110">
        <f t="shared" si="5"/>
        <v>13</v>
      </c>
      <c r="S37">
        <v>2199</v>
      </c>
      <c r="T37">
        <v>0</v>
      </c>
      <c r="U37">
        <v>0</v>
      </c>
      <c r="V37">
        <v>0</v>
      </c>
      <c r="W37">
        <v>17</v>
      </c>
      <c r="X37">
        <v>40</v>
      </c>
      <c r="Y37">
        <v>215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1548</v>
      </c>
      <c r="AF37">
        <v>0</v>
      </c>
      <c r="AG37">
        <v>0</v>
      </c>
      <c r="AH37">
        <v>0</v>
      </c>
      <c r="AI37">
        <v>0</v>
      </c>
      <c r="AJ37">
        <v>178</v>
      </c>
      <c r="AK37">
        <v>201</v>
      </c>
    </row>
    <row r="38" spans="1:37" x14ac:dyDescent="0.3">
      <c r="A38" s="221">
        <v>37</v>
      </c>
      <c r="B38" s="188">
        <v>17.2</v>
      </c>
      <c r="C38" s="188" t="s">
        <v>473</v>
      </c>
      <c r="D38" s="189" t="s">
        <v>35</v>
      </c>
      <c r="E38" s="196" t="s">
        <v>143</v>
      </c>
      <c r="F38" s="197" t="s">
        <v>144</v>
      </c>
      <c r="G38" s="222" t="s">
        <v>53</v>
      </c>
      <c r="H38" s="223"/>
      <c r="I38" s="224"/>
      <c r="J38" s="224"/>
      <c r="K38" s="24" t="s">
        <v>39</v>
      </c>
      <c r="L38" s="11" t="s">
        <v>40</v>
      </c>
      <c r="M38" s="11" t="s">
        <v>40</v>
      </c>
      <c r="N38" s="241"/>
      <c r="O38" s="116"/>
      <c r="P38" s="112">
        <f t="shared" si="3"/>
        <v>8</v>
      </c>
      <c r="Q38" s="109">
        <f t="shared" si="4"/>
        <v>5</v>
      </c>
      <c r="R38" s="110">
        <f t="shared" si="5"/>
        <v>13</v>
      </c>
      <c r="S38">
        <v>45034</v>
      </c>
      <c r="T38">
        <v>0</v>
      </c>
      <c r="U38">
        <v>25645</v>
      </c>
      <c r="V38">
        <v>4070</v>
      </c>
      <c r="W38">
        <v>169</v>
      </c>
      <c r="X38">
        <v>21</v>
      </c>
      <c r="Y38">
        <v>140</v>
      </c>
      <c r="Z38">
        <v>4</v>
      </c>
      <c r="AA38">
        <v>6</v>
      </c>
      <c r="AB38">
        <v>135</v>
      </c>
      <c r="AC38">
        <v>300</v>
      </c>
      <c r="AD38">
        <v>454</v>
      </c>
      <c r="AE38">
        <v>928</v>
      </c>
      <c r="AF38">
        <v>11</v>
      </c>
      <c r="AG38">
        <v>6</v>
      </c>
      <c r="AH38">
        <v>24</v>
      </c>
      <c r="AI38">
        <v>3</v>
      </c>
      <c r="AJ38">
        <v>11852</v>
      </c>
      <c r="AK38">
        <v>1266</v>
      </c>
    </row>
    <row r="39" spans="1:37" x14ac:dyDescent="0.3">
      <c r="A39" s="221">
        <v>38</v>
      </c>
      <c r="B39" s="156">
        <v>150</v>
      </c>
      <c r="C39" s="156" t="s">
        <v>474</v>
      </c>
      <c r="D39" s="157" t="s">
        <v>145</v>
      </c>
      <c r="E39" s="158" t="s">
        <v>146</v>
      </c>
      <c r="F39" s="158" t="s">
        <v>147</v>
      </c>
      <c r="G39" s="158" t="s">
        <v>48</v>
      </c>
      <c r="H39" s="159"/>
      <c r="I39" s="160"/>
      <c r="J39" s="109">
        <f>SUM(P39:P43)</f>
        <v>40</v>
      </c>
      <c r="K39" s="12" t="s">
        <v>39</v>
      </c>
      <c r="L39" s="3" t="s">
        <v>40</v>
      </c>
      <c r="M39" s="11" t="s">
        <v>40</v>
      </c>
      <c r="N39" s="236">
        <f>N36+21</f>
        <v>46391</v>
      </c>
      <c r="O39" s="116"/>
      <c r="P39" s="112">
        <f t="shared" si="3"/>
        <v>12</v>
      </c>
      <c r="Q39" s="109">
        <f t="shared" si="4"/>
        <v>6.5</v>
      </c>
      <c r="R39" s="110">
        <f t="shared" si="5"/>
        <v>18.5</v>
      </c>
      <c r="S39">
        <v>791</v>
      </c>
      <c r="T39">
        <v>0</v>
      </c>
      <c r="U39">
        <v>1</v>
      </c>
      <c r="V39">
        <v>0</v>
      </c>
      <c r="W39">
        <v>28</v>
      </c>
      <c r="X39">
        <v>2</v>
      </c>
      <c r="Y39">
        <v>1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12</v>
      </c>
      <c r="AF39">
        <v>0</v>
      </c>
      <c r="AG39">
        <v>0</v>
      </c>
      <c r="AH39">
        <v>0</v>
      </c>
      <c r="AI39">
        <v>0</v>
      </c>
      <c r="AJ39">
        <v>740</v>
      </c>
      <c r="AK39">
        <v>7</v>
      </c>
    </row>
    <row r="40" spans="1:37" x14ac:dyDescent="0.3">
      <c r="A40" s="221">
        <v>39</v>
      </c>
      <c r="B40" s="156">
        <v>151</v>
      </c>
      <c r="C40" s="156" t="s">
        <v>474</v>
      </c>
      <c r="D40" s="157" t="s">
        <v>145</v>
      </c>
      <c r="E40" s="158" t="s">
        <v>148</v>
      </c>
      <c r="F40" s="158" t="s">
        <v>149</v>
      </c>
      <c r="G40" s="158" t="s">
        <v>53</v>
      </c>
      <c r="H40" s="158"/>
      <c r="I40" s="160"/>
      <c r="J40" s="160"/>
      <c r="K40" s="12" t="s">
        <v>39</v>
      </c>
      <c r="L40" s="3" t="s">
        <v>40</v>
      </c>
      <c r="M40" s="11" t="s">
        <v>40</v>
      </c>
      <c r="N40" s="236"/>
      <c r="O40" s="116"/>
      <c r="P40" s="112">
        <f t="shared" si="3"/>
        <v>8</v>
      </c>
      <c r="Q40" s="109">
        <f t="shared" si="4"/>
        <v>5</v>
      </c>
      <c r="R40" s="110">
        <f t="shared" si="5"/>
        <v>13</v>
      </c>
      <c r="S40">
        <v>1440</v>
      </c>
      <c r="T40">
        <v>0</v>
      </c>
      <c r="U40">
        <v>4</v>
      </c>
      <c r="V40">
        <v>0</v>
      </c>
      <c r="W40">
        <v>106</v>
      </c>
      <c r="X40">
        <v>6</v>
      </c>
      <c r="Y40">
        <v>36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45</v>
      </c>
      <c r="AF40">
        <v>0</v>
      </c>
      <c r="AG40">
        <v>0</v>
      </c>
      <c r="AH40">
        <v>0</v>
      </c>
      <c r="AI40">
        <v>0</v>
      </c>
      <c r="AJ40">
        <v>663</v>
      </c>
      <c r="AK40">
        <v>580</v>
      </c>
    </row>
    <row r="41" spans="1:37" x14ac:dyDescent="0.3">
      <c r="A41" s="221">
        <v>40</v>
      </c>
      <c r="B41" s="156">
        <v>152</v>
      </c>
      <c r="C41" s="156" t="s">
        <v>474</v>
      </c>
      <c r="D41" s="157" t="s">
        <v>145</v>
      </c>
      <c r="E41" s="158" t="s">
        <v>150</v>
      </c>
      <c r="F41" s="158" t="s">
        <v>151</v>
      </c>
      <c r="G41" s="158" t="s">
        <v>48</v>
      </c>
      <c r="H41" s="158"/>
      <c r="I41" s="160"/>
      <c r="J41" s="160"/>
      <c r="K41" s="12" t="s">
        <v>39</v>
      </c>
      <c r="L41" s="3" t="s">
        <v>40</v>
      </c>
      <c r="M41" s="11" t="s">
        <v>40</v>
      </c>
      <c r="N41" s="236"/>
      <c r="O41" s="116"/>
      <c r="P41" s="112">
        <f t="shared" si="3"/>
        <v>12</v>
      </c>
      <c r="Q41" s="109">
        <f t="shared" si="4"/>
        <v>6.5</v>
      </c>
      <c r="R41" s="110">
        <f t="shared" si="5"/>
        <v>18.5</v>
      </c>
      <c r="S41">
        <v>961</v>
      </c>
      <c r="T41">
        <v>0</v>
      </c>
      <c r="U41">
        <v>11</v>
      </c>
      <c r="V41">
        <v>0</v>
      </c>
      <c r="W41">
        <v>55</v>
      </c>
      <c r="X41">
        <v>18</v>
      </c>
      <c r="Y41">
        <v>8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40</v>
      </c>
      <c r="AF41">
        <v>0</v>
      </c>
      <c r="AG41">
        <v>18</v>
      </c>
      <c r="AH41">
        <v>0</v>
      </c>
      <c r="AI41">
        <v>0</v>
      </c>
      <c r="AJ41">
        <v>746</v>
      </c>
      <c r="AK41">
        <v>65</v>
      </c>
    </row>
    <row r="42" spans="1:37" x14ac:dyDescent="0.3">
      <c r="A42" s="221">
        <v>41</v>
      </c>
      <c r="B42" s="156">
        <v>72</v>
      </c>
      <c r="C42" s="156" t="s">
        <v>474</v>
      </c>
      <c r="D42" s="171" t="s">
        <v>152</v>
      </c>
      <c r="E42" s="176" t="s">
        <v>153</v>
      </c>
      <c r="F42" s="163" t="s">
        <v>154</v>
      </c>
      <c r="G42" s="158" t="s">
        <v>44</v>
      </c>
      <c r="H42" s="158"/>
      <c r="I42" s="160"/>
      <c r="J42" s="109"/>
      <c r="K42" s="3" t="s">
        <v>40</v>
      </c>
      <c r="L42" s="3" t="s">
        <v>87</v>
      </c>
      <c r="M42" s="3" t="s">
        <v>40</v>
      </c>
      <c r="N42" s="237"/>
      <c r="O42" s="116"/>
      <c r="P42" s="112">
        <f t="shared" si="3"/>
        <v>4</v>
      </c>
      <c r="Q42" s="109">
        <f t="shared" si="4"/>
        <v>1.5</v>
      </c>
      <c r="R42" s="110">
        <f t="shared" si="5"/>
        <v>5.5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</row>
    <row r="43" spans="1:37" x14ac:dyDescent="0.3">
      <c r="A43" s="221">
        <v>42</v>
      </c>
      <c r="B43" s="156">
        <v>77</v>
      </c>
      <c r="C43" s="156" t="s">
        <v>474</v>
      </c>
      <c r="D43" s="171" t="s">
        <v>152</v>
      </c>
      <c r="E43" s="176" t="s">
        <v>155</v>
      </c>
      <c r="F43" s="163" t="s">
        <v>156</v>
      </c>
      <c r="G43" s="158" t="s">
        <v>44</v>
      </c>
      <c r="H43" s="158"/>
      <c r="I43" s="160"/>
      <c r="J43" s="160"/>
      <c r="K43" s="75" t="s">
        <v>40</v>
      </c>
      <c r="L43" s="75" t="s">
        <v>87</v>
      </c>
      <c r="M43" s="75" t="s">
        <v>40</v>
      </c>
      <c r="N43" s="237"/>
      <c r="O43" s="116"/>
      <c r="P43" s="112">
        <f t="shared" si="3"/>
        <v>4</v>
      </c>
      <c r="Q43" s="109">
        <f t="shared" si="4"/>
        <v>1.5</v>
      </c>
      <c r="R43" s="110">
        <f t="shared" si="5"/>
        <v>5.5</v>
      </c>
      <c r="S43">
        <v>1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1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</row>
    <row r="44" spans="1:37" x14ac:dyDescent="0.3">
      <c r="A44" s="221">
        <v>43</v>
      </c>
      <c r="B44" s="188">
        <v>154</v>
      </c>
      <c r="C44" s="188" t="s">
        <v>475</v>
      </c>
      <c r="D44" s="189" t="s">
        <v>145</v>
      </c>
      <c r="E44" s="191" t="s">
        <v>157</v>
      </c>
      <c r="F44" s="191" t="s">
        <v>158</v>
      </c>
      <c r="G44" s="191" t="s">
        <v>48</v>
      </c>
      <c r="H44" s="193"/>
      <c r="I44" s="194"/>
      <c r="J44" s="195">
        <f>SUM(P44:P48)</f>
        <v>48</v>
      </c>
      <c r="K44" s="12" t="s">
        <v>39</v>
      </c>
      <c r="L44" s="3" t="s">
        <v>40</v>
      </c>
      <c r="M44" s="11" t="s">
        <v>40</v>
      </c>
      <c r="N44" s="241">
        <f>N39+21</f>
        <v>46412</v>
      </c>
      <c r="O44" s="116"/>
      <c r="P44" s="112">
        <f t="shared" si="3"/>
        <v>12</v>
      </c>
      <c r="Q44" s="109">
        <f t="shared" si="4"/>
        <v>6.5</v>
      </c>
      <c r="R44" s="110">
        <f t="shared" si="5"/>
        <v>18.5</v>
      </c>
      <c r="S44">
        <v>335</v>
      </c>
      <c r="T44">
        <v>0</v>
      </c>
      <c r="U44">
        <v>0</v>
      </c>
      <c r="V44">
        <v>0</v>
      </c>
      <c r="W44">
        <v>5</v>
      </c>
      <c r="X44">
        <v>2</v>
      </c>
      <c r="Y44">
        <v>4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14</v>
      </c>
      <c r="AF44">
        <v>0</v>
      </c>
      <c r="AG44">
        <v>0</v>
      </c>
      <c r="AH44">
        <v>0</v>
      </c>
      <c r="AI44">
        <v>0</v>
      </c>
      <c r="AJ44">
        <v>296</v>
      </c>
      <c r="AK44">
        <v>14</v>
      </c>
    </row>
    <row r="45" spans="1:37" x14ac:dyDescent="0.3">
      <c r="A45" s="221">
        <v>44</v>
      </c>
      <c r="B45" s="188">
        <v>153</v>
      </c>
      <c r="C45" s="188" t="s">
        <v>475</v>
      </c>
      <c r="D45" s="225" t="s">
        <v>145</v>
      </c>
      <c r="E45" s="216" t="s">
        <v>159</v>
      </c>
      <c r="F45" s="191" t="s">
        <v>160</v>
      </c>
      <c r="G45" s="191" t="s">
        <v>48</v>
      </c>
      <c r="H45" s="191"/>
      <c r="I45" s="226" t="s">
        <v>55</v>
      </c>
      <c r="J45" s="226"/>
      <c r="K45" s="111"/>
      <c r="L45" s="111"/>
      <c r="M45" s="111"/>
      <c r="N45" s="243"/>
      <c r="O45" s="116"/>
      <c r="P45" s="112">
        <f t="shared" si="3"/>
        <v>12</v>
      </c>
      <c r="Q45" s="109">
        <f t="shared" si="4"/>
        <v>6.5</v>
      </c>
      <c r="R45" s="110">
        <f t="shared" si="5"/>
        <v>18.5</v>
      </c>
      <c r="S45">
        <v>45</v>
      </c>
      <c r="T45">
        <v>0</v>
      </c>
      <c r="U45">
        <v>0</v>
      </c>
      <c r="V45">
        <v>0</v>
      </c>
      <c r="W45">
        <v>0</v>
      </c>
      <c r="X45">
        <v>0</v>
      </c>
      <c r="Y45">
        <v>45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</row>
    <row r="46" spans="1:37" x14ac:dyDescent="0.3">
      <c r="A46" s="221">
        <v>45</v>
      </c>
      <c r="B46" s="188">
        <v>155</v>
      </c>
      <c r="C46" s="188" t="s">
        <v>475</v>
      </c>
      <c r="D46" s="225" t="s">
        <v>145</v>
      </c>
      <c r="E46" s="216" t="s">
        <v>161</v>
      </c>
      <c r="F46" s="191" t="s">
        <v>162</v>
      </c>
      <c r="G46" s="191" t="s">
        <v>53</v>
      </c>
      <c r="H46" s="191"/>
      <c r="I46" s="226" t="s">
        <v>55</v>
      </c>
      <c r="J46" s="226"/>
      <c r="K46" s="111"/>
      <c r="L46" s="111"/>
      <c r="M46" s="111"/>
      <c r="N46" s="243"/>
      <c r="O46" s="116"/>
      <c r="P46" s="112">
        <f t="shared" si="3"/>
        <v>8</v>
      </c>
      <c r="Q46" s="109">
        <f t="shared" si="4"/>
        <v>5</v>
      </c>
      <c r="R46" s="110">
        <f t="shared" si="5"/>
        <v>13</v>
      </c>
      <c r="S46">
        <v>2</v>
      </c>
      <c r="T46">
        <v>0</v>
      </c>
      <c r="U46">
        <v>0</v>
      </c>
      <c r="V46">
        <v>0</v>
      </c>
      <c r="W46">
        <v>0</v>
      </c>
      <c r="X46">
        <v>0</v>
      </c>
      <c r="Y46">
        <v>2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</row>
    <row r="47" spans="1:37" x14ac:dyDescent="0.3">
      <c r="A47" s="221">
        <v>46</v>
      </c>
      <c r="B47" s="188">
        <v>74</v>
      </c>
      <c r="C47" s="188" t="s">
        <v>475</v>
      </c>
      <c r="D47" s="206" t="s">
        <v>152</v>
      </c>
      <c r="E47" s="201" t="s">
        <v>163</v>
      </c>
      <c r="F47" s="190" t="s">
        <v>164</v>
      </c>
      <c r="G47" s="191" t="s">
        <v>53</v>
      </c>
      <c r="H47" s="191"/>
      <c r="I47" s="194"/>
      <c r="J47" s="195"/>
      <c r="K47" s="3" t="s">
        <v>40</v>
      </c>
      <c r="L47" s="3" t="s">
        <v>87</v>
      </c>
      <c r="M47" s="3" t="s">
        <v>40</v>
      </c>
      <c r="N47" s="244"/>
      <c r="O47" s="116"/>
      <c r="P47" s="112">
        <f t="shared" si="3"/>
        <v>8</v>
      </c>
      <c r="Q47" s="109">
        <f t="shared" si="4"/>
        <v>5</v>
      </c>
      <c r="R47" s="110">
        <f t="shared" si="5"/>
        <v>13</v>
      </c>
      <c r="S47">
        <v>14</v>
      </c>
      <c r="T47">
        <v>0</v>
      </c>
      <c r="U47">
        <v>0</v>
      </c>
      <c r="V47">
        <v>0</v>
      </c>
      <c r="W47">
        <v>0</v>
      </c>
      <c r="X47">
        <v>0</v>
      </c>
      <c r="Y47">
        <v>6</v>
      </c>
      <c r="Z47">
        <v>0</v>
      </c>
      <c r="AA47">
        <v>0</v>
      </c>
      <c r="AB47">
        <v>0</v>
      </c>
      <c r="AC47">
        <v>0</v>
      </c>
      <c r="AD47">
        <v>8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</row>
    <row r="48" spans="1:37" x14ac:dyDescent="0.3">
      <c r="A48" s="221">
        <v>47</v>
      </c>
      <c r="B48" s="188">
        <v>75</v>
      </c>
      <c r="C48" s="188" t="s">
        <v>475</v>
      </c>
      <c r="D48" s="206" t="s">
        <v>152</v>
      </c>
      <c r="E48" s="201" t="s">
        <v>165</v>
      </c>
      <c r="F48" s="190" t="s">
        <v>166</v>
      </c>
      <c r="G48" s="191" t="s">
        <v>53</v>
      </c>
      <c r="H48" s="191"/>
      <c r="I48" s="194"/>
      <c r="J48" s="194"/>
      <c r="K48" s="75" t="s">
        <v>40</v>
      </c>
      <c r="L48" s="75" t="s">
        <v>87</v>
      </c>
      <c r="M48" s="75" t="s">
        <v>40</v>
      </c>
      <c r="N48" s="244"/>
      <c r="O48" s="116"/>
      <c r="P48" s="112">
        <f t="shared" si="3"/>
        <v>8</v>
      </c>
      <c r="Q48" s="109">
        <f t="shared" si="4"/>
        <v>5</v>
      </c>
      <c r="R48" s="110">
        <f t="shared" si="5"/>
        <v>13</v>
      </c>
      <c r="S48">
        <v>11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11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</row>
    <row r="49" spans="1:37" x14ac:dyDescent="0.3">
      <c r="A49" s="221">
        <v>48</v>
      </c>
      <c r="B49" s="156">
        <v>93</v>
      </c>
      <c r="C49" s="156" t="s">
        <v>476</v>
      </c>
      <c r="D49" s="157" t="s">
        <v>167</v>
      </c>
      <c r="E49" s="158" t="s">
        <v>168</v>
      </c>
      <c r="F49" s="158" t="s">
        <v>169</v>
      </c>
      <c r="G49" s="158" t="s">
        <v>48</v>
      </c>
      <c r="H49" s="159"/>
      <c r="I49" s="160"/>
      <c r="J49" s="109">
        <f>SUM(P49:P54)</f>
        <v>40</v>
      </c>
      <c r="K49" s="75" t="s">
        <v>49</v>
      </c>
      <c r="L49" s="80" t="s">
        <v>40</v>
      </c>
      <c r="M49" s="80" t="s">
        <v>40</v>
      </c>
      <c r="N49" s="236">
        <f>N44+21</f>
        <v>46433</v>
      </c>
      <c r="O49" s="116"/>
      <c r="P49" s="112">
        <f t="shared" si="3"/>
        <v>12</v>
      </c>
      <c r="Q49" s="109">
        <f t="shared" si="4"/>
        <v>6.5</v>
      </c>
      <c r="R49" s="110">
        <f t="shared" si="5"/>
        <v>18.5</v>
      </c>
      <c r="S49">
        <v>1410</v>
      </c>
      <c r="T49">
        <v>0</v>
      </c>
      <c r="U49">
        <v>14</v>
      </c>
      <c r="V49">
        <v>4</v>
      </c>
      <c r="W49">
        <v>638</v>
      </c>
      <c r="X49">
        <v>23</v>
      </c>
      <c r="Y49">
        <v>34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502</v>
      </c>
      <c r="AF49">
        <v>0</v>
      </c>
      <c r="AG49">
        <v>8</v>
      </c>
      <c r="AH49">
        <v>1</v>
      </c>
      <c r="AI49">
        <v>0</v>
      </c>
      <c r="AJ49">
        <v>181</v>
      </c>
      <c r="AK49">
        <v>5</v>
      </c>
    </row>
    <row r="50" spans="1:37" x14ac:dyDescent="0.3">
      <c r="A50" s="221">
        <v>49</v>
      </c>
      <c r="B50" s="156">
        <v>94</v>
      </c>
      <c r="C50" s="156" t="s">
        <v>476</v>
      </c>
      <c r="D50" s="157" t="s">
        <v>167</v>
      </c>
      <c r="E50" s="158" t="s">
        <v>170</v>
      </c>
      <c r="F50" s="158" t="s">
        <v>171</v>
      </c>
      <c r="G50" s="158" t="s">
        <v>53</v>
      </c>
      <c r="H50" s="158"/>
      <c r="I50" s="160"/>
      <c r="J50" s="160"/>
      <c r="K50" s="75" t="s">
        <v>49</v>
      </c>
      <c r="L50" s="80" t="s">
        <v>40</v>
      </c>
      <c r="M50" s="80" t="s">
        <v>40</v>
      </c>
      <c r="N50" s="236"/>
      <c r="O50" s="116"/>
      <c r="P50" s="112">
        <f t="shared" si="3"/>
        <v>8</v>
      </c>
      <c r="Q50" s="109">
        <f t="shared" si="4"/>
        <v>5</v>
      </c>
      <c r="R50" s="110">
        <f t="shared" si="5"/>
        <v>13</v>
      </c>
      <c r="S50">
        <v>127</v>
      </c>
      <c r="T50">
        <v>0</v>
      </c>
      <c r="U50">
        <v>0</v>
      </c>
      <c r="V50">
        <v>0</v>
      </c>
      <c r="W50">
        <v>0</v>
      </c>
      <c r="X50">
        <v>0</v>
      </c>
      <c r="Y50">
        <v>9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118</v>
      </c>
      <c r="AK50">
        <v>0</v>
      </c>
    </row>
    <row r="51" spans="1:37" x14ac:dyDescent="0.3">
      <c r="A51" s="221">
        <v>50</v>
      </c>
      <c r="B51" s="156">
        <v>94.1</v>
      </c>
      <c r="C51" s="156" t="s">
        <v>476</v>
      </c>
      <c r="D51" s="157" t="s">
        <v>167</v>
      </c>
      <c r="E51" s="31" t="s">
        <v>172</v>
      </c>
      <c r="F51" s="48" t="s">
        <v>173</v>
      </c>
      <c r="G51" s="39" t="s">
        <v>44</v>
      </c>
      <c r="H51" s="39"/>
      <c r="I51" s="95"/>
      <c r="J51" s="95"/>
      <c r="K51" s="75" t="s">
        <v>49</v>
      </c>
      <c r="L51" s="80" t="s">
        <v>40</v>
      </c>
      <c r="M51" s="80" t="s">
        <v>40</v>
      </c>
      <c r="N51" s="236"/>
      <c r="O51" s="116"/>
      <c r="P51" s="112">
        <f t="shared" si="3"/>
        <v>4</v>
      </c>
      <c r="Q51" s="109">
        <f t="shared" si="4"/>
        <v>1.5</v>
      </c>
      <c r="R51" s="110">
        <f t="shared" si="5"/>
        <v>5.5</v>
      </c>
      <c r="S51">
        <v>157</v>
      </c>
      <c r="T51">
        <v>0</v>
      </c>
      <c r="U51">
        <v>0</v>
      </c>
      <c r="V51">
        <v>0</v>
      </c>
      <c r="W51">
        <v>0</v>
      </c>
      <c r="X51">
        <v>0</v>
      </c>
      <c r="Y51">
        <v>1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156</v>
      </c>
      <c r="AK51">
        <v>0</v>
      </c>
    </row>
    <row r="52" spans="1:37" x14ac:dyDescent="0.3">
      <c r="A52" s="221">
        <v>51</v>
      </c>
      <c r="B52" s="156">
        <v>94.2</v>
      </c>
      <c r="C52" s="156" t="s">
        <v>476</v>
      </c>
      <c r="D52" s="157" t="s">
        <v>167</v>
      </c>
      <c r="E52" s="31" t="s">
        <v>174</v>
      </c>
      <c r="F52" s="32" t="s">
        <v>175</v>
      </c>
      <c r="G52" s="39" t="s">
        <v>44</v>
      </c>
      <c r="H52" s="39"/>
      <c r="I52" s="95"/>
      <c r="J52" s="95"/>
      <c r="K52" s="75" t="s">
        <v>49</v>
      </c>
      <c r="L52" s="80" t="s">
        <v>40</v>
      </c>
      <c r="M52" s="80" t="s">
        <v>40</v>
      </c>
      <c r="N52" s="236"/>
      <c r="O52" s="116"/>
      <c r="P52" s="112">
        <f t="shared" si="3"/>
        <v>4</v>
      </c>
      <c r="Q52" s="109">
        <f t="shared" si="4"/>
        <v>1.5</v>
      </c>
      <c r="R52" s="110">
        <f t="shared" si="5"/>
        <v>5.5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</row>
    <row r="53" spans="1:37" x14ac:dyDescent="0.3">
      <c r="A53" s="221">
        <v>52</v>
      </c>
      <c r="B53" s="156">
        <v>95</v>
      </c>
      <c r="C53" s="156" t="s">
        <v>476</v>
      </c>
      <c r="D53" s="157" t="s">
        <v>167</v>
      </c>
      <c r="E53" s="158" t="s">
        <v>176</v>
      </c>
      <c r="F53" s="158" t="s">
        <v>177</v>
      </c>
      <c r="G53" s="158" t="s">
        <v>53</v>
      </c>
      <c r="H53" s="158"/>
      <c r="I53" s="160"/>
      <c r="J53" s="160"/>
      <c r="K53" s="24" t="s">
        <v>39</v>
      </c>
      <c r="L53" s="11" t="s">
        <v>40</v>
      </c>
      <c r="M53" s="24" t="s">
        <v>41</v>
      </c>
      <c r="N53" s="239"/>
      <c r="O53" s="116"/>
      <c r="P53" s="112">
        <f t="shared" si="3"/>
        <v>8</v>
      </c>
      <c r="Q53" s="109">
        <f t="shared" si="4"/>
        <v>5</v>
      </c>
      <c r="R53" s="110">
        <f t="shared" si="5"/>
        <v>13</v>
      </c>
      <c r="S53">
        <v>6620</v>
      </c>
      <c r="T53">
        <v>0</v>
      </c>
      <c r="U53">
        <v>2453</v>
      </c>
      <c r="V53">
        <v>59</v>
      </c>
      <c r="W53">
        <v>81</v>
      </c>
      <c r="X53">
        <v>26</v>
      </c>
      <c r="Y53">
        <v>13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63</v>
      </c>
      <c r="AF53">
        <v>0</v>
      </c>
      <c r="AG53">
        <v>695</v>
      </c>
      <c r="AH53">
        <v>1</v>
      </c>
      <c r="AI53">
        <v>0</v>
      </c>
      <c r="AJ53">
        <v>3190</v>
      </c>
      <c r="AK53">
        <v>39</v>
      </c>
    </row>
    <row r="54" spans="1:37" x14ac:dyDescent="0.3">
      <c r="A54" s="221">
        <v>53</v>
      </c>
      <c r="B54" s="156">
        <v>95.1</v>
      </c>
      <c r="C54" s="156" t="s">
        <v>476</v>
      </c>
      <c r="D54" s="157" t="s">
        <v>167</v>
      </c>
      <c r="E54" s="161" t="s">
        <v>178</v>
      </c>
      <c r="F54" s="158" t="s">
        <v>179</v>
      </c>
      <c r="G54" s="158" t="s">
        <v>44</v>
      </c>
      <c r="H54" s="158"/>
      <c r="I54" s="160"/>
      <c r="J54" s="160"/>
      <c r="K54" s="24" t="s">
        <v>39</v>
      </c>
      <c r="L54" s="11" t="s">
        <v>40</v>
      </c>
      <c r="M54" s="24" t="s">
        <v>41</v>
      </c>
      <c r="N54" s="239"/>
      <c r="O54" s="116"/>
      <c r="P54" s="112">
        <f t="shared" si="3"/>
        <v>4</v>
      </c>
      <c r="Q54" s="109">
        <f t="shared" si="4"/>
        <v>1.5</v>
      </c>
      <c r="R54" s="110">
        <f t="shared" si="5"/>
        <v>5.5</v>
      </c>
      <c r="S54">
        <v>6329</v>
      </c>
      <c r="T54">
        <v>0</v>
      </c>
      <c r="U54">
        <v>2416</v>
      </c>
      <c r="V54">
        <v>49</v>
      </c>
      <c r="W54">
        <v>122</v>
      </c>
      <c r="X54">
        <v>20</v>
      </c>
      <c r="Y54">
        <v>10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42</v>
      </c>
      <c r="AF54">
        <v>0</v>
      </c>
      <c r="AG54">
        <v>830</v>
      </c>
      <c r="AH54">
        <v>2</v>
      </c>
      <c r="AI54">
        <v>0</v>
      </c>
      <c r="AJ54">
        <v>2811</v>
      </c>
      <c r="AK54">
        <v>27</v>
      </c>
    </row>
    <row r="55" spans="1:37" x14ac:dyDescent="0.3">
      <c r="A55" s="221">
        <v>54</v>
      </c>
      <c r="B55" s="156">
        <v>73</v>
      </c>
      <c r="C55" s="156" t="s">
        <v>476</v>
      </c>
      <c r="D55" s="171" t="s">
        <v>152</v>
      </c>
      <c r="E55" s="176" t="s">
        <v>180</v>
      </c>
      <c r="F55" s="163" t="s">
        <v>181</v>
      </c>
      <c r="G55" s="158" t="s">
        <v>53</v>
      </c>
      <c r="H55" s="158"/>
      <c r="I55" s="160"/>
      <c r="J55" s="160"/>
      <c r="K55" s="3" t="s">
        <v>40</v>
      </c>
      <c r="L55" s="3" t="s">
        <v>87</v>
      </c>
      <c r="M55" s="3" t="s">
        <v>40</v>
      </c>
      <c r="N55" s="237"/>
      <c r="O55" s="116"/>
      <c r="P55" s="112">
        <f t="shared" si="3"/>
        <v>8</v>
      </c>
      <c r="Q55" s="109">
        <f t="shared" si="4"/>
        <v>5</v>
      </c>
      <c r="R55" s="110">
        <f t="shared" si="5"/>
        <v>13</v>
      </c>
      <c r="S55">
        <v>13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13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</row>
    <row r="56" spans="1:37" x14ac:dyDescent="0.3">
      <c r="A56" s="221">
        <v>55</v>
      </c>
      <c r="B56" s="188">
        <v>96</v>
      </c>
      <c r="C56" s="188"/>
      <c r="D56" s="189" t="s">
        <v>167</v>
      </c>
      <c r="E56" s="191" t="s">
        <v>182</v>
      </c>
      <c r="F56" s="191" t="s">
        <v>183</v>
      </c>
      <c r="G56" s="191" t="s">
        <v>48</v>
      </c>
      <c r="H56" s="193"/>
      <c r="I56" s="194"/>
      <c r="J56" s="195">
        <f>SUM(P56:P61)</f>
        <v>52</v>
      </c>
      <c r="K56" s="24" t="s">
        <v>39</v>
      </c>
      <c r="L56" s="11" t="s">
        <v>40</v>
      </c>
      <c r="M56" s="24" t="s">
        <v>41</v>
      </c>
      <c r="N56" s="242">
        <f>N49+21</f>
        <v>46454</v>
      </c>
      <c r="O56" s="116"/>
      <c r="P56" s="112">
        <f t="shared" si="3"/>
        <v>12</v>
      </c>
      <c r="Q56" s="109">
        <f t="shared" si="4"/>
        <v>6.5</v>
      </c>
      <c r="R56" s="110">
        <f t="shared" si="5"/>
        <v>18.5</v>
      </c>
      <c r="S56">
        <v>238</v>
      </c>
      <c r="T56">
        <v>0</v>
      </c>
      <c r="U56">
        <v>0</v>
      </c>
      <c r="V56">
        <v>205</v>
      </c>
      <c r="W56">
        <v>0</v>
      </c>
      <c r="X56">
        <v>8</v>
      </c>
      <c r="Y56">
        <v>1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24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</row>
    <row r="57" spans="1:37" x14ac:dyDescent="0.3">
      <c r="A57" s="221">
        <v>56</v>
      </c>
      <c r="B57" s="188">
        <v>98</v>
      </c>
      <c r="C57" s="188"/>
      <c r="D57" s="189" t="s">
        <v>167</v>
      </c>
      <c r="E57" s="191" t="s">
        <v>184</v>
      </c>
      <c r="F57" s="191" t="s">
        <v>185</v>
      </c>
      <c r="G57" s="191" t="s">
        <v>53</v>
      </c>
      <c r="H57" s="191"/>
      <c r="I57" s="194"/>
      <c r="J57" s="194"/>
      <c r="K57" s="24" t="s">
        <v>39</v>
      </c>
      <c r="L57" s="11" t="s">
        <v>40</v>
      </c>
      <c r="M57" s="11" t="s">
        <v>40</v>
      </c>
      <c r="N57" s="241"/>
      <c r="O57" s="116"/>
      <c r="P57" s="112">
        <f t="shared" si="3"/>
        <v>8</v>
      </c>
      <c r="Q57" s="109">
        <f t="shared" si="4"/>
        <v>5</v>
      </c>
      <c r="R57" s="110">
        <f t="shared" si="5"/>
        <v>13</v>
      </c>
      <c r="S57">
        <v>3</v>
      </c>
      <c r="T57">
        <v>0</v>
      </c>
      <c r="U57">
        <v>0</v>
      </c>
      <c r="V57">
        <v>0</v>
      </c>
      <c r="W57">
        <v>0</v>
      </c>
      <c r="X57">
        <v>0</v>
      </c>
      <c r="Y57">
        <v>3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</row>
    <row r="58" spans="1:37" x14ac:dyDescent="0.3">
      <c r="A58" s="221">
        <v>57</v>
      </c>
      <c r="B58" s="188">
        <v>99</v>
      </c>
      <c r="C58" s="188"/>
      <c r="D58" s="189" t="s">
        <v>167</v>
      </c>
      <c r="E58" s="191" t="s">
        <v>186</v>
      </c>
      <c r="F58" s="191" t="s">
        <v>187</v>
      </c>
      <c r="G58" s="191" t="s">
        <v>53</v>
      </c>
      <c r="H58" s="191"/>
      <c r="I58" s="194"/>
      <c r="J58" s="194"/>
      <c r="K58" s="3" t="s">
        <v>49</v>
      </c>
      <c r="L58" s="11" t="s">
        <v>40</v>
      </c>
      <c r="M58" s="11" t="s">
        <v>40</v>
      </c>
      <c r="N58" s="241"/>
      <c r="O58" s="116"/>
      <c r="P58" s="112">
        <f t="shared" si="3"/>
        <v>8</v>
      </c>
      <c r="Q58" s="109">
        <f t="shared" si="4"/>
        <v>5</v>
      </c>
      <c r="R58" s="110">
        <f t="shared" si="5"/>
        <v>13</v>
      </c>
      <c r="S58">
        <v>6</v>
      </c>
      <c r="T58">
        <v>0</v>
      </c>
      <c r="U58">
        <v>0</v>
      </c>
      <c r="V58">
        <v>0</v>
      </c>
      <c r="W58">
        <v>0</v>
      </c>
      <c r="X58">
        <v>0</v>
      </c>
      <c r="Y58">
        <v>2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4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</row>
    <row r="59" spans="1:37" x14ac:dyDescent="0.3">
      <c r="A59" s="221">
        <v>58</v>
      </c>
      <c r="B59" s="188">
        <v>100</v>
      </c>
      <c r="C59" s="188"/>
      <c r="D59" s="189" t="s">
        <v>167</v>
      </c>
      <c r="E59" s="191" t="s">
        <v>188</v>
      </c>
      <c r="F59" s="191" t="s">
        <v>189</v>
      </c>
      <c r="G59" s="191" t="s">
        <v>53</v>
      </c>
      <c r="H59" s="191"/>
      <c r="I59" s="194"/>
      <c r="J59" s="194"/>
      <c r="K59" s="3" t="s">
        <v>49</v>
      </c>
      <c r="L59" s="11" t="s">
        <v>40</v>
      </c>
      <c r="M59" s="11" t="s">
        <v>40</v>
      </c>
      <c r="N59" s="241"/>
      <c r="O59" s="116"/>
      <c r="P59" s="112">
        <f t="shared" si="3"/>
        <v>8</v>
      </c>
      <c r="Q59" s="109">
        <f t="shared" si="4"/>
        <v>5</v>
      </c>
      <c r="R59" s="110">
        <f t="shared" si="5"/>
        <v>13</v>
      </c>
      <c r="S59">
        <v>74</v>
      </c>
      <c r="T59">
        <v>0</v>
      </c>
      <c r="U59">
        <v>0</v>
      </c>
      <c r="V59">
        <v>0</v>
      </c>
      <c r="W59">
        <v>0</v>
      </c>
      <c r="X59">
        <v>50</v>
      </c>
      <c r="Y59">
        <v>13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8</v>
      </c>
      <c r="AF59">
        <v>0</v>
      </c>
      <c r="AG59">
        <v>0</v>
      </c>
      <c r="AH59">
        <v>0</v>
      </c>
      <c r="AI59">
        <v>0</v>
      </c>
      <c r="AJ59">
        <v>2</v>
      </c>
      <c r="AK59">
        <v>1</v>
      </c>
    </row>
    <row r="60" spans="1:37" x14ac:dyDescent="0.3">
      <c r="A60" s="221">
        <v>59</v>
      </c>
      <c r="B60" s="188">
        <v>100.1</v>
      </c>
      <c r="C60" s="188"/>
      <c r="D60" s="189" t="s">
        <v>167</v>
      </c>
      <c r="E60" s="196" t="s">
        <v>190</v>
      </c>
      <c r="F60" s="197" t="s">
        <v>191</v>
      </c>
      <c r="G60" s="198" t="s">
        <v>53</v>
      </c>
      <c r="H60" s="198"/>
      <c r="I60" s="199"/>
      <c r="J60" s="199"/>
      <c r="K60" s="3" t="s">
        <v>49</v>
      </c>
      <c r="L60" s="11" t="s">
        <v>40</v>
      </c>
      <c r="M60" s="11" t="s">
        <v>40</v>
      </c>
      <c r="N60" s="241"/>
      <c r="O60" s="116"/>
      <c r="P60" s="112">
        <f t="shared" si="3"/>
        <v>8</v>
      </c>
      <c r="Q60" s="109">
        <f t="shared" si="4"/>
        <v>5</v>
      </c>
      <c r="R60" s="110">
        <f t="shared" si="5"/>
        <v>13</v>
      </c>
      <c r="S60">
        <v>20</v>
      </c>
      <c r="T60">
        <v>0</v>
      </c>
      <c r="U60">
        <v>0</v>
      </c>
      <c r="V60">
        <v>0</v>
      </c>
      <c r="W60">
        <v>0</v>
      </c>
      <c r="X60">
        <v>19</v>
      </c>
      <c r="Y60">
        <v>1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</row>
    <row r="61" spans="1:37" x14ac:dyDescent="0.3">
      <c r="A61" s="221">
        <v>60</v>
      </c>
      <c r="B61" s="188">
        <v>70</v>
      </c>
      <c r="C61" s="188"/>
      <c r="D61" s="206" t="s">
        <v>152</v>
      </c>
      <c r="E61" s="201" t="s">
        <v>192</v>
      </c>
      <c r="F61" s="190" t="s">
        <v>193</v>
      </c>
      <c r="G61" s="191" t="s">
        <v>53</v>
      </c>
      <c r="H61" s="191"/>
      <c r="I61" s="194"/>
      <c r="J61" s="194"/>
      <c r="K61" s="3" t="s">
        <v>40</v>
      </c>
      <c r="L61" s="3" t="s">
        <v>87</v>
      </c>
      <c r="M61" s="3" t="s">
        <v>40</v>
      </c>
      <c r="N61" s="244"/>
      <c r="O61" s="116"/>
      <c r="P61" s="112">
        <f t="shared" si="3"/>
        <v>8</v>
      </c>
      <c r="Q61" s="109">
        <f t="shared" si="4"/>
        <v>5</v>
      </c>
      <c r="R61" s="110">
        <f t="shared" si="5"/>
        <v>13</v>
      </c>
      <c r="S61">
        <v>1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1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</row>
    <row r="62" spans="1:37" x14ac:dyDescent="0.3">
      <c r="A62" s="221">
        <v>61</v>
      </c>
      <c r="B62" s="156">
        <v>41</v>
      </c>
      <c r="C62" s="156"/>
      <c r="D62" s="157" t="s">
        <v>194</v>
      </c>
      <c r="E62" s="163" t="s">
        <v>195</v>
      </c>
      <c r="F62" s="167" t="s">
        <v>196</v>
      </c>
      <c r="G62" s="158" t="s">
        <v>86</v>
      </c>
      <c r="H62" s="159"/>
      <c r="I62" s="160"/>
      <c r="J62" s="109">
        <f>SUM(P62:P64)</f>
        <v>44</v>
      </c>
      <c r="K62" s="78" t="s">
        <v>39</v>
      </c>
      <c r="L62" s="78" t="s">
        <v>87</v>
      </c>
      <c r="M62" s="78" t="s">
        <v>87</v>
      </c>
      <c r="N62" s="239">
        <f>N56+21</f>
        <v>46475</v>
      </c>
      <c r="O62" s="116"/>
      <c r="P62" s="112">
        <v>18</v>
      </c>
      <c r="Q62" s="109">
        <v>8</v>
      </c>
      <c r="R62" s="110">
        <f t="shared" si="5"/>
        <v>26</v>
      </c>
      <c r="S62">
        <v>29457</v>
      </c>
      <c r="T62">
        <v>0</v>
      </c>
      <c r="U62">
        <v>472</v>
      </c>
      <c r="V62">
        <v>1472</v>
      </c>
      <c r="W62">
        <v>222</v>
      </c>
      <c r="X62">
        <v>0</v>
      </c>
      <c r="Y62">
        <v>11</v>
      </c>
      <c r="Z62">
        <v>0</v>
      </c>
      <c r="AA62">
        <v>0</v>
      </c>
      <c r="AB62">
        <v>11238</v>
      </c>
      <c r="AC62">
        <v>4015</v>
      </c>
      <c r="AD62">
        <v>2344</v>
      </c>
      <c r="AE62">
        <v>9</v>
      </c>
      <c r="AF62">
        <v>0</v>
      </c>
      <c r="AG62">
        <v>11</v>
      </c>
      <c r="AH62">
        <v>0</v>
      </c>
      <c r="AI62">
        <v>0</v>
      </c>
      <c r="AJ62">
        <v>9538</v>
      </c>
      <c r="AK62">
        <v>125</v>
      </c>
    </row>
    <row r="63" spans="1:37" x14ac:dyDescent="0.3">
      <c r="A63" s="221">
        <v>62</v>
      </c>
      <c r="B63" s="156">
        <v>41.1</v>
      </c>
      <c r="C63" s="156"/>
      <c r="D63" s="157" t="s">
        <v>194</v>
      </c>
      <c r="E63" s="164" t="s">
        <v>197</v>
      </c>
      <c r="F63" s="167" t="s">
        <v>198</v>
      </c>
      <c r="G63" s="158" t="s">
        <v>53</v>
      </c>
      <c r="H63" s="158"/>
      <c r="I63" s="160"/>
      <c r="J63" s="160"/>
      <c r="K63" s="78" t="s">
        <v>39</v>
      </c>
      <c r="L63" s="78" t="s">
        <v>87</v>
      </c>
      <c r="M63" s="78" t="s">
        <v>87</v>
      </c>
      <c r="N63" s="239"/>
      <c r="O63" s="116"/>
      <c r="P63" s="112">
        <v>8</v>
      </c>
      <c r="Q63" s="109">
        <v>5</v>
      </c>
      <c r="R63" s="110">
        <f t="shared" si="5"/>
        <v>13</v>
      </c>
      <c r="S63">
        <v>238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148</v>
      </c>
      <c r="AC63">
        <v>13</v>
      </c>
      <c r="AD63">
        <v>77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</row>
    <row r="64" spans="1:37" x14ac:dyDescent="0.3">
      <c r="A64" s="221">
        <v>63</v>
      </c>
      <c r="B64" s="156">
        <v>58</v>
      </c>
      <c r="C64" s="156"/>
      <c r="D64" s="157" t="s">
        <v>199</v>
      </c>
      <c r="E64" s="42" t="s">
        <v>200</v>
      </c>
      <c r="F64" s="42" t="s">
        <v>196</v>
      </c>
      <c r="G64" s="158" t="s">
        <v>86</v>
      </c>
      <c r="H64" s="158"/>
      <c r="I64" s="160"/>
      <c r="J64" s="160"/>
      <c r="K64" s="75" t="s">
        <v>40</v>
      </c>
      <c r="L64" s="75" t="s">
        <v>87</v>
      </c>
      <c r="M64" s="75" t="s">
        <v>40</v>
      </c>
      <c r="N64" s="237"/>
      <c r="O64" s="116"/>
      <c r="P64" s="112">
        <f t="shared" ref="P64:P95" si="6">IFERROR(VLOOKUP($G64,ComplexityLOE,2,FALSE),"")</f>
        <v>18</v>
      </c>
      <c r="Q64" s="109">
        <f t="shared" ref="Q64:Q95" si="7">IFERROR(VLOOKUP($G64,ComplexityLOE,3,FALSE),"")</f>
        <v>8</v>
      </c>
      <c r="R64" s="110">
        <f t="shared" si="5"/>
        <v>26</v>
      </c>
      <c r="S64">
        <v>29457</v>
      </c>
      <c r="T64">
        <v>0</v>
      </c>
      <c r="U64">
        <v>472</v>
      </c>
      <c r="V64">
        <v>1472</v>
      </c>
      <c r="W64">
        <v>222</v>
      </c>
      <c r="X64">
        <v>0</v>
      </c>
      <c r="Y64">
        <v>11</v>
      </c>
      <c r="Z64">
        <v>0</v>
      </c>
      <c r="AA64">
        <v>0</v>
      </c>
      <c r="AB64">
        <v>11238</v>
      </c>
      <c r="AC64">
        <v>4015</v>
      </c>
      <c r="AD64">
        <v>2344</v>
      </c>
      <c r="AE64">
        <v>9</v>
      </c>
      <c r="AF64">
        <v>0</v>
      </c>
      <c r="AG64">
        <v>11</v>
      </c>
      <c r="AH64">
        <v>0</v>
      </c>
      <c r="AI64">
        <v>0</v>
      </c>
      <c r="AJ64">
        <v>9538</v>
      </c>
      <c r="AK64">
        <v>125</v>
      </c>
    </row>
    <row r="65" spans="1:37" x14ac:dyDescent="0.3">
      <c r="A65" s="221">
        <v>64</v>
      </c>
      <c r="B65" s="188">
        <v>44</v>
      </c>
      <c r="C65" s="188"/>
      <c r="D65" s="189" t="s">
        <v>194</v>
      </c>
      <c r="E65" s="190" t="s">
        <v>201</v>
      </c>
      <c r="F65" s="192" t="s">
        <v>202</v>
      </c>
      <c r="G65" s="213" t="s">
        <v>203</v>
      </c>
      <c r="H65" s="227"/>
      <c r="I65" s="214"/>
      <c r="J65" s="215">
        <f>SUM(P65:P69)</f>
        <v>56</v>
      </c>
      <c r="K65" s="12" t="s">
        <v>39</v>
      </c>
      <c r="L65" s="3" t="s">
        <v>41</v>
      </c>
      <c r="M65" s="12" t="s">
        <v>87</v>
      </c>
      <c r="N65" s="242">
        <f>N62+21</f>
        <v>46496</v>
      </c>
      <c r="O65" s="116"/>
      <c r="P65" s="112">
        <f t="shared" si="6"/>
        <v>24</v>
      </c>
      <c r="Q65" s="109">
        <f t="shared" si="7"/>
        <v>11</v>
      </c>
      <c r="R65" s="110">
        <f t="shared" si="5"/>
        <v>35</v>
      </c>
      <c r="S65">
        <v>312924</v>
      </c>
      <c r="T65">
        <v>0</v>
      </c>
      <c r="U65">
        <v>112285</v>
      </c>
      <c r="V65">
        <v>25372</v>
      </c>
      <c r="W65">
        <v>6260</v>
      </c>
      <c r="X65">
        <v>98</v>
      </c>
      <c r="Y65">
        <v>127</v>
      </c>
      <c r="Z65">
        <v>32</v>
      </c>
      <c r="AA65">
        <v>0</v>
      </c>
      <c r="AB65">
        <v>16448</v>
      </c>
      <c r="AC65">
        <v>1875</v>
      </c>
      <c r="AD65">
        <v>8664</v>
      </c>
      <c r="AE65">
        <v>1270</v>
      </c>
      <c r="AF65">
        <v>0</v>
      </c>
      <c r="AG65">
        <v>52</v>
      </c>
      <c r="AH65">
        <v>2</v>
      </c>
      <c r="AI65">
        <v>0</v>
      </c>
      <c r="AJ65">
        <v>123855</v>
      </c>
      <c r="AK65">
        <v>16584</v>
      </c>
    </row>
    <row r="66" spans="1:37" x14ac:dyDescent="0.3">
      <c r="A66" s="221">
        <v>65</v>
      </c>
      <c r="B66" s="188">
        <v>44.1</v>
      </c>
      <c r="C66" s="188"/>
      <c r="D66" s="189" t="s">
        <v>194</v>
      </c>
      <c r="E66" s="200" t="s">
        <v>204</v>
      </c>
      <c r="F66" s="192"/>
      <c r="G66" s="190" t="s">
        <v>48</v>
      </c>
      <c r="H66" s="190"/>
      <c r="I66" s="214"/>
      <c r="J66" s="214"/>
      <c r="K66" s="12" t="s">
        <v>39</v>
      </c>
      <c r="L66" s="3" t="s">
        <v>41</v>
      </c>
      <c r="M66" s="12" t="s">
        <v>87</v>
      </c>
      <c r="N66" s="242"/>
      <c r="O66" s="116"/>
      <c r="P66" s="112">
        <f t="shared" si="6"/>
        <v>12</v>
      </c>
      <c r="Q66" s="109">
        <f t="shared" si="7"/>
        <v>6.5</v>
      </c>
      <c r="R66" s="110">
        <f t="shared" ref="R66:R97" si="8">IFERROR(P66+Q66,"")</f>
        <v>18.5</v>
      </c>
    </row>
    <row r="67" spans="1:37" x14ac:dyDescent="0.3">
      <c r="A67" s="221">
        <v>66</v>
      </c>
      <c r="B67" s="188">
        <v>44.2</v>
      </c>
      <c r="C67" s="188"/>
      <c r="D67" s="189" t="s">
        <v>194</v>
      </c>
      <c r="E67" s="200" t="s">
        <v>205</v>
      </c>
      <c r="F67" s="192" t="s">
        <v>206</v>
      </c>
      <c r="G67" s="190" t="s">
        <v>44</v>
      </c>
      <c r="H67" s="190"/>
      <c r="I67" s="214"/>
      <c r="J67" s="214"/>
      <c r="K67" s="12" t="s">
        <v>39</v>
      </c>
      <c r="L67" s="3" t="s">
        <v>41</v>
      </c>
      <c r="M67" s="12" t="s">
        <v>87</v>
      </c>
      <c r="N67" s="242"/>
      <c r="O67" s="116"/>
      <c r="P67" s="112">
        <f t="shared" si="6"/>
        <v>4</v>
      </c>
      <c r="Q67" s="109">
        <f t="shared" si="7"/>
        <v>1.5</v>
      </c>
      <c r="R67" s="110">
        <f t="shared" si="8"/>
        <v>5.5</v>
      </c>
      <c r="S67">
        <v>3691</v>
      </c>
      <c r="T67">
        <v>0</v>
      </c>
      <c r="U67">
        <v>728</v>
      </c>
      <c r="V67">
        <v>203</v>
      </c>
      <c r="W67">
        <v>246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19</v>
      </c>
      <c r="AF67">
        <v>0</v>
      </c>
      <c r="AG67">
        <v>0</v>
      </c>
      <c r="AH67">
        <v>0</v>
      </c>
      <c r="AI67">
        <v>0</v>
      </c>
      <c r="AJ67">
        <v>2361</v>
      </c>
      <c r="AK67">
        <v>134</v>
      </c>
    </row>
    <row r="68" spans="1:37" x14ac:dyDescent="0.3">
      <c r="A68" s="221">
        <v>67</v>
      </c>
      <c r="B68" s="188">
        <v>44.3</v>
      </c>
      <c r="C68" s="188"/>
      <c r="D68" s="189" t="s">
        <v>194</v>
      </c>
      <c r="E68" s="200" t="s">
        <v>207</v>
      </c>
      <c r="F68" s="192" t="s">
        <v>208</v>
      </c>
      <c r="G68" s="190" t="s">
        <v>48</v>
      </c>
      <c r="H68" s="190"/>
      <c r="I68" s="214"/>
      <c r="J68" s="214"/>
      <c r="K68" s="12" t="s">
        <v>39</v>
      </c>
      <c r="L68" s="3" t="s">
        <v>41</v>
      </c>
      <c r="M68" s="12" t="s">
        <v>87</v>
      </c>
      <c r="N68" s="242"/>
      <c r="O68" s="116"/>
      <c r="P68" s="112">
        <f t="shared" si="6"/>
        <v>12</v>
      </c>
      <c r="Q68" s="109">
        <f t="shared" si="7"/>
        <v>6.5</v>
      </c>
      <c r="R68" s="110">
        <f t="shared" si="8"/>
        <v>18.5</v>
      </c>
      <c r="S68">
        <v>125125</v>
      </c>
      <c r="T68">
        <v>0</v>
      </c>
      <c r="U68">
        <v>41104</v>
      </c>
      <c r="V68">
        <v>10740</v>
      </c>
      <c r="W68">
        <v>3477</v>
      </c>
      <c r="X68">
        <v>0</v>
      </c>
      <c r="Y68">
        <v>1</v>
      </c>
      <c r="Z68">
        <v>0</v>
      </c>
      <c r="AA68">
        <v>0</v>
      </c>
      <c r="AB68">
        <v>3656</v>
      </c>
      <c r="AC68">
        <v>492</v>
      </c>
      <c r="AD68">
        <v>1014</v>
      </c>
      <c r="AE68">
        <v>1094</v>
      </c>
      <c r="AF68">
        <v>0</v>
      </c>
      <c r="AG68">
        <v>46</v>
      </c>
      <c r="AH68">
        <v>0</v>
      </c>
      <c r="AI68">
        <v>0</v>
      </c>
      <c r="AJ68">
        <v>60911</v>
      </c>
      <c r="AK68">
        <v>2590</v>
      </c>
    </row>
    <row r="69" spans="1:37" x14ac:dyDescent="0.3">
      <c r="A69" s="221">
        <v>68</v>
      </c>
      <c r="B69" s="188">
        <v>44.4</v>
      </c>
      <c r="C69" s="188"/>
      <c r="D69" s="189" t="s">
        <v>194</v>
      </c>
      <c r="E69" s="200" t="s">
        <v>209</v>
      </c>
      <c r="F69" s="197" t="s">
        <v>210</v>
      </c>
      <c r="G69" s="198" t="s">
        <v>44</v>
      </c>
      <c r="H69" s="198"/>
      <c r="I69" s="199"/>
      <c r="J69" s="199"/>
      <c r="K69" s="12" t="s">
        <v>39</v>
      </c>
      <c r="L69" s="3" t="s">
        <v>41</v>
      </c>
      <c r="M69" s="12" t="s">
        <v>87</v>
      </c>
      <c r="N69" s="242"/>
      <c r="O69" s="116"/>
      <c r="P69" s="112">
        <f t="shared" si="6"/>
        <v>4</v>
      </c>
      <c r="Q69" s="109">
        <f t="shared" si="7"/>
        <v>1.5</v>
      </c>
      <c r="R69" s="110">
        <f t="shared" si="8"/>
        <v>5.5</v>
      </c>
      <c r="S69">
        <v>16020</v>
      </c>
      <c r="T69">
        <v>0</v>
      </c>
      <c r="U69">
        <v>6010</v>
      </c>
      <c r="V69">
        <v>1217</v>
      </c>
      <c r="W69">
        <v>4</v>
      </c>
      <c r="X69">
        <v>0</v>
      </c>
      <c r="Y69">
        <v>0</v>
      </c>
      <c r="Z69">
        <v>0</v>
      </c>
      <c r="AA69">
        <v>0</v>
      </c>
      <c r="AB69">
        <v>8094</v>
      </c>
      <c r="AC69">
        <v>206</v>
      </c>
      <c r="AD69">
        <v>59</v>
      </c>
      <c r="AE69">
        <v>276</v>
      </c>
      <c r="AF69">
        <v>0</v>
      </c>
      <c r="AG69">
        <v>0</v>
      </c>
      <c r="AH69">
        <v>0</v>
      </c>
      <c r="AI69">
        <v>0</v>
      </c>
      <c r="AJ69">
        <v>150</v>
      </c>
      <c r="AK69">
        <v>4</v>
      </c>
    </row>
    <row r="70" spans="1:37" x14ac:dyDescent="0.3">
      <c r="A70" s="221">
        <v>69</v>
      </c>
      <c r="B70" s="156">
        <v>47</v>
      </c>
      <c r="C70" s="156"/>
      <c r="D70" s="157" t="s">
        <v>194</v>
      </c>
      <c r="E70" s="158" t="s">
        <v>211</v>
      </c>
      <c r="F70" s="158" t="s">
        <v>212</v>
      </c>
      <c r="G70" s="158" t="s">
        <v>44</v>
      </c>
      <c r="H70" s="159"/>
      <c r="I70" s="160"/>
      <c r="J70" s="109">
        <f>SUM(P70:P76)</f>
        <v>44</v>
      </c>
      <c r="K70" s="78" t="s">
        <v>39</v>
      </c>
      <c r="L70" s="75" t="s">
        <v>41</v>
      </c>
      <c r="M70" s="75" t="s">
        <v>87</v>
      </c>
      <c r="N70" s="237">
        <f>N65+21</f>
        <v>46517</v>
      </c>
      <c r="O70" s="116"/>
      <c r="P70" s="112">
        <f t="shared" si="6"/>
        <v>4</v>
      </c>
      <c r="Q70" s="109">
        <f t="shared" si="7"/>
        <v>1.5</v>
      </c>
      <c r="R70" s="110">
        <f t="shared" si="8"/>
        <v>5.5</v>
      </c>
      <c r="S70">
        <v>16193</v>
      </c>
      <c r="T70">
        <v>0</v>
      </c>
      <c r="U70">
        <v>4935</v>
      </c>
      <c r="V70">
        <v>1705</v>
      </c>
      <c r="W70">
        <v>337</v>
      </c>
      <c r="X70">
        <v>0</v>
      </c>
      <c r="Y70">
        <v>1</v>
      </c>
      <c r="Z70">
        <v>0</v>
      </c>
      <c r="AA70">
        <v>0</v>
      </c>
      <c r="AB70">
        <v>1786</v>
      </c>
      <c r="AC70">
        <v>217</v>
      </c>
      <c r="AD70">
        <v>438</v>
      </c>
      <c r="AE70">
        <v>192</v>
      </c>
      <c r="AF70">
        <v>0</v>
      </c>
      <c r="AG70">
        <v>2</v>
      </c>
      <c r="AH70">
        <v>0</v>
      </c>
      <c r="AI70">
        <v>0</v>
      </c>
      <c r="AJ70">
        <v>5966</v>
      </c>
      <c r="AK70">
        <v>614</v>
      </c>
    </row>
    <row r="71" spans="1:37" x14ac:dyDescent="0.3">
      <c r="A71" s="221">
        <v>70</v>
      </c>
      <c r="B71" s="156">
        <v>43</v>
      </c>
      <c r="C71" s="156"/>
      <c r="D71" s="157" t="s">
        <v>194</v>
      </c>
      <c r="E71" s="158" t="s">
        <v>213</v>
      </c>
      <c r="F71" s="167" t="s">
        <v>214</v>
      </c>
      <c r="G71" s="158" t="s">
        <v>53</v>
      </c>
      <c r="H71" s="158"/>
      <c r="I71" s="160"/>
      <c r="J71" s="160"/>
      <c r="K71" s="78" t="s">
        <v>39</v>
      </c>
      <c r="L71" s="75" t="s">
        <v>41</v>
      </c>
      <c r="M71" s="75" t="s">
        <v>87</v>
      </c>
      <c r="N71" s="237"/>
      <c r="O71" s="116"/>
      <c r="P71" s="112">
        <f t="shared" si="6"/>
        <v>8</v>
      </c>
      <c r="Q71" s="109">
        <f t="shared" si="7"/>
        <v>5</v>
      </c>
      <c r="R71" s="110">
        <f t="shared" si="8"/>
        <v>13</v>
      </c>
      <c r="S71">
        <v>17084</v>
      </c>
      <c r="T71">
        <v>0</v>
      </c>
      <c r="U71">
        <v>5005</v>
      </c>
      <c r="V71">
        <v>1740</v>
      </c>
      <c r="W71">
        <v>351</v>
      </c>
      <c r="X71">
        <v>0</v>
      </c>
      <c r="Y71">
        <v>2</v>
      </c>
      <c r="Z71">
        <v>0</v>
      </c>
      <c r="AA71">
        <v>0</v>
      </c>
      <c r="AB71">
        <v>2236</v>
      </c>
      <c r="AC71">
        <v>255</v>
      </c>
      <c r="AD71">
        <v>478</v>
      </c>
      <c r="AE71">
        <v>222</v>
      </c>
      <c r="AF71">
        <v>0</v>
      </c>
      <c r="AG71">
        <v>2</v>
      </c>
      <c r="AH71">
        <v>0</v>
      </c>
      <c r="AI71">
        <v>0</v>
      </c>
      <c r="AJ71">
        <v>6005</v>
      </c>
      <c r="AK71">
        <v>788</v>
      </c>
    </row>
    <row r="72" spans="1:37" x14ac:dyDescent="0.3">
      <c r="A72" s="221">
        <v>71</v>
      </c>
      <c r="B72" s="156">
        <v>45</v>
      </c>
      <c r="C72" s="156"/>
      <c r="D72" s="157" t="s">
        <v>194</v>
      </c>
      <c r="E72" s="163" t="s">
        <v>215</v>
      </c>
      <c r="F72" s="158" t="s">
        <v>216</v>
      </c>
      <c r="G72" s="163" t="s">
        <v>53</v>
      </c>
      <c r="H72" s="163"/>
      <c r="I72" s="168"/>
      <c r="J72" s="168"/>
      <c r="K72" s="78" t="s">
        <v>41</v>
      </c>
      <c r="L72" s="75" t="s">
        <v>41</v>
      </c>
      <c r="M72" s="78" t="s">
        <v>87</v>
      </c>
      <c r="N72" s="239"/>
      <c r="O72" s="116"/>
      <c r="P72" s="112">
        <f t="shared" si="6"/>
        <v>8</v>
      </c>
      <c r="Q72" s="109">
        <f t="shared" si="7"/>
        <v>5</v>
      </c>
      <c r="R72" s="110">
        <f t="shared" si="8"/>
        <v>13</v>
      </c>
      <c r="S72">
        <v>5201</v>
      </c>
      <c r="T72">
        <v>0</v>
      </c>
      <c r="U72">
        <v>4126</v>
      </c>
      <c r="V72">
        <v>593</v>
      </c>
      <c r="W72">
        <v>3</v>
      </c>
      <c r="X72">
        <v>0</v>
      </c>
      <c r="Y72">
        <v>24</v>
      </c>
      <c r="Z72">
        <v>0</v>
      </c>
      <c r="AA72">
        <v>0</v>
      </c>
      <c r="AB72">
        <v>16</v>
      </c>
      <c r="AC72">
        <v>45</v>
      </c>
      <c r="AD72">
        <v>0</v>
      </c>
      <c r="AE72">
        <v>4</v>
      </c>
      <c r="AF72">
        <v>0</v>
      </c>
      <c r="AG72">
        <v>5</v>
      </c>
      <c r="AH72">
        <v>0</v>
      </c>
      <c r="AI72">
        <v>0</v>
      </c>
      <c r="AJ72">
        <v>384</v>
      </c>
      <c r="AK72">
        <v>1</v>
      </c>
    </row>
    <row r="73" spans="1:37" x14ac:dyDescent="0.3">
      <c r="A73" s="221">
        <v>72</v>
      </c>
      <c r="B73" s="156">
        <v>46</v>
      </c>
      <c r="C73" s="156"/>
      <c r="D73" s="157" t="s">
        <v>194</v>
      </c>
      <c r="E73" s="158" t="s">
        <v>217</v>
      </c>
      <c r="F73" s="158" t="s">
        <v>218</v>
      </c>
      <c r="G73" s="158" t="s">
        <v>44</v>
      </c>
      <c r="H73" s="158"/>
      <c r="I73" s="160"/>
      <c r="J73" s="160"/>
      <c r="K73" s="78" t="s">
        <v>39</v>
      </c>
      <c r="L73" s="75" t="s">
        <v>41</v>
      </c>
      <c r="M73" s="75" t="s">
        <v>40</v>
      </c>
      <c r="N73" s="237"/>
      <c r="O73" s="116"/>
      <c r="P73" s="112">
        <f t="shared" si="6"/>
        <v>4</v>
      </c>
      <c r="Q73" s="109">
        <f t="shared" si="7"/>
        <v>1.5</v>
      </c>
      <c r="R73" s="110">
        <f t="shared" si="8"/>
        <v>5.5</v>
      </c>
      <c r="S73">
        <v>5968</v>
      </c>
      <c r="T73">
        <v>0</v>
      </c>
      <c r="U73">
        <v>719</v>
      </c>
      <c r="V73">
        <v>414</v>
      </c>
      <c r="W73">
        <v>154</v>
      </c>
      <c r="X73">
        <v>0</v>
      </c>
      <c r="Y73">
        <v>0</v>
      </c>
      <c r="Z73">
        <v>0</v>
      </c>
      <c r="AA73">
        <v>0</v>
      </c>
      <c r="AB73">
        <v>313</v>
      </c>
      <c r="AC73">
        <v>94</v>
      </c>
      <c r="AD73">
        <v>46</v>
      </c>
      <c r="AE73">
        <v>19</v>
      </c>
      <c r="AF73">
        <v>0</v>
      </c>
      <c r="AG73">
        <v>0</v>
      </c>
      <c r="AH73">
        <v>0</v>
      </c>
      <c r="AI73">
        <v>0</v>
      </c>
      <c r="AJ73">
        <v>4065</v>
      </c>
      <c r="AK73">
        <v>144</v>
      </c>
    </row>
    <row r="74" spans="1:37" x14ac:dyDescent="0.3">
      <c r="A74" s="221">
        <v>73</v>
      </c>
      <c r="B74" s="156">
        <v>48</v>
      </c>
      <c r="C74" s="156"/>
      <c r="D74" s="157" t="s">
        <v>194</v>
      </c>
      <c r="E74" s="158" t="s">
        <v>219</v>
      </c>
      <c r="F74" s="158" t="s">
        <v>220</v>
      </c>
      <c r="G74" s="158" t="s">
        <v>53</v>
      </c>
      <c r="H74" s="158"/>
      <c r="I74" s="160"/>
      <c r="J74" s="160"/>
      <c r="K74" s="78" t="s">
        <v>39</v>
      </c>
      <c r="L74" s="80" t="s">
        <v>40</v>
      </c>
      <c r="M74" s="78" t="s">
        <v>41</v>
      </c>
      <c r="N74" s="239"/>
      <c r="O74" s="116"/>
      <c r="P74" s="112">
        <f t="shared" si="6"/>
        <v>8</v>
      </c>
      <c r="Q74" s="109">
        <f t="shared" si="7"/>
        <v>5</v>
      </c>
      <c r="R74" s="110">
        <f t="shared" si="8"/>
        <v>13</v>
      </c>
      <c r="S74">
        <v>44</v>
      </c>
      <c r="T74">
        <v>0</v>
      </c>
      <c r="U74">
        <v>10</v>
      </c>
      <c r="V74">
        <v>10</v>
      </c>
      <c r="W74">
        <v>1</v>
      </c>
      <c r="X74">
        <v>0</v>
      </c>
      <c r="Y74">
        <v>1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1</v>
      </c>
      <c r="AF74">
        <v>0</v>
      </c>
      <c r="AG74">
        <v>0</v>
      </c>
      <c r="AH74">
        <v>0</v>
      </c>
      <c r="AI74">
        <v>0</v>
      </c>
      <c r="AJ74">
        <v>20</v>
      </c>
      <c r="AK74">
        <v>1</v>
      </c>
    </row>
    <row r="75" spans="1:37" x14ac:dyDescent="0.3">
      <c r="A75" s="221">
        <v>74</v>
      </c>
      <c r="B75" s="156">
        <v>49</v>
      </c>
      <c r="C75" s="156"/>
      <c r="D75" s="157" t="s">
        <v>194</v>
      </c>
      <c r="E75" s="158" t="s">
        <v>221</v>
      </c>
      <c r="F75" s="158" t="s">
        <v>222</v>
      </c>
      <c r="G75" s="158" t="s">
        <v>53</v>
      </c>
      <c r="H75" s="158"/>
      <c r="I75" s="160"/>
      <c r="J75" s="160"/>
      <c r="K75" s="78" t="s">
        <v>39</v>
      </c>
      <c r="L75" s="75" t="s">
        <v>41</v>
      </c>
      <c r="M75" s="75" t="s">
        <v>41</v>
      </c>
      <c r="N75" s="237"/>
      <c r="O75" s="116"/>
      <c r="P75" s="112">
        <f t="shared" si="6"/>
        <v>8</v>
      </c>
      <c r="Q75" s="109">
        <f t="shared" si="7"/>
        <v>5</v>
      </c>
      <c r="R75" s="110">
        <f t="shared" si="8"/>
        <v>13</v>
      </c>
      <c r="S75">
        <v>489</v>
      </c>
      <c r="T75">
        <v>0</v>
      </c>
      <c r="U75">
        <v>0</v>
      </c>
      <c r="V75">
        <v>0</v>
      </c>
      <c r="W75">
        <v>43</v>
      </c>
      <c r="X75">
        <v>0</v>
      </c>
      <c r="Y75">
        <v>1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1</v>
      </c>
      <c r="AF75">
        <v>0</v>
      </c>
      <c r="AG75">
        <v>0</v>
      </c>
      <c r="AH75">
        <v>0</v>
      </c>
      <c r="AI75">
        <v>0</v>
      </c>
      <c r="AJ75">
        <v>442</v>
      </c>
      <c r="AK75">
        <v>2</v>
      </c>
    </row>
    <row r="76" spans="1:37" x14ac:dyDescent="0.3">
      <c r="A76" s="221">
        <v>75</v>
      </c>
      <c r="B76" s="156">
        <v>67</v>
      </c>
      <c r="C76" s="156"/>
      <c r="D76" s="157" t="s">
        <v>199</v>
      </c>
      <c r="E76" s="176" t="s">
        <v>223</v>
      </c>
      <c r="F76" s="158" t="s">
        <v>224</v>
      </c>
      <c r="G76" s="158" t="s">
        <v>44</v>
      </c>
      <c r="H76" s="158"/>
      <c r="I76" s="160"/>
      <c r="J76" s="160"/>
      <c r="K76" s="75" t="s">
        <v>40</v>
      </c>
      <c r="L76" s="75" t="s">
        <v>87</v>
      </c>
      <c r="M76" s="75" t="s">
        <v>40</v>
      </c>
      <c r="N76" s="237"/>
      <c r="O76" s="116"/>
      <c r="P76" s="112">
        <f t="shared" si="6"/>
        <v>4</v>
      </c>
      <c r="Q76" s="109">
        <f t="shared" si="7"/>
        <v>1.5</v>
      </c>
      <c r="R76" s="110">
        <f t="shared" si="8"/>
        <v>5.5</v>
      </c>
      <c r="S76">
        <v>491</v>
      </c>
      <c r="T76">
        <v>0</v>
      </c>
      <c r="U76">
        <v>0</v>
      </c>
      <c r="V76">
        <v>0</v>
      </c>
      <c r="W76">
        <v>0</v>
      </c>
      <c r="X76">
        <v>0</v>
      </c>
      <c r="Y76">
        <v>8</v>
      </c>
      <c r="Z76">
        <v>0</v>
      </c>
      <c r="AA76">
        <v>0</v>
      </c>
      <c r="AB76">
        <v>0</v>
      </c>
      <c r="AC76">
        <v>476</v>
      </c>
      <c r="AD76">
        <v>7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</row>
    <row r="77" spans="1:37" x14ac:dyDescent="0.3">
      <c r="A77" s="221">
        <v>76</v>
      </c>
      <c r="B77" s="228">
        <v>21</v>
      </c>
      <c r="C77" s="228"/>
      <c r="D77" s="229" t="s">
        <v>35</v>
      </c>
      <c r="E77" s="230" t="s">
        <v>225</v>
      </c>
      <c r="F77" s="230" t="s">
        <v>226</v>
      </c>
      <c r="G77" s="230" t="s">
        <v>44</v>
      </c>
      <c r="H77" s="191"/>
      <c r="I77" s="194"/>
      <c r="J77" s="194"/>
      <c r="K77" s="12" t="s">
        <v>39</v>
      </c>
      <c r="L77" s="3" t="s">
        <v>40</v>
      </c>
      <c r="M77" s="3" t="s">
        <v>40</v>
      </c>
      <c r="N77" s="244">
        <f>N70+21</f>
        <v>46538</v>
      </c>
      <c r="O77" s="116" t="s">
        <v>130</v>
      </c>
      <c r="P77" s="112">
        <f t="shared" si="6"/>
        <v>4</v>
      </c>
      <c r="Q77" s="109">
        <f t="shared" si="7"/>
        <v>1.5</v>
      </c>
      <c r="R77" s="110">
        <f t="shared" si="8"/>
        <v>5.5</v>
      </c>
      <c r="S77">
        <v>6</v>
      </c>
      <c r="T77">
        <v>0</v>
      </c>
      <c r="U77">
        <v>0</v>
      </c>
      <c r="V77">
        <v>0</v>
      </c>
      <c r="W77">
        <v>0</v>
      </c>
      <c r="X77">
        <v>0</v>
      </c>
      <c r="Y77">
        <v>3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2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1</v>
      </c>
    </row>
    <row r="78" spans="1:37" x14ac:dyDescent="0.3">
      <c r="A78" s="221">
        <v>77</v>
      </c>
      <c r="B78" s="188">
        <v>80</v>
      </c>
      <c r="C78" s="188"/>
      <c r="D78" s="189" t="s">
        <v>227</v>
      </c>
      <c r="E78" s="191" t="s">
        <v>228</v>
      </c>
      <c r="F78" s="191" t="s">
        <v>229</v>
      </c>
      <c r="G78" s="191" t="s">
        <v>48</v>
      </c>
      <c r="H78" s="193"/>
      <c r="I78" s="194"/>
      <c r="J78" s="195">
        <f>SUM(P78:P80)</f>
        <v>42</v>
      </c>
      <c r="K78" s="12" t="s">
        <v>39</v>
      </c>
      <c r="L78" s="11" t="s">
        <v>40</v>
      </c>
      <c r="M78" s="24" t="s">
        <v>41</v>
      </c>
      <c r="N78" s="242"/>
      <c r="O78" s="116"/>
      <c r="P78" s="112">
        <f t="shared" si="6"/>
        <v>12</v>
      </c>
      <c r="Q78" s="109">
        <f t="shared" si="7"/>
        <v>6.5</v>
      </c>
      <c r="R78" s="110">
        <f t="shared" si="8"/>
        <v>18.5</v>
      </c>
      <c r="S78">
        <v>1524</v>
      </c>
      <c r="T78">
        <v>0</v>
      </c>
      <c r="U78">
        <v>0</v>
      </c>
      <c r="V78">
        <v>1062</v>
      </c>
      <c r="W78">
        <v>0</v>
      </c>
      <c r="X78">
        <v>3</v>
      </c>
      <c r="Y78">
        <v>57</v>
      </c>
      <c r="Z78">
        <v>0</v>
      </c>
      <c r="AA78">
        <v>0</v>
      </c>
      <c r="AB78">
        <v>0</v>
      </c>
      <c r="AC78">
        <v>0</v>
      </c>
      <c r="AD78">
        <v>1</v>
      </c>
      <c r="AE78">
        <v>105</v>
      </c>
      <c r="AF78">
        <v>0</v>
      </c>
      <c r="AG78">
        <v>0</v>
      </c>
      <c r="AH78">
        <v>0</v>
      </c>
      <c r="AI78">
        <v>0</v>
      </c>
      <c r="AJ78">
        <v>292</v>
      </c>
      <c r="AK78">
        <v>4</v>
      </c>
    </row>
    <row r="79" spans="1:37" x14ac:dyDescent="0.3">
      <c r="A79" s="221">
        <v>78</v>
      </c>
      <c r="B79" s="188">
        <v>88</v>
      </c>
      <c r="C79" s="188"/>
      <c r="D79" s="189" t="s">
        <v>227</v>
      </c>
      <c r="E79" s="190" t="s">
        <v>230</v>
      </c>
      <c r="F79" s="191" t="s">
        <v>231</v>
      </c>
      <c r="G79" s="191" t="s">
        <v>48</v>
      </c>
      <c r="H79" s="191"/>
      <c r="I79" s="194"/>
      <c r="J79" s="194"/>
      <c r="K79" s="12" t="s">
        <v>39</v>
      </c>
      <c r="L79" s="11" t="s">
        <v>40</v>
      </c>
      <c r="M79" s="11" t="s">
        <v>40</v>
      </c>
      <c r="N79" s="241"/>
      <c r="O79" s="116"/>
      <c r="P79" s="112">
        <f t="shared" si="6"/>
        <v>12</v>
      </c>
      <c r="Q79" s="109">
        <f t="shared" si="7"/>
        <v>6.5</v>
      </c>
      <c r="R79" s="110">
        <f t="shared" si="8"/>
        <v>18.5</v>
      </c>
      <c r="S79">
        <v>1979</v>
      </c>
      <c r="T79">
        <v>0</v>
      </c>
      <c r="U79">
        <v>0</v>
      </c>
      <c r="V79">
        <v>0</v>
      </c>
      <c r="W79">
        <v>3</v>
      </c>
      <c r="X79">
        <v>121</v>
      </c>
      <c r="Y79">
        <v>15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62</v>
      </c>
      <c r="AF79">
        <v>0</v>
      </c>
      <c r="AG79">
        <v>109</v>
      </c>
      <c r="AH79">
        <v>0</v>
      </c>
      <c r="AI79">
        <v>0</v>
      </c>
      <c r="AJ79">
        <v>1656</v>
      </c>
      <c r="AK79">
        <v>13</v>
      </c>
    </row>
    <row r="80" spans="1:37" x14ac:dyDescent="0.3">
      <c r="A80" s="221">
        <v>79</v>
      </c>
      <c r="B80" s="188">
        <v>40</v>
      </c>
      <c r="C80" s="188"/>
      <c r="D80" s="189" t="s">
        <v>194</v>
      </c>
      <c r="E80" s="201" t="s">
        <v>232</v>
      </c>
      <c r="F80" s="192" t="s">
        <v>233</v>
      </c>
      <c r="G80" s="191" t="s">
        <v>86</v>
      </c>
      <c r="H80" s="191"/>
      <c r="I80" s="194"/>
      <c r="J80" s="195"/>
      <c r="K80" s="78" t="s">
        <v>41</v>
      </c>
      <c r="L80" s="75" t="s">
        <v>87</v>
      </c>
      <c r="M80" s="75" t="s">
        <v>40</v>
      </c>
      <c r="N80" s="244"/>
      <c r="O80" s="116"/>
      <c r="P80" s="112">
        <f t="shared" si="6"/>
        <v>18</v>
      </c>
      <c r="Q80" s="109">
        <f t="shared" si="7"/>
        <v>8</v>
      </c>
      <c r="R80" s="110">
        <f t="shared" si="8"/>
        <v>26</v>
      </c>
      <c r="S80">
        <v>4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4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</row>
    <row r="81" spans="1:37" x14ac:dyDescent="0.3">
      <c r="A81" s="221">
        <v>80</v>
      </c>
      <c r="B81" s="156">
        <v>19</v>
      </c>
      <c r="C81" s="156"/>
      <c r="D81" s="157" t="s">
        <v>35</v>
      </c>
      <c r="E81" s="158" t="s">
        <v>234</v>
      </c>
      <c r="F81" s="158" t="s">
        <v>235</v>
      </c>
      <c r="G81" s="158" t="s">
        <v>86</v>
      </c>
      <c r="H81" s="159"/>
      <c r="I81" s="160"/>
      <c r="J81" s="109">
        <f>SUM(P81:P83)</f>
        <v>54</v>
      </c>
      <c r="K81" s="24" t="s">
        <v>39</v>
      </c>
      <c r="L81" s="3" t="s">
        <v>40</v>
      </c>
      <c r="M81" s="3" t="s">
        <v>40</v>
      </c>
      <c r="N81" s="237">
        <f>N77+21</f>
        <v>46559</v>
      </c>
      <c r="O81" s="116"/>
      <c r="P81" s="112">
        <f t="shared" si="6"/>
        <v>18</v>
      </c>
      <c r="Q81" s="109">
        <f t="shared" si="7"/>
        <v>8</v>
      </c>
      <c r="R81" s="110">
        <f t="shared" si="8"/>
        <v>26</v>
      </c>
      <c r="S81">
        <v>1333</v>
      </c>
      <c r="T81">
        <v>0</v>
      </c>
      <c r="U81">
        <v>0</v>
      </c>
      <c r="V81">
        <v>0</v>
      </c>
      <c r="W81">
        <v>8</v>
      </c>
      <c r="X81">
        <v>0</v>
      </c>
      <c r="Y81">
        <v>1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4</v>
      </c>
      <c r="AF81">
        <v>0</v>
      </c>
      <c r="AG81">
        <v>0</v>
      </c>
      <c r="AH81">
        <v>0</v>
      </c>
      <c r="AI81">
        <v>0</v>
      </c>
      <c r="AJ81">
        <v>1314</v>
      </c>
      <c r="AK81">
        <v>6</v>
      </c>
    </row>
    <row r="82" spans="1:37" x14ac:dyDescent="0.3">
      <c r="A82" s="221">
        <v>81</v>
      </c>
      <c r="B82" s="156">
        <v>20</v>
      </c>
      <c r="C82" s="156"/>
      <c r="D82" s="157" t="s">
        <v>35</v>
      </c>
      <c r="E82" s="158" t="s">
        <v>236</v>
      </c>
      <c r="F82" s="158" t="s">
        <v>237</v>
      </c>
      <c r="G82" s="158" t="s">
        <v>86</v>
      </c>
      <c r="H82" s="158"/>
      <c r="I82" s="160"/>
      <c r="J82" s="160"/>
      <c r="K82" s="24" t="s">
        <v>39</v>
      </c>
      <c r="L82" s="3" t="s">
        <v>40</v>
      </c>
      <c r="M82" s="3" t="s">
        <v>40</v>
      </c>
      <c r="N82" s="237"/>
      <c r="O82" s="116"/>
      <c r="P82" s="112">
        <f t="shared" si="6"/>
        <v>18</v>
      </c>
      <c r="Q82" s="109">
        <f t="shared" si="7"/>
        <v>8</v>
      </c>
      <c r="R82" s="110">
        <f t="shared" si="8"/>
        <v>26</v>
      </c>
      <c r="S82">
        <v>707</v>
      </c>
      <c r="T82">
        <v>0</v>
      </c>
      <c r="U82">
        <v>0</v>
      </c>
      <c r="V82">
        <v>0</v>
      </c>
      <c r="W82">
        <v>31</v>
      </c>
      <c r="X82">
        <v>0</v>
      </c>
      <c r="Y82">
        <v>2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669</v>
      </c>
      <c r="AK82">
        <v>5</v>
      </c>
    </row>
    <row r="83" spans="1:37" x14ac:dyDescent="0.3">
      <c r="A83" s="221">
        <v>82</v>
      </c>
      <c r="B83" s="156">
        <v>23</v>
      </c>
      <c r="C83" s="156"/>
      <c r="D83" s="157" t="s">
        <v>35</v>
      </c>
      <c r="E83" s="176" t="s">
        <v>238</v>
      </c>
      <c r="F83" s="158" t="s">
        <v>239</v>
      </c>
      <c r="G83" s="158" t="s">
        <v>86</v>
      </c>
      <c r="H83" s="158"/>
      <c r="I83" s="160"/>
      <c r="J83" s="160"/>
      <c r="K83" s="3" t="s">
        <v>40</v>
      </c>
      <c r="L83" s="24" t="s">
        <v>87</v>
      </c>
      <c r="M83" s="3" t="s">
        <v>40</v>
      </c>
      <c r="N83" s="237"/>
      <c r="O83" s="116"/>
      <c r="P83" s="112">
        <f t="shared" si="6"/>
        <v>18</v>
      </c>
      <c r="Q83" s="109">
        <f t="shared" si="7"/>
        <v>8</v>
      </c>
      <c r="R83" s="110">
        <f t="shared" si="8"/>
        <v>26</v>
      </c>
      <c r="S83">
        <v>7451</v>
      </c>
      <c r="T83">
        <v>0</v>
      </c>
      <c r="U83">
        <v>0</v>
      </c>
      <c r="V83">
        <v>2</v>
      </c>
      <c r="W83">
        <v>0</v>
      </c>
      <c r="X83">
        <v>0</v>
      </c>
      <c r="Y83">
        <v>8</v>
      </c>
      <c r="Z83">
        <v>0</v>
      </c>
      <c r="AA83">
        <v>0</v>
      </c>
      <c r="AB83">
        <v>4584</v>
      </c>
      <c r="AC83">
        <v>2319</v>
      </c>
      <c r="AD83">
        <v>532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6</v>
      </c>
      <c r="AK83">
        <v>0</v>
      </c>
    </row>
    <row r="84" spans="1:37" x14ac:dyDescent="0.3">
      <c r="A84" s="221">
        <v>83</v>
      </c>
      <c r="B84" s="188">
        <v>16</v>
      </c>
      <c r="C84" s="188"/>
      <c r="D84" s="189" t="s">
        <v>35</v>
      </c>
      <c r="E84" s="190" t="s">
        <v>240</v>
      </c>
      <c r="F84" s="191" t="s">
        <v>241</v>
      </c>
      <c r="G84" s="192" t="s">
        <v>203</v>
      </c>
      <c r="H84" s="193"/>
      <c r="I84" s="194"/>
      <c r="J84" s="195">
        <f>SUM(P84:P90)</f>
        <v>60</v>
      </c>
      <c r="K84" s="78" t="s">
        <v>39</v>
      </c>
      <c r="L84" s="78" t="s">
        <v>41</v>
      </c>
      <c r="M84" s="78" t="s">
        <v>41</v>
      </c>
      <c r="N84" s="242">
        <f>N81+21</f>
        <v>46580</v>
      </c>
      <c r="O84" s="116"/>
      <c r="P84" s="112">
        <f t="shared" si="6"/>
        <v>24</v>
      </c>
      <c r="Q84" s="109">
        <f t="shared" si="7"/>
        <v>11</v>
      </c>
      <c r="R84" s="110">
        <f t="shared" si="8"/>
        <v>35</v>
      </c>
      <c r="S84">
        <v>208279</v>
      </c>
      <c r="T84">
        <v>3</v>
      </c>
      <c r="U84">
        <v>15401</v>
      </c>
      <c r="V84">
        <v>9379</v>
      </c>
      <c r="W84">
        <v>23976</v>
      </c>
      <c r="X84">
        <v>1015</v>
      </c>
      <c r="Y84">
        <v>339</v>
      </c>
      <c r="Z84">
        <v>28</v>
      </c>
      <c r="AA84">
        <v>0</v>
      </c>
      <c r="AB84">
        <v>11839</v>
      </c>
      <c r="AC84">
        <v>3475</v>
      </c>
      <c r="AD84">
        <v>4415</v>
      </c>
      <c r="AE84">
        <v>2247</v>
      </c>
      <c r="AF84">
        <v>0</v>
      </c>
      <c r="AG84">
        <v>137</v>
      </c>
      <c r="AH84">
        <v>128</v>
      </c>
      <c r="AI84">
        <v>0</v>
      </c>
      <c r="AJ84">
        <v>131341</v>
      </c>
      <c r="AK84">
        <v>4556</v>
      </c>
    </row>
    <row r="85" spans="1:37" x14ac:dyDescent="0.3">
      <c r="A85" s="221">
        <v>84</v>
      </c>
      <c r="B85" s="188">
        <v>16.100000000000001</v>
      </c>
      <c r="C85" s="188"/>
      <c r="D85" s="189" t="s">
        <v>35</v>
      </c>
      <c r="E85" s="196" t="s">
        <v>242</v>
      </c>
      <c r="F85" s="197" t="s">
        <v>243</v>
      </c>
      <c r="G85" s="198" t="s">
        <v>44</v>
      </c>
      <c r="H85" s="198"/>
      <c r="I85" s="199"/>
      <c r="J85" s="199"/>
      <c r="K85" s="78" t="s">
        <v>39</v>
      </c>
      <c r="L85" s="80" t="s">
        <v>40</v>
      </c>
      <c r="M85" s="80" t="s">
        <v>40</v>
      </c>
      <c r="N85" s="241"/>
      <c r="O85" s="116"/>
      <c r="P85" s="112">
        <f t="shared" si="6"/>
        <v>4</v>
      </c>
      <c r="Q85" s="109">
        <f t="shared" si="7"/>
        <v>1.5</v>
      </c>
      <c r="R85" s="110">
        <f t="shared" si="8"/>
        <v>5.5</v>
      </c>
      <c r="S85">
        <v>1590</v>
      </c>
      <c r="T85">
        <v>0</v>
      </c>
      <c r="U85">
        <v>29</v>
      </c>
      <c r="V85">
        <v>0</v>
      </c>
      <c r="W85">
        <v>21</v>
      </c>
      <c r="X85">
        <v>0</v>
      </c>
      <c r="Y85">
        <v>0</v>
      </c>
      <c r="Z85">
        <v>0</v>
      </c>
      <c r="AA85">
        <v>0</v>
      </c>
      <c r="AB85">
        <v>1</v>
      </c>
      <c r="AC85">
        <v>0</v>
      </c>
      <c r="AD85">
        <v>0</v>
      </c>
      <c r="AE85">
        <v>32</v>
      </c>
      <c r="AF85">
        <v>0</v>
      </c>
      <c r="AG85">
        <v>8</v>
      </c>
      <c r="AH85">
        <v>0</v>
      </c>
      <c r="AI85">
        <v>0</v>
      </c>
      <c r="AJ85">
        <v>1477</v>
      </c>
      <c r="AK85">
        <v>22</v>
      </c>
    </row>
    <row r="86" spans="1:37" x14ac:dyDescent="0.3">
      <c r="A86" s="221">
        <v>85</v>
      </c>
      <c r="B86" s="188">
        <v>16.2</v>
      </c>
      <c r="C86" s="188"/>
      <c r="D86" s="189" t="s">
        <v>35</v>
      </c>
      <c r="E86" s="200" t="s">
        <v>244</v>
      </c>
      <c r="F86" s="191" t="s">
        <v>245</v>
      </c>
      <c r="G86" s="191" t="s">
        <v>53</v>
      </c>
      <c r="H86" s="191"/>
      <c r="I86" s="194"/>
      <c r="J86" s="194"/>
      <c r="K86" s="78" t="s">
        <v>39</v>
      </c>
      <c r="L86" s="78" t="s">
        <v>41</v>
      </c>
      <c r="M86" s="78" t="s">
        <v>41</v>
      </c>
      <c r="N86" s="242"/>
      <c r="O86" s="116"/>
      <c r="P86" s="112">
        <f t="shared" si="6"/>
        <v>8</v>
      </c>
      <c r="Q86" s="109">
        <f t="shared" si="7"/>
        <v>5</v>
      </c>
      <c r="R86" s="110">
        <f t="shared" si="8"/>
        <v>13</v>
      </c>
      <c r="S86">
        <v>164937</v>
      </c>
      <c r="T86">
        <v>0</v>
      </c>
      <c r="U86">
        <v>56351</v>
      </c>
      <c r="V86">
        <v>11828</v>
      </c>
      <c r="W86">
        <v>7433</v>
      </c>
      <c r="X86">
        <v>257</v>
      </c>
      <c r="Y86">
        <v>75</v>
      </c>
      <c r="Z86">
        <v>0</v>
      </c>
      <c r="AA86">
        <v>0</v>
      </c>
      <c r="AB86">
        <v>3963</v>
      </c>
      <c r="AC86">
        <v>172</v>
      </c>
      <c r="AD86">
        <v>470</v>
      </c>
      <c r="AE86">
        <v>4596</v>
      </c>
      <c r="AF86">
        <v>0</v>
      </c>
      <c r="AG86">
        <v>273</v>
      </c>
      <c r="AH86">
        <v>14</v>
      </c>
      <c r="AI86">
        <v>0</v>
      </c>
      <c r="AJ86">
        <v>77374</v>
      </c>
      <c r="AK86">
        <v>2131</v>
      </c>
    </row>
    <row r="87" spans="1:37" x14ac:dyDescent="0.3">
      <c r="A87" s="221">
        <v>86</v>
      </c>
      <c r="B87" s="188">
        <v>16.3</v>
      </c>
      <c r="C87" s="188"/>
      <c r="D87" s="189" t="s">
        <v>35</v>
      </c>
      <c r="E87" s="200" t="s">
        <v>246</v>
      </c>
      <c r="F87" s="191" t="s">
        <v>247</v>
      </c>
      <c r="G87" s="191" t="s">
        <v>44</v>
      </c>
      <c r="H87" s="191"/>
      <c r="I87" s="194"/>
      <c r="J87" s="194"/>
      <c r="K87" s="78" t="s">
        <v>39</v>
      </c>
      <c r="L87" s="78" t="s">
        <v>40</v>
      </c>
      <c r="M87" s="80" t="s">
        <v>41</v>
      </c>
      <c r="N87" s="241"/>
      <c r="O87" s="116"/>
      <c r="P87" s="112">
        <f t="shared" si="6"/>
        <v>4</v>
      </c>
      <c r="Q87" s="109">
        <f t="shared" si="7"/>
        <v>1.5</v>
      </c>
      <c r="R87" s="110">
        <f t="shared" si="8"/>
        <v>5.5</v>
      </c>
      <c r="S87">
        <v>58</v>
      </c>
      <c r="T87">
        <v>0</v>
      </c>
      <c r="U87">
        <v>14</v>
      </c>
      <c r="V87">
        <v>2</v>
      </c>
      <c r="W87">
        <v>6</v>
      </c>
      <c r="X87">
        <v>1</v>
      </c>
      <c r="Y87">
        <v>1</v>
      </c>
      <c r="Z87">
        <v>0</v>
      </c>
      <c r="AA87">
        <v>0</v>
      </c>
      <c r="AB87">
        <v>0</v>
      </c>
      <c r="AC87">
        <v>0</v>
      </c>
      <c r="AD87">
        <v>1</v>
      </c>
      <c r="AE87">
        <v>2</v>
      </c>
      <c r="AF87">
        <v>0</v>
      </c>
      <c r="AG87">
        <v>0</v>
      </c>
      <c r="AH87">
        <v>0</v>
      </c>
      <c r="AI87">
        <v>0</v>
      </c>
      <c r="AJ87">
        <v>31</v>
      </c>
      <c r="AK87">
        <v>0</v>
      </c>
    </row>
    <row r="88" spans="1:37" x14ac:dyDescent="0.3">
      <c r="A88" s="221">
        <v>87</v>
      </c>
      <c r="B88" s="188">
        <v>16.399999999999999</v>
      </c>
      <c r="C88" s="188"/>
      <c r="D88" s="189" t="s">
        <v>35</v>
      </c>
      <c r="E88" s="200" t="s">
        <v>248</v>
      </c>
      <c r="F88" s="191" t="s">
        <v>249</v>
      </c>
      <c r="G88" s="191" t="s">
        <v>44</v>
      </c>
      <c r="H88" s="191"/>
      <c r="I88" s="194"/>
      <c r="J88" s="194"/>
      <c r="K88" s="78" t="s">
        <v>39</v>
      </c>
      <c r="L88" s="78" t="s">
        <v>40</v>
      </c>
      <c r="M88" s="80" t="s">
        <v>41</v>
      </c>
      <c r="N88" s="241"/>
      <c r="O88" s="116"/>
      <c r="P88" s="112">
        <f t="shared" si="6"/>
        <v>4</v>
      </c>
      <c r="Q88" s="109">
        <f t="shared" si="7"/>
        <v>1.5</v>
      </c>
      <c r="R88" s="110">
        <f t="shared" si="8"/>
        <v>5.5</v>
      </c>
      <c r="S88">
        <v>16389</v>
      </c>
      <c r="T88">
        <v>0</v>
      </c>
      <c r="U88">
        <v>12389</v>
      </c>
      <c r="V88">
        <v>486</v>
      </c>
      <c r="W88">
        <v>2969</v>
      </c>
      <c r="X88">
        <v>68</v>
      </c>
      <c r="Y88">
        <v>5</v>
      </c>
      <c r="Z88">
        <v>0</v>
      </c>
      <c r="AA88">
        <v>0</v>
      </c>
      <c r="AB88">
        <v>46</v>
      </c>
      <c r="AC88">
        <v>41</v>
      </c>
      <c r="AD88">
        <v>9</v>
      </c>
      <c r="AE88">
        <v>58</v>
      </c>
      <c r="AF88">
        <v>0</v>
      </c>
      <c r="AG88">
        <v>0</v>
      </c>
      <c r="AH88">
        <v>0</v>
      </c>
      <c r="AI88">
        <v>0</v>
      </c>
      <c r="AJ88">
        <v>203</v>
      </c>
      <c r="AK88">
        <v>115</v>
      </c>
    </row>
    <row r="89" spans="1:37" x14ac:dyDescent="0.3">
      <c r="A89" s="221">
        <v>88</v>
      </c>
      <c r="B89" s="188">
        <v>16.5</v>
      </c>
      <c r="C89" s="188"/>
      <c r="D89" s="189" t="s">
        <v>35</v>
      </c>
      <c r="E89" s="200" t="s">
        <v>250</v>
      </c>
      <c r="F89" s="191" t="s">
        <v>251</v>
      </c>
      <c r="G89" s="191" t="s">
        <v>44</v>
      </c>
      <c r="H89" s="191"/>
      <c r="I89" s="194"/>
      <c r="J89" s="194"/>
      <c r="K89" s="78" t="s">
        <v>39</v>
      </c>
      <c r="L89" s="78" t="s">
        <v>40</v>
      </c>
      <c r="M89" s="80" t="s">
        <v>40</v>
      </c>
      <c r="N89" s="241"/>
      <c r="O89" s="116"/>
      <c r="P89" s="112">
        <f t="shared" si="6"/>
        <v>4</v>
      </c>
      <c r="Q89" s="109">
        <f t="shared" si="7"/>
        <v>1.5</v>
      </c>
      <c r="R89" s="110">
        <f t="shared" si="8"/>
        <v>5.5</v>
      </c>
      <c r="S89">
        <v>6</v>
      </c>
      <c r="T89">
        <v>0</v>
      </c>
      <c r="U89">
        <v>2</v>
      </c>
      <c r="V89">
        <v>0</v>
      </c>
      <c r="W89">
        <v>1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3</v>
      </c>
      <c r="AK89">
        <v>0</v>
      </c>
    </row>
    <row r="90" spans="1:37" x14ac:dyDescent="0.3">
      <c r="A90" s="221">
        <v>89</v>
      </c>
      <c r="B90" s="188">
        <v>24</v>
      </c>
      <c r="C90" s="188"/>
      <c r="D90" s="189" t="s">
        <v>35</v>
      </c>
      <c r="E90" s="191" t="s">
        <v>252</v>
      </c>
      <c r="F90" s="191" t="s">
        <v>253</v>
      </c>
      <c r="G90" s="191" t="s">
        <v>48</v>
      </c>
      <c r="H90" s="191"/>
      <c r="I90" s="194"/>
      <c r="J90" s="194"/>
      <c r="K90" s="78" t="s">
        <v>39</v>
      </c>
      <c r="L90" s="75" t="s">
        <v>40</v>
      </c>
      <c r="M90" s="75" t="s">
        <v>40</v>
      </c>
      <c r="N90" s="244"/>
      <c r="O90" s="116"/>
      <c r="P90" s="112">
        <f t="shared" si="6"/>
        <v>12</v>
      </c>
      <c r="Q90" s="109">
        <f t="shared" si="7"/>
        <v>6.5</v>
      </c>
      <c r="R90" s="110">
        <f t="shared" si="8"/>
        <v>18.5</v>
      </c>
      <c r="S90">
        <v>1920</v>
      </c>
      <c r="T90">
        <v>0</v>
      </c>
      <c r="U90">
        <v>31</v>
      </c>
      <c r="V90">
        <v>0</v>
      </c>
      <c r="W90">
        <v>5</v>
      </c>
      <c r="X90">
        <v>0</v>
      </c>
      <c r="Y90">
        <v>3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45</v>
      </c>
      <c r="AF90">
        <v>0</v>
      </c>
      <c r="AG90">
        <v>11</v>
      </c>
      <c r="AH90">
        <v>0</v>
      </c>
      <c r="AI90">
        <v>0</v>
      </c>
      <c r="AJ90">
        <v>1800</v>
      </c>
      <c r="AK90">
        <v>25</v>
      </c>
    </row>
    <row r="91" spans="1:37" x14ac:dyDescent="0.3">
      <c r="A91" s="221">
        <v>90</v>
      </c>
      <c r="B91" s="156">
        <v>59</v>
      </c>
      <c r="C91" s="156"/>
      <c r="D91" s="157" t="s">
        <v>199</v>
      </c>
      <c r="E91" s="176" t="s">
        <v>254</v>
      </c>
      <c r="F91" s="158" t="s">
        <v>255</v>
      </c>
      <c r="G91" s="158" t="s">
        <v>48</v>
      </c>
      <c r="H91" s="158"/>
      <c r="I91" s="160"/>
      <c r="J91" s="109">
        <f>SUM(P91:P96)</f>
        <v>56</v>
      </c>
      <c r="K91" s="75" t="s">
        <v>40</v>
      </c>
      <c r="L91" s="75" t="s">
        <v>87</v>
      </c>
      <c r="M91" s="75" t="s">
        <v>40</v>
      </c>
      <c r="N91" s="237">
        <f>N84+21</f>
        <v>46601</v>
      </c>
      <c r="O91" s="116"/>
      <c r="P91" s="112">
        <f t="shared" si="6"/>
        <v>12</v>
      </c>
      <c r="Q91" s="109">
        <f t="shared" si="7"/>
        <v>6.5</v>
      </c>
      <c r="R91" s="110">
        <f t="shared" si="8"/>
        <v>18.5</v>
      </c>
      <c r="S91">
        <v>3</v>
      </c>
      <c r="T91">
        <v>0</v>
      </c>
      <c r="U91">
        <v>0</v>
      </c>
      <c r="V91">
        <v>0</v>
      </c>
      <c r="W91">
        <v>0</v>
      </c>
      <c r="X91">
        <v>0</v>
      </c>
      <c r="Y91">
        <v>3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</row>
    <row r="92" spans="1:37" x14ac:dyDescent="0.3">
      <c r="A92" s="221">
        <v>91</v>
      </c>
      <c r="B92" s="156">
        <v>61</v>
      </c>
      <c r="C92" s="156"/>
      <c r="D92" s="157" t="s">
        <v>199</v>
      </c>
      <c r="E92" s="182" t="s">
        <v>256</v>
      </c>
      <c r="F92" s="163" t="s">
        <v>257</v>
      </c>
      <c r="G92" s="163" t="s">
        <v>48</v>
      </c>
      <c r="H92" s="163"/>
      <c r="I92" s="168"/>
      <c r="J92" s="168"/>
      <c r="K92" s="75" t="s">
        <v>40</v>
      </c>
      <c r="L92" s="75" t="s">
        <v>87</v>
      </c>
      <c r="M92" s="75" t="s">
        <v>40</v>
      </c>
      <c r="N92" s="237"/>
      <c r="O92" s="116"/>
      <c r="P92" s="112">
        <f t="shared" si="6"/>
        <v>12</v>
      </c>
      <c r="Q92" s="109">
        <f t="shared" si="7"/>
        <v>6.5</v>
      </c>
      <c r="R92" s="110">
        <f t="shared" si="8"/>
        <v>18.5</v>
      </c>
      <c r="S92">
        <v>1111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1038</v>
      </c>
      <c r="AC92">
        <v>26</v>
      </c>
      <c r="AD92">
        <v>47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</row>
    <row r="93" spans="1:37" x14ac:dyDescent="0.3">
      <c r="A93" s="221">
        <v>92</v>
      </c>
      <c r="B93" s="156">
        <v>61.1</v>
      </c>
      <c r="C93" s="156"/>
      <c r="D93" s="157" t="s">
        <v>199</v>
      </c>
      <c r="E93" s="183" t="s">
        <v>258</v>
      </c>
      <c r="F93" s="163" t="s">
        <v>259</v>
      </c>
      <c r="G93" s="163" t="s">
        <v>44</v>
      </c>
      <c r="H93" s="163"/>
      <c r="I93" s="168"/>
      <c r="J93" s="168"/>
      <c r="K93" s="75" t="s">
        <v>40</v>
      </c>
      <c r="L93" s="75" t="s">
        <v>87</v>
      </c>
      <c r="M93" s="75" t="s">
        <v>40</v>
      </c>
      <c r="N93" s="237"/>
      <c r="O93" s="116"/>
      <c r="P93" s="112">
        <f t="shared" si="6"/>
        <v>4</v>
      </c>
      <c r="Q93" s="109">
        <f t="shared" si="7"/>
        <v>1.5</v>
      </c>
      <c r="R93" s="110">
        <f t="shared" si="8"/>
        <v>5.5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</row>
    <row r="94" spans="1:37" x14ac:dyDescent="0.3">
      <c r="A94" s="221">
        <v>93</v>
      </c>
      <c r="B94" s="156">
        <v>61.2</v>
      </c>
      <c r="C94" s="156"/>
      <c r="D94" s="157" t="s">
        <v>199</v>
      </c>
      <c r="E94" s="184" t="s">
        <v>260</v>
      </c>
      <c r="F94" s="32" t="s">
        <v>261</v>
      </c>
      <c r="G94" s="163" t="s">
        <v>44</v>
      </c>
      <c r="H94" s="163"/>
      <c r="I94" s="168"/>
      <c r="J94" s="168"/>
      <c r="K94" s="75" t="s">
        <v>40</v>
      </c>
      <c r="L94" s="75" t="s">
        <v>87</v>
      </c>
      <c r="M94" s="75" t="s">
        <v>40</v>
      </c>
      <c r="N94" s="237"/>
      <c r="O94" s="116"/>
      <c r="P94" s="112">
        <f t="shared" si="6"/>
        <v>4</v>
      </c>
      <c r="Q94" s="109">
        <f t="shared" si="7"/>
        <v>1.5</v>
      </c>
      <c r="R94" s="110">
        <f t="shared" si="8"/>
        <v>5.5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</row>
    <row r="95" spans="1:37" x14ac:dyDescent="0.3">
      <c r="A95" s="221">
        <v>94</v>
      </c>
      <c r="B95" s="156">
        <v>62</v>
      </c>
      <c r="C95" s="156"/>
      <c r="D95" s="157" t="s">
        <v>199</v>
      </c>
      <c r="E95" s="185" t="s">
        <v>262</v>
      </c>
      <c r="F95" s="169" t="s">
        <v>263</v>
      </c>
      <c r="G95" s="158" t="s">
        <v>48</v>
      </c>
      <c r="H95" s="158"/>
      <c r="I95" s="160"/>
      <c r="J95" s="160"/>
      <c r="K95" s="75" t="s">
        <v>40</v>
      </c>
      <c r="L95" s="75" t="s">
        <v>87</v>
      </c>
      <c r="M95" s="75" t="s">
        <v>40</v>
      </c>
      <c r="N95" s="237"/>
      <c r="O95" s="116"/>
      <c r="P95" s="112">
        <f t="shared" si="6"/>
        <v>12</v>
      </c>
      <c r="Q95" s="109">
        <f t="shared" si="7"/>
        <v>6.5</v>
      </c>
      <c r="R95" s="110">
        <f t="shared" si="8"/>
        <v>18.5</v>
      </c>
      <c r="S95">
        <v>546</v>
      </c>
      <c r="T95">
        <v>0</v>
      </c>
      <c r="U95">
        <v>0</v>
      </c>
      <c r="V95">
        <v>0</v>
      </c>
      <c r="W95">
        <v>0</v>
      </c>
      <c r="X95">
        <v>0</v>
      </c>
      <c r="Y95">
        <v>2</v>
      </c>
      <c r="Z95">
        <v>0</v>
      </c>
      <c r="AA95">
        <v>0</v>
      </c>
      <c r="AB95">
        <v>534</v>
      </c>
      <c r="AC95">
        <v>1</v>
      </c>
      <c r="AD95">
        <v>9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</row>
    <row r="96" spans="1:37" x14ac:dyDescent="0.3">
      <c r="A96" s="221">
        <v>95</v>
      </c>
      <c r="B96" s="156">
        <v>71</v>
      </c>
      <c r="C96" s="156"/>
      <c r="D96" s="171" t="s">
        <v>152</v>
      </c>
      <c r="E96" s="176" t="s">
        <v>264</v>
      </c>
      <c r="F96" s="163" t="s">
        <v>265</v>
      </c>
      <c r="G96" s="158" t="s">
        <v>48</v>
      </c>
      <c r="H96" s="158"/>
      <c r="I96" s="160"/>
      <c r="J96" s="160"/>
      <c r="K96" s="3" t="s">
        <v>40</v>
      </c>
      <c r="L96" s="3" t="s">
        <v>87</v>
      </c>
      <c r="M96" s="3" t="s">
        <v>40</v>
      </c>
      <c r="N96" s="237"/>
      <c r="O96" s="116"/>
      <c r="P96" s="112">
        <f t="shared" ref="P96:P127" si="9">IFERROR(VLOOKUP($G96,ComplexityLOE,2,FALSE),"")</f>
        <v>12</v>
      </c>
      <c r="Q96" s="109">
        <f t="shared" ref="Q96:Q127" si="10">IFERROR(VLOOKUP($G96,ComplexityLOE,3,FALSE),"")</f>
        <v>6.5</v>
      </c>
      <c r="R96" s="110">
        <f t="shared" si="8"/>
        <v>18.5</v>
      </c>
      <c r="S96">
        <v>89</v>
      </c>
      <c r="T96">
        <v>0</v>
      </c>
      <c r="U96">
        <v>0</v>
      </c>
      <c r="V96">
        <v>0</v>
      </c>
      <c r="W96">
        <v>0</v>
      </c>
      <c r="X96">
        <v>0</v>
      </c>
      <c r="Y96">
        <v>13</v>
      </c>
      <c r="Z96">
        <v>0</v>
      </c>
      <c r="AA96">
        <v>0</v>
      </c>
      <c r="AB96">
        <v>0</v>
      </c>
      <c r="AC96">
        <v>0</v>
      </c>
      <c r="AD96">
        <v>76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</row>
    <row r="97" spans="1:37" x14ac:dyDescent="0.3">
      <c r="A97" s="221">
        <v>96</v>
      </c>
      <c r="B97" s="188">
        <v>64</v>
      </c>
      <c r="C97" s="188"/>
      <c r="D97" s="189" t="s">
        <v>199</v>
      </c>
      <c r="E97" s="201" t="s">
        <v>266</v>
      </c>
      <c r="F97" s="191" t="s">
        <v>267</v>
      </c>
      <c r="G97" s="191" t="s">
        <v>48</v>
      </c>
      <c r="H97" s="191"/>
      <c r="I97" s="194"/>
      <c r="J97" s="195">
        <f>SUM(P97:P102)</f>
        <v>52</v>
      </c>
      <c r="K97" s="3" t="s">
        <v>40</v>
      </c>
      <c r="L97" s="2" t="s">
        <v>87</v>
      </c>
      <c r="M97" s="2" t="s">
        <v>87</v>
      </c>
      <c r="N97" s="244">
        <f>N91+21</f>
        <v>46622</v>
      </c>
      <c r="O97" s="116"/>
      <c r="P97" s="112">
        <f t="shared" si="9"/>
        <v>12</v>
      </c>
      <c r="Q97" s="109">
        <f t="shared" si="10"/>
        <v>6.5</v>
      </c>
      <c r="R97" s="110">
        <f t="shared" si="8"/>
        <v>18.5</v>
      </c>
      <c r="S97">
        <v>6926</v>
      </c>
      <c r="T97">
        <v>0</v>
      </c>
      <c r="U97">
        <v>0</v>
      </c>
      <c r="V97">
        <v>315</v>
      </c>
      <c r="W97">
        <v>0</v>
      </c>
      <c r="X97">
        <v>0</v>
      </c>
      <c r="Y97">
        <v>5</v>
      </c>
      <c r="Z97">
        <v>0</v>
      </c>
      <c r="AA97">
        <v>0</v>
      </c>
      <c r="AB97">
        <v>4277</v>
      </c>
      <c r="AC97">
        <v>372</v>
      </c>
      <c r="AD97">
        <v>1605</v>
      </c>
      <c r="AE97">
        <v>17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335</v>
      </c>
    </row>
    <row r="98" spans="1:37" x14ac:dyDescent="0.3">
      <c r="A98" s="221">
        <v>97</v>
      </c>
      <c r="B98" s="188">
        <v>64.099999999999994</v>
      </c>
      <c r="C98" s="188"/>
      <c r="D98" s="189" t="s">
        <v>199</v>
      </c>
      <c r="E98" s="202" t="s">
        <v>268</v>
      </c>
      <c r="F98" s="191" t="s">
        <v>268</v>
      </c>
      <c r="G98" s="191" t="s">
        <v>53</v>
      </c>
      <c r="H98" s="191"/>
      <c r="I98" s="194"/>
      <c r="J98" s="194"/>
      <c r="K98" s="3" t="s">
        <v>40</v>
      </c>
      <c r="L98" s="2" t="s">
        <v>87</v>
      </c>
      <c r="M98" s="3" t="s">
        <v>40</v>
      </c>
      <c r="N98" s="244"/>
      <c r="O98" s="116"/>
      <c r="P98" s="112">
        <f t="shared" si="9"/>
        <v>8</v>
      </c>
      <c r="Q98" s="109">
        <f t="shared" si="10"/>
        <v>5</v>
      </c>
      <c r="R98" s="110">
        <f t="shared" ref="R98:R129" si="11">IFERROR(P98+Q98,"")</f>
        <v>13</v>
      </c>
      <c r="S98">
        <v>130</v>
      </c>
      <c r="T98">
        <v>0</v>
      </c>
      <c r="U98">
        <v>0</v>
      </c>
      <c r="V98">
        <v>7</v>
      </c>
      <c r="W98">
        <v>0</v>
      </c>
      <c r="X98">
        <v>0</v>
      </c>
      <c r="Y98">
        <v>0</v>
      </c>
      <c r="Z98">
        <v>0</v>
      </c>
      <c r="AA98">
        <v>0</v>
      </c>
      <c r="AB98">
        <v>85</v>
      </c>
      <c r="AC98">
        <v>14</v>
      </c>
      <c r="AD98">
        <v>23</v>
      </c>
      <c r="AE98">
        <v>1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</row>
    <row r="99" spans="1:37" x14ac:dyDescent="0.3">
      <c r="A99" s="221">
        <v>98</v>
      </c>
      <c r="B99" s="188">
        <v>65</v>
      </c>
      <c r="C99" s="188"/>
      <c r="D99" s="189" t="s">
        <v>199</v>
      </c>
      <c r="E99" s="201" t="s">
        <v>269</v>
      </c>
      <c r="F99" s="191" t="s">
        <v>270</v>
      </c>
      <c r="G99" s="191" t="s">
        <v>53</v>
      </c>
      <c r="H99" s="191"/>
      <c r="I99" s="194"/>
      <c r="J99" s="194"/>
      <c r="K99" s="3" t="s">
        <v>40</v>
      </c>
      <c r="L99" s="2" t="s">
        <v>87</v>
      </c>
      <c r="M99" s="3" t="s">
        <v>40</v>
      </c>
      <c r="N99" s="244"/>
      <c r="O99" s="116"/>
      <c r="P99" s="112">
        <f t="shared" si="9"/>
        <v>8</v>
      </c>
      <c r="Q99" s="109">
        <f t="shared" si="10"/>
        <v>5</v>
      </c>
      <c r="R99" s="110">
        <f t="shared" si="11"/>
        <v>13</v>
      </c>
      <c r="S99">
        <v>10</v>
      </c>
      <c r="T99">
        <v>0</v>
      </c>
      <c r="U99">
        <v>0</v>
      </c>
      <c r="V99">
        <v>0</v>
      </c>
      <c r="W99">
        <v>0</v>
      </c>
      <c r="X99">
        <v>0</v>
      </c>
      <c r="Y99">
        <v>1</v>
      </c>
      <c r="Z99">
        <v>0</v>
      </c>
      <c r="AA99">
        <v>0</v>
      </c>
      <c r="AB99">
        <v>5</v>
      </c>
      <c r="AC99">
        <v>3</v>
      </c>
      <c r="AD99">
        <v>1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</row>
    <row r="100" spans="1:37" x14ac:dyDescent="0.3">
      <c r="A100" s="221">
        <v>99</v>
      </c>
      <c r="B100" s="188">
        <v>66</v>
      </c>
      <c r="C100" s="188"/>
      <c r="D100" s="189" t="s">
        <v>199</v>
      </c>
      <c r="E100" s="201" t="s">
        <v>271</v>
      </c>
      <c r="F100" s="191" t="s">
        <v>272</v>
      </c>
      <c r="G100" s="191" t="s">
        <v>48</v>
      </c>
      <c r="H100" s="191"/>
      <c r="I100" s="194"/>
      <c r="J100" s="194"/>
      <c r="K100" s="3" t="s">
        <v>40</v>
      </c>
      <c r="L100" s="2" t="s">
        <v>87</v>
      </c>
      <c r="M100" s="3" t="s">
        <v>40</v>
      </c>
      <c r="N100" s="244"/>
      <c r="O100" s="116"/>
      <c r="P100" s="112">
        <f t="shared" si="9"/>
        <v>12</v>
      </c>
      <c r="Q100" s="109">
        <f t="shared" si="10"/>
        <v>6.5</v>
      </c>
      <c r="R100" s="110">
        <f t="shared" si="11"/>
        <v>18.5</v>
      </c>
      <c r="S100">
        <v>83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76</v>
      </c>
      <c r="AC100">
        <v>3</v>
      </c>
      <c r="AD100">
        <v>4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</row>
    <row r="101" spans="1:37" x14ac:dyDescent="0.3">
      <c r="A101" s="221">
        <v>100</v>
      </c>
      <c r="B101" s="188">
        <v>66.099999999999994</v>
      </c>
      <c r="C101" s="188"/>
      <c r="D101" s="189" t="s">
        <v>199</v>
      </c>
      <c r="E101" s="203" t="s">
        <v>273</v>
      </c>
      <c r="F101" s="197" t="s">
        <v>273</v>
      </c>
      <c r="G101" s="204" t="s">
        <v>44</v>
      </c>
      <c r="H101" s="204"/>
      <c r="I101" s="205"/>
      <c r="J101" s="205"/>
      <c r="K101" s="3" t="s">
        <v>40</v>
      </c>
      <c r="L101" s="2" t="s">
        <v>87</v>
      </c>
      <c r="M101" s="3" t="s">
        <v>40</v>
      </c>
      <c r="N101" s="244"/>
      <c r="O101" s="116"/>
      <c r="P101" s="112">
        <f t="shared" si="9"/>
        <v>4</v>
      </c>
      <c r="Q101" s="109">
        <f t="shared" si="10"/>
        <v>1.5</v>
      </c>
      <c r="R101" s="110">
        <f t="shared" si="11"/>
        <v>5.5</v>
      </c>
      <c r="S101">
        <v>1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1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</row>
    <row r="102" spans="1:37" x14ac:dyDescent="0.3">
      <c r="A102" s="221">
        <v>101</v>
      </c>
      <c r="B102" s="188">
        <v>76</v>
      </c>
      <c r="C102" s="188"/>
      <c r="D102" s="206" t="s">
        <v>152</v>
      </c>
      <c r="E102" s="201" t="s">
        <v>274</v>
      </c>
      <c r="F102" s="190" t="s">
        <v>275</v>
      </c>
      <c r="G102" s="191" t="s">
        <v>53</v>
      </c>
      <c r="H102" s="191"/>
      <c r="I102" s="194"/>
      <c r="J102" s="195"/>
      <c r="K102" s="75" t="s">
        <v>40</v>
      </c>
      <c r="L102" s="75" t="s">
        <v>87</v>
      </c>
      <c r="M102" s="75" t="s">
        <v>40</v>
      </c>
      <c r="N102" s="244"/>
      <c r="O102" s="116"/>
      <c r="P102" s="112">
        <f t="shared" si="9"/>
        <v>8</v>
      </c>
      <c r="Q102" s="109">
        <f t="shared" si="10"/>
        <v>5</v>
      </c>
      <c r="R102" s="110">
        <f t="shared" si="11"/>
        <v>13</v>
      </c>
      <c r="S102">
        <v>57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57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</row>
    <row r="103" spans="1:37" x14ac:dyDescent="0.3">
      <c r="A103" s="221">
        <v>102</v>
      </c>
      <c r="B103" s="156">
        <v>82</v>
      </c>
      <c r="C103" s="156"/>
      <c r="D103" s="157" t="s">
        <v>227</v>
      </c>
      <c r="E103" s="158" t="s">
        <v>276</v>
      </c>
      <c r="F103" s="158" t="s">
        <v>277</v>
      </c>
      <c r="G103" s="158" t="s">
        <v>44</v>
      </c>
      <c r="H103" s="158"/>
      <c r="I103" s="160"/>
      <c r="J103" s="109">
        <f>SUM(P103:P108)</f>
        <v>50</v>
      </c>
      <c r="K103" s="3" t="s">
        <v>49</v>
      </c>
      <c r="L103" s="11" t="s">
        <v>40</v>
      </c>
      <c r="M103" s="11" t="s">
        <v>40</v>
      </c>
      <c r="N103" s="236">
        <f>N97+21</f>
        <v>46643</v>
      </c>
      <c r="O103" s="116"/>
      <c r="P103" s="112">
        <f t="shared" si="9"/>
        <v>4</v>
      </c>
      <c r="Q103" s="109">
        <f t="shared" si="10"/>
        <v>1.5</v>
      </c>
      <c r="R103" s="110">
        <f t="shared" si="11"/>
        <v>5.5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</row>
    <row r="104" spans="1:37" x14ac:dyDescent="0.3">
      <c r="A104" s="221">
        <v>103</v>
      </c>
      <c r="B104" s="156">
        <v>83</v>
      </c>
      <c r="C104" s="156"/>
      <c r="D104" s="157" t="s">
        <v>227</v>
      </c>
      <c r="E104" s="158" t="s">
        <v>278</v>
      </c>
      <c r="F104" s="158" t="s">
        <v>279</v>
      </c>
      <c r="G104" s="158" t="s">
        <v>53</v>
      </c>
      <c r="H104" s="158"/>
      <c r="I104" s="160"/>
      <c r="J104" s="160"/>
      <c r="K104" s="3" t="s">
        <v>49</v>
      </c>
      <c r="L104" s="11" t="s">
        <v>40</v>
      </c>
      <c r="M104" s="11" t="s">
        <v>40</v>
      </c>
      <c r="N104" s="236"/>
      <c r="O104" s="116"/>
      <c r="P104" s="112">
        <f t="shared" si="9"/>
        <v>8</v>
      </c>
      <c r="Q104" s="109">
        <f t="shared" si="10"/>
        <v>5</v>
      </c>
      <c r="R104" s="110">
        <f t="shared" si="11"/>
        <v>13</v>
      </c>
      <c r="S104">
        <v>12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2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10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</row>
    <row r="105" spans="1:37" x14ac:dyDescent="0.3">
      <c r="A105" s="221">
        <v>104</v>
      </c>
      <c r="B105" s="156">
        <v>84</v>
      </c>
      <c r="C105" s="156"/>
      <c r="D105" s="157" t="s">
        <v>227</v>
      </c>
      <c r="E105" s="158" t="s">
        <v>280</v>
      </c>
      <c r="F105" s="158" t="s">
        <v>281</v>
      </c>
      <c r="G105" s="158" t="s">
        <v>48</v>
      </c>
      <c r="H105" s="158"/>
      <c r="I105" s="160"/>
      <c r="J105" s="160"/>
      <c r="K105" s="3" t="s">
        <v>49</v>
      </c>
      <c r="L105" s="11" t="s">
        <v>40</v>
      </c>
      <c r="M105" s="11" t="s">
        <v>40</v>
      </c>
      <c r="N105" s="236"/>
      <c r="O105" s="116"/>
      <c r="P105" s="112">
        <f t="shared" si="9"/>
        <v>12</v>
      </c>
      <c r="Q105" s="109">
        <f t="shared" si="10"/>
        <v>6.5</v>
      </c>
      <c r="R105" s="110">
        <f t="shared" si="11"/>
        <v>18.5</v>
      </c>
      <c r="S105">
        <v>1270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20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1250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</row>
    <row r="106" spans="1:37" x14ac:dyDescent="0.3">
      <c r="A106" s="221">
        <v>105</v>
      </c>
      <c r="B106" s="156">
        <v>85</v>
      </c>
      <c r="C106" s="156"/>
      <c r="D106" s="157" t="s">
        <v>227</v>
      </c>
      <c r="E106" s="158" t="s">
        <v>282</v>
      </c>
      <c r="F106" s="158" t="s">
        <v>283</v>
      </c>
      <c r="G106" s="158" t="s">
        <v>86</v>
      </c>
      <c r="H106" s="158"/>
      <c r="I106" s="160"/>
      <c r="J106" s="160"/>
      <c r="K106" s="3" t="s">
        <v>49</v>
      </c>
      <c r="L106" s="11" t="s">
        <v>40</v>
      </c>
      <c r="M106" s="11" t="s">
        <v>40</v>
      </c>
      <c r="N106" s="236"/>
      <c r="O106" s="116"/>
      <c r="P106" s="112">
        <f t="shared" si="9"/>
        <v>18</v>
      </c>
      <c r="Q106" s="109">
        <f t="shared" si="10"/>
        <v>8</v>
      </c>
      <c r="R106" s="110">
        <f t="shared" si="11"/>
        <v>26</v>
      </c>
      <c r="S106">
        <v>15000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8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14992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</row>
    <row r="107" spans="1:37" x14ac:dyDescent="0.3">
      <c r="A107" s="221">
        <v>106</v>
      </c>
      <c r="B107" s="156">
        <v>86</v>
      </c>
      <c r="C107" s="156"/>
      <c r="D107" s="157" t="s">
        <v>227</v>
      </c>
      <c r="E107" s="158" t="s">
        <v>284</v>
      </c>
      <c r="F107" s="158" t="s">
        <v>285</v>
      </c>
      <c r="G107" s="158" t="s">
        <v>44</v>
      </c>
      <c r="H107" s="158"/>
      <c r="I107" s="160"/>
      <c r="J107" s="160"/>
      <c r="K107" s="3" t="s">
        <v>49</v>
      </c>
      <c r="L107" s="11" t="s">
        <v>40</v>
      </c>
      <c r="M107" s="11" t="s">
        <v>40</v>
      </c>
      <c r="N107" s="236"/>
      <c r="O107" s="116"/>
      <c r="P107" s="112">
        <f t="shared" si="9"/>
        <v>4</v>
      </c>
      <c r="Q107" s="109">
        <f t="shared" si="10"/>
        <v>1.5</v>
      </c>
      <c r="R107" s="110">
        <f t="shared" si="11"/>
        <v>5.5</v>
      </c>
      <c r="S107">
        <v>2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2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</row>
    <row r="108" spans="1:37" x14ac:dyDescent="0.3">
      <c r="A108" s="221">
        <v>107</v>
      </c>
      <c r="B108" s="156">
        <v>143</v>
      </c>
      <c r="C108" s="156"/>
      <c r="D108" s="157" t="s">
        <v>58</v>
      </c>
      <c r="E108" s="176" t="s">
        <v>286</v>
      </c>
      <c r="F108" s="158" t="s">
        <v>287</v>
      </c>
      <c r="G108" s="158" t="s">
        <v>44</v>
      </c>
      <c r="H108" s="158"/>
      <c r="I108" s="160"/>
      <c r="J108" s="160"/>
      <c r="K108" s="3" t="s">
        <v>40</v>
      </c>
      <c r="L108" s="2" t="s">
        <v>87</v>
      </c>
      <c r="M108" s="11" t="s">
        <v>40</v>
      </c>
      <c r="N108" s="236"/>
      <c r="O108" s="116"/>
      <c r="P108" s="112">
        <f t="shared" si="9"/>
        <v>4</v>
      </c>
      <c r="Q108" s="109">
        <f t="shared" si="10"/>
        <v>1.5</v>
      </c>
      <c r="R108" s="110">
        <f t="shared" si="11"/>
        <v>5.5</v>
      </c>
      <c r="S108">
        <v>2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2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</row>
    <row r="109" spans="1:37" x14ac:dyDescent="0.3">
      <c r="A109" s="221">
        <v>108</v>
      </c>
      <c r="B109" s="188">
        <v>87</v>
      </c>
      <c r="C109" s="188"/>
      <c r="D109" s="189" t="s">
        <v>227</v>
      </c>
      <c r="E109" s="191" t="s">
        <v>288</v>
      </c>
      <c r="F109" s="191" t="s">
        <v>289</v>
      </c>
      <c r="G109" s="191" t="s">
        <v>38</v>
      </c>
      <c r="H109" s="191"/>
      <c r="I109" s="194"/>
      <c r="J109" s="195">
        <f>SUM(P109:P112)</f>
        <v>55</v>
      </c>
      <c r="K109" s="75" t="s">
        <v>49</v>
      </c>
      <c r="L109" s="80" t="s">
        <v>40</v>
      </c>
      <c r="M109" s="80" t="s">
        <v>40</v>
      </c>
      <c r="N109" s="241">
        <f>N103+21</f>
        <v>46664</v>
      </c>
      <c r="O109" s="116"/>
      <c r="P109" s="112">
        <f t="shared" si="9"/>
        <v>21</v>
      </c>
      <c r="Q109" s="109">
        <f t="shared" si="10"/>
        <v>10</v>
      </c>
      <c r="R109" s="110">
        <f t="shared" si="11"/>
        <v>31</v>
      </c>
      <c r="S109">
        <v>1633</v>
      </c>
      <c r="T109">
        <v>0</v>
      </c>
      <c r="U109">
        <v>0</v>
      </c>
      <c r="V109">
        <v>0</v>
      </c>
      <c r="W109">
        <v>38</v>
      </c>
      <c r="X109">
        <v>1</v>
      </c>
      <c r="Y109">
        <v>156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803</v>
      </c>
      <c r="AF109">
        <v>0</v>
      </c>
      <c r="AG109">
        <v>0</v>
      </c>
      <c r="AH109">
        <v>0</v>
      </c>
      <c r="AI109">
        <v>0</v>
      </c>
      <c r="AJ109">
        <v>624</v>
      </c>
      <c r="AK109">
        <v>11</v>
      </c>
    </row>
    <row r="110" spans="1:37" x14ac:dyDescent="0.3">
      <c r="A110" s="221">
        <v>109</v>
      </c>
      <c r="B110" s="188">
        <v>87.1</v>
      </c>
      <c r="C110" s="188"/>
      <c r="D110" s="189" t="s">
        <v>227</v>
      </c>
      <c r="E110" s="196" t="s">
        <v>290</v>
      </c>
      <c r="F110" s="197" t="s">
        <v>291</v>
      </c>
      <c r="G110" s="198" t="s">
        <v>53</v>
      </c>
      <c r="H110" s="198"/>
      <c r="I110" s="199"/>
      <c r="J110" s="199"/>
      <c r="K110" s="75" t="s">
        <v>49</v>
      </c>
      <c r="L110" s="80" t="s">
        <v>40</v>
      </c>
      <c r="M110" s="80" t="s">
        <v>40</v>
      </c>
      <c r="N110" s="241"/>
      <c r="O110" s="116"/>
      <c r="P110" s="112">
        <f t="shared" si="9"/>
        <v>8</v>
      </c>
      <c r="Q110" s="109">
        <f t="shared" si="10"/>
        <v>5</v>
      </c>
      <c r="R110" s="110">
        <f t="shared" si="11"/>
        <v>13</v>
      </c>
      <c r="S110">
        <v>16</v>
      </c>
      <c r="T110">
        <v>0</v>
      </c>
      <c r="U110">
        <v>0</v>
      </c>
      <c r="V110">
        <v>0</v>
      </c>
      <c r="W110">
        <v>1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11</v>
      </c>
      <c r="AF110">
        <v>0</v>
      </c>
      <c r="AG110">
        <v>0</v>
      </c>
      <c r="AH110">
        <v>0</v>
      </c>
      <c r="AI110">
        <v>0</v>
      </c>
      <c r="AJ110">
        <v>4</v>
      </c>
      <c r="AK110">
        <v>0</v>
      </c>
    </row>
    <row r="111" spans="1:37" x14ac:dyDescent="0.3">
      <c r="A111" s="221">
        <v>110</v>
      </c>
      <c r="B111" s="188">
        <v>3</v>
      </c>
      <c r="C111" s="188"/>
      <c r="D111" s="189" t="s">
        <v>50</v>
      </c>
      <c r="E111" s="191" t="s">
        <v>292</v>
      </c>
      <c r="F111" s="191" t="s">
        <v>293</v>
      </c>
      <c r="G111" s="191" t="s">
        <v>86</v>
      </c>
      <c r="H111" s="191"/>
      <c r="I111" s="194"/>
      <c r="J111" s="194"/>
      <c r="K111" s="75" t="s">
        <v>49</v>
      </c>
      <c r="L111" s="75" t="s">
        <v>40</v>
      </c>
      <c r="M111" s="75" t="s">
        <v>40</v>
      </c>
      <c r="N111" s="244"/>
      <c r="O111" s="116"/>
      <c r="P111" s="112">
        <f t="shared" si="9"/>
        <v>18</v>
      </c>
      <c r="Q111" s="109">
        <f t="shared" si="10"/>
        <v>8</v>
      </c>
      <c r="R111" s="110">
        <f t="shared" si="11"/>
        <v>26</v>
      </c>
      <c r="S111">
        <v>243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46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151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46</v>
      </c>
    </row>
    <row r="112" spans="1:37" x14ac:dyDescent="0.3">
      <c r="A112" s="221">
        <v>111</v>
      </c>
      <c r="B112" s="188">
        <v>78</v>
      </c>
      <c r="C112" s="188"/>
      <c r="D112" s="206" t="s">
        <v>152</v>
      </c>
      <c r="E112" s="201" t="s">
        <v>294</v>
      </c>
      <c r="F112" s="190" t="s">
        <v>295</v>
      </c>
      <c r="G112" s="191" t="s">
        <v>53</v>
      </c>
      <c r="H112" s="191"/>
      <c r="I112" s="194"/>
      <c r="J112" s="194"/>
      <c r="K112" s="75" t="s">
        <v>40</v>
      </c>
      <c r="L112" s="75" t="s">
        <v>87</v>
      </c>
      <c r="M112" s="75" t="s">
        <v>40</v>
      </c>
      <c r="N112" s="244"/>
      <c r="O112" s="116"/>
      <c r="P112" s="112">
        <f t="shared" si="9"/>
        <v>8</v>
      </c>
      <c r="Q112" s="109">
        <f t="shared" si="10"/>
        <v>5</v>
      </c>
      <c r="R112" s="110">
        <f t="shared" si="11"/>
        <v>13</v>
      </c>
      <c r="S112">
        <v>26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26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</row>
    <row r="113" spans="1:37" x14ac:dyDescent="0.3">
      <c r="A113" s="221">
        <v>112</v>
      </c>
      <c r="B113" s="156">
        <v>89</v>
      </c>
      <c r="C113" s="156"/>
      <c r="D113" s="157" t="s">
        <v>45</v>
      </c>
      <c r="E113" s="158" t="s">
        <v>296</v>
      </c>
      <c r="F113" s="158" t="s">
        <v>297</v>
      </c>
      <c r="G113" s="158" t="s">
        <v>48</v>
      </c>
      <c r="H113" s="158"/>
      <c r="I113" s="160"/>
      <c r="J113" s="109">
        <f>SUM(P113:P117)</f>
        <v>50</v>
      </c>
      <c r="K113" s="75" t="s">
        <v>49</v>
      </c>
      <c r="L113" s="80" t="s">
        <v>40</v>
      </c>
      <c r="M113" s="80" t="s">
        <v>40</v>
      </c>
      <c r="N113" s="236">
        <f>N109+21</f>
        <v>46685</v>
      </c>
      <c r="O113" s="116"/>
      <c r="P113" s="112">
        <f t="shared" si="9"/>
        <v>12</v>
      </c>
      <c r="Q113" s="109">
        <f t="shared" si="10"/>
        <v>6.5</v>
      </c>
      <c r="R113" s="110">
        <f t="shared" si="11"/>
        <v>18.5</v>
      </c>
      <c r="S113">
        <v>46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5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9</v>
      </c>
      <c r="AF113">
        <v>0</v>
      </c>
      <c r="AG113">
        <v>0</v>
      </c>
      <c r="AH113">
        <v>32</v>
      </c>
      <c r="AI113">
        <v>0</v>
      </c>
      <c r="AJ113">
        <v>0</v>
      </c>
      <c r="AK113">
        <v>0</v>
      </c>
    </row>
    <row r="114" spans="1:37" x14ac:dyDescent="0.3">
      <c r="A114" s="221">
        <v>113</v>
      </c>
      <c r="B114" s="156">
        <v>91</v>
      </c>
      <c r="C114" s="156"/>
      <c r="D114" s="157" t="s">
        <v>45</v>
      </c>
      <c r="E114" s="158" t="s">
        <v>298</v>
      </c>
      <c r="F114" s="158" t="s">
        <v>299</v>
      </c>
      <c r="G114" s="158" t="s">
        <v>53</v>
      </c>
      <c r="H114" s="158"/>
      <c r="I114" s="160"/>
      <c r="J114" s="109"/>
      <c r="K114" s="75" t="s">
        <v>49</v>
      </c>
      <c r="L114" s="80" t="s">
        <v>40</v>
      </c>
      <c r="M114" s="80" t="s">
        <v>40</v>
      </c>
      <c r="N114" s="236"/>
      <c r="O114" s="116"/>
      <c r="P114" s="112">
        <f t="shared" si="9"/>
        <v>8</v>
      </c>
      <c r="Q114" s="109">
        <f t="shared" si="10"/>
        <v>5</v>
      </c>
      <c r="R114" s="110">
        <f t="shared" si="11"/>
        <v>13</v>
      </c>
      <c r="S114">
        <v>41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5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32</v>
      </c>
      <c r="AF114">
        <v>0</v>
      </c>
      <c r="AG114">
        <v>0</v>
      </c>
      <c r="AH114">
        <v>4</v>
      </c>
      <c r="AI114">
        <v>0</v>
      </c>
      <c r="AJ114">
        <v>0</v>
      </c>
      <c r="AK114">
        <v>0</v>
      </c>
    </row>
    <row r="115" spans="1:37" x14ac:dyDescent="0.3">
      <c r="A115" s="221">
        <v>114</v>
      </c>
      <c r="B115" s="156">
        <v>92</v>
      </c>
      <c r="C115" s="156"/>
      <c r="D115" s="157" t="s">
        <v>45</v>
      </c>
      <c r="E115" s="158" t="s">
        <v>300</v>
      </c>
      <c r="F115" s="158" t="s">
        <v>301</v>
      </c>
      <c r="G115" s="158" t="s">
        <v>86</v>
      </c>
      <c r="H115" s="158"/>
      <c r="I115" s="160"/>
      <c r="J115" s="109"/>
      <c r="K115" s="75" t="s">
        <v>49</v>
      </c>
      <c r="L115" s="80" t="s">
        <v>40</v>
      </c>
      <c r="M115" s="80" t="s">
        <v>40</v>
      </c>
      <c r="N115" s="236"/>
      <c r="O115" s="116"/>
      <c r="P115" s="112">
        <f t="shared" si="9"/>
        <v>18</v>
      </c>
      <c r="Q115" s="109">
        <f t="shared" si="10"/>
        <v>8</v>
      </c>
      <c r="R115" s="110">
        <f t="shared" si="11"/>
        <v>26</v>
      </c>
      <c r="S115">
        <v>572</v>
      </c>
      <c r="T115">
        <v>0</v>
      </c>
      <c r="U115">
        <v>0</v>
      </c>
      <c r="V115">
        <v>0</v>
      </c>
      <c r="W115">
        <v>0</v>
      </c>
      <c r="X115">
        <v>6</v>
      </c>
      <c r="Y115">
        <v>37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373</v>
      </c>
      <c r="AF115">
        <v>0</v>
      </c>
      <c r="AG115">
        <v>0</v>
      </c>
      <c r="AH115">
        <v>124</v>
      </c>
      <c r="AI115">
        <v>0</v>
      </c>
      <c r="AJ115">
        <v>2</v>
      </c>
      <c r="AK115">
        <v>30</v>
      </c>
    </row>
    <row r="116" spans="1:37" x14ac:dyDescent="0.3">
      <c r="A116" s="221">
        <v>115</v>
      </c>
      <c r="B116" s="156">
        <v>92.1</v>
      </c>
      <c r="C116" s="156"/>
      <c r="D116" s="157" t="s">
        <v>45</v>
      </c>
      <c r="E116" s="161" t="s">
        <v>302</v>
      </c>
      <c r="F116" s="158" t="s">
        <v>303</v>
      </c>
      <c r="G116" s="158" t="s">
        <v>53</v>
      </c>
      <c r="H116" s="158"/>
      <c r="I116" s="160"/>
      <c r="J116" s="160"/>
      <c r="K116" s="75" t="s">
        <v>49</v>
      </c>
      <c r="L116" s="80" t="s">
        <v>40</v>
      </c>
      <c r="M116" s="80" t="s">
        <v>40</v>
      </c>
      <c r="N116" s="236"/>
      <c r="O116" s="116"/>
      <c r="P116" s="112">
        <f t="shared" si="9"/>
        <v>8</v>
      </c>
      <c r="Q116" s="109">
        <f t="shared" si="10"/>
        <v>5</v>
      </c>
      <c r="R116" s="110">
        <f t="shared" si="11"/>
        <v>13</v>
      </c>
      <c r="S116">
        <v>2524</v>
      </c>
      <c r="T116">
        <v>0</v>
      </c>
      <c r="U116">
        <v>0</v>
      </c>
      <c r="V116">
        <v>0</v>
      </c>
      <c r="W116">
        <v>0</v>
      </c>
      <c r="X116">
        <v>1</v>
      </c>
      <c r="Y116">
        <v>44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2117</v>
      </c>
      <c r="AF116">
        <v>0</v>
      </c>
      <c r="AG116">
        <v>0</v>
      </c>
      <c r="AH116">
        <v>98</v>
      </c>
      <c r="AI116">
        <v>0</v>
      </c>
      <c r="AJ116">
        <v>0</v>
      </c>
      <c r="AK116">
        <v>264</v>
      </c>
    </row>
    <row r="117" spans="1:37" x14ac:dyDescent="0.3">
      <c r="A117" s="221">
        <v>116</v>
      </c>
      <c r="B117" s="156">
        <v>79</v>
      </c>
      <c r="C117" s="156"/>
      <c r="D117" s="171" t="s">
        <v>152</v>
      </c>
      <c r="E117" s="176" t="s">
        <v>304</v>
      </c>
      <c r="F117" s="163" t="s">
        <v>305</v>
      </c>
      <c r="G117" s="158" t="s">
        <v>44</v>
      </c>
      <c r="H117" s="158"/>
      <c r="I117" s="160"/>
      <c r="J117" s="160"/>
      <c r="K117" s="75" t="s">
        <v>40</v>
      </c>
      <c r="L117" s="75" t="s">
        <v>87</v>
      </c>
      <c r="M117" s="75" t="s">
        <v>40</v>
      </c>
      <c r="N117" s="237"/>
      <c r="O117" s="116"/>
      <c r="P117" s="112">
        <f t="shared" si="9"/>
        <v>4</v>
      </c>
      <c r="Q117" s="109">
        <f t="shared" si="10"/>
        <v>1.5</v>
      </c>
      <c r="R117" s="110">
        <f t="shared" si="11"/>
        <v>5.5</v>
      </c>
      <c r="S117">
        <v>1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1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</row>
    <row r="118" spans="1:37" x14ac:dyDescent="0.3">
      <c r="A118" s="221">
        <v>117</v>
      </c>
      <c r="B118" s="188">
        <v>126</v>
      </c>
      <c r="C118" s="188"/>
      <c r="D118" s="189" t="s">
        <v>58</v>
      </c>
      <c r="E118" s="191" t="s">
        <v>306</v>
      </c>
      <c r="F118" s="191" t="s">
        <v>307</v>
      </c>
      <c r="G118" s="191" t="s">
        <v>86</v>
      </c>
      <c r="H118" s="191"/>
      <c r="I118" s="194"/>
      <c r="J118" s="195">
        <f>SUM(P118:P122)</f>
        <v>60</v>
      </c>
      <c r="K118" s="3" t="s">
        <v>49</v>
      </c>
      <c r="L118" s="11" t="s">
        <v>40</v>
      </c>
      <c r="M118" s="11" t="s">
        <v>40</v>
      </c>
      <c r="N118" s="241">
        <f>N113+21</f>
        <v>46706</v>
      </c>
      <c r="O118" s="116"/>
      <c r="P118" s="112">
        <f t="shared" si="9"/>
        <v>18</v>
      </c>
      <c r="Q118" s="109">
        <f t="shared" si="10"/>
        <v>8</v>
      </c>
      <c r="R118" s="110">
        <f t="shared" si="11"/>
        <v>26</v>
      </c>
      <c r="S118">
        <v>48</v>
      </c>
      <c r="T118">
        <v>0</v>
      </c>
      <c r="U118">
        <v>0</v>
      </c>
      <c r="V118">
        <v>0</v>
      </c>
      <c r="W118">
        <v>2</v>
      </c>
      <c r="X118">
        <v>1</v>
      </c>
      <c r="Y118">
        <v>31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12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2</v>
      </c>
    </row>
    <row r="119" spans="1:37" x14ac:dyDescent="0.3">
      <c r="A119" s="221">
        <v>118</v>
      </c>
      <c r="B119" s="188">
        <v>132</v>
      </c>
      <c r="C119" s="188"/>
      <c r="D119" s="189" t="s">
        <v>58</v>
      </c>
      <c r="E119" s="191" t="s">
        <v>308</v>
      </c>
      <c r="F119" s="191" t="s">
        <v>309</v>
      </c>
      <c r="G119" s="191" t="s">
        <v>53</v>
      </c>
      <c r="H119" s="191"/>
      <c r="I119" s="194"/>
      <c r="J119" s="194"/>
      <c r="K119" s="75" t="s">
        <v>49</v>
      </c>
      <c r="L119" s="80" t="s">
        <v>40</v>
      </c>
      <c r="M119" s="80" t="s">
        <v>40</v>
      </c>
      <c r="N119" s="241"/>
      <c r="O119" s="116"/>
      <c r="P119" s="112">
        <f t="shared" si="9"/>
        <v>8</v>
      </c>
      <c r="Q119" s="109">
        <f t="shared" si="10"/>
        <v>5</v>
      </c>
      <c r="R119" s="110">
        <f t="shared" si="11"/>
        <v>13</v>
      </c>
      <c r="S119">
        <v>33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1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32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</row>
    <row r="120" spans="1:37" x14ac:dyDescent="0.3">
      <c r="A120" s="221">
        <v>119</v>
      </c>
      <c r="B120" s="188">
        <v>133</v>
      </c>
      <c r="C120" s="188"/>
      <c r="D120" s="189" t="s">
        <v>58</v>
      </c>
      <c r="E120" s="191" t="s">
        <v>310</v>
      </c>
      <c r="F120" s="191" t="s">
        <v>311</v>
      </c>
      <c r="G120" s="191" t="s">
        <v>86</v>
      </c>
      <c r="H120" s="191"/>
      <c r="I120" s="194"/>
      <c r="J120" s="194"/>
      <c r="K120" s="75" t="s">
        <v>49</v>
      </c>
      <c r="L120" s="80" t="s">
        <v>40</v>
      </c>
      <c r="M120" s="80" t="s">
        <v>40</v>
      </c>
      <c r="N120" s="241"/>
      <c r="O120" s="116"/>
      <c r="P120" s="112">
        <f t="shared" si="9"/>
        <v>18</v>
      </c>
      <c r="Q120" s="109">
        <f t="shared" si="10"/>
        <v>8</v>
      </c>
      <c r="R120" s="110">
        <f t="shared" si="11"/>
        <v>26</v>
      </c>
      <c r="S120">
        <v>6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6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</row>
    <row r="121" spans="1:37" x14ac:dyDescent="0.3">
      <c r="A121" s="221">
        <v>120</v>
      </c>
      <c r="B121" s="188">
        <v>133.1</v>
      </c>
      <c r="C121" s="188"/>
      <c r="D121" s="189" t="s">
        <v>58</v>
      </c>
      <c r="E121" s="196" t="s">
        <v>312</v>
      </c>
      <c r="F121" s="197" t="s">
        <v>313</v>
      </c>
      <c r="G121" s="198" t="s">
        <v>44</v>
      </c>
      <c r="H121" s="198"/>
      <c r="I121" s="199"/>
      <c r="J121" s="199"/>
      <c r="K121" s="75" t="s">
        <v>49</v>
      </c>
      <c r="L121" s="80" t="s">
        <v>40</v>
      </c>
      <c r="M121" s="80" t="s">
        <v>40</v>
      </c>
      <c r="N121" s="241"/>
      <c r="O121" s="116"/>
      <c r="P121" s="112">
        <f t="shared" si="9"/>
        <v>4</v>
      </c>
      <c r="Q121" s="109">
        <f t="shared" si="10"/>
        <v>1.5</v>
      </c>
      <c r="R121" s="110">
        <f t="shared" si="11"/>
        <v>5.5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</row>
    <row r="122" spans="1:37" x14ac:dyDescent="0.3">
      <c r="A122" s="221">
        <v>121</v>
      </c>
      <c r="B122" s="188">
        <v>139</v>
      </c>
      <c r="C122" s="188"/>
      <c r="D122" s="189" t="s">
        <v>58</v>
      </c>
      <c r="E122" s="201" t="s">
        <v>314</v>
      </c>
      <c r="F122" s="191" t="s">
        <v>315</v>
      </c>
      <c r="G122" s="191" t="s">
        <v>48</v>
      </c>
      <c r="H122" s="191"/>
      <c r="I122" s="194"/>
      <c r="J122" s="195"/>
      <c r="K122" s="3" t="s">
        <v>40</v>
      </c>
      <c r="L122" s="2" t="s">
        <v>87</v>
      </c>
      <c r="M122" s="11" t="s">
        <v>40</v>
      </c>
      <c r="N122" s="241"/>
      <c r="O122" s="116"/>
      <c r="P122" s="112">
        <f t="shared" si="9"/>
        <v>12</v>
      </c>
      <c r="Q122" s="109">
        <f t="shared" si="10"/>
        <v>6.5</v>
      </c>
      <c r="R122" s="110">
        <f t="shared" si="11"/>
        <v>18.5</v>
      </c>
      <c r="S122">
        <v>45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16</v>
      </c>
      <c r="Z122">
        <v>0</v>
      </c>
      <c r="AA122">
        <v>0</v>
      </c>
      <c r="AB122">
        <v>0</v>
      </c>
      <c r="AC122">
        <v>0</v>
      </c>
      <c r="AD122">
        <v>29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</row>
    <row r="123" spans="1:37" x14ac:dyDescent="0.3">
      <c r="A123" s="221">
        <v>122</v>
      </c>
      <c r="B123" s="156">
        <v>134</v>
      </c>
      <c r="C123" s="156"/>
      <c r="D123" s="157" t="s">
        <v>58</v>
      </c>
      <c r="E123" s="158" t="s">
        <v>316</v>
      </c>
      <c r="F123" s="158" t="s">
        <v>317</v>
      </c>
      <c r="G123" s="158" t="s">
        <v>48</v>
      </c>
      <c r="H123" s="158"/>
      <c r="I123" s="160"/>
      <c r="J123" s="109">
        <f>SUM(P123:P128)</f>
        <v>50</v>
      </c>
      <c r="K123" s="75" t="s">
        <v>49</v>
      </c>
      <c r="L123" s="80" t="s">
        <v>40</v>
      </c>
      <c r="M123" s="80" t="s">
        <v>40</v>
      </c>
      <c r="N123" s="236">
        <f>N118+21</f>
        <v>46727</v>
      </c>
      <c r="O123" s="116"/>
      <c r="P123" s="112">
        <f t="shared" si="9"/>
        <v>12</v>
      </c>
      <c r="Q123" s="109">
        <f t="shared" si="10"/>
        <v>6.5</v>
      </c>
      <c r="R123" s="110">
        <f t="shared" si="11"/>
        <v>18.5</v>
      </c>
      <c r="S123">
        <v>22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1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21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</row>
    <row r="124" spans="1:37" x14ac:dyDescent="0.3">
      <c r="A124" s="221">
        <v>123</v>
      </c>
      <c r="B124" s="156">
        <v>135</v>
      </c>
      <c r="C124" s="156"/>
      <c r="D124" s="157" t="s">
        <v>58</v>
      </c>
      <c r="E124" s="165" t="s">
        <v>318</v>
      </c>
      <c r="F124" s="165" t="s">
        <v>319</v>
      </c>
      <c r="G124" s="165" t="s">
        <v>86</v>
      </c>
      <c r="H124" s="165"/>
      <c r="I124" s="172" t="s">
        <v>55</v>
      </c>
      <c r="J124" s="172"/>
      <c r="K124" s="111"/>
      <c r="L124" s="111"/>
      <c r="M124" s="111"/>
      <c r="N124" s="238"/>
      <c r="O124" s="116"/>
      <c r="P124" s="112">
        <f t="shared" si="9"/>
        <v>18</v>
      </c>
      <c r="Q124" s="109">
        <f t="shared" si="10"/>
        <v>8</v>
      </c>
      <c r="R124" s="110">
        <f t="shared" si="11"/>
        <v>26</v>
      </c>
      <c r="S124">
        <v>4097</v>
      </c>
      <c r="T124">
        <v>0</v>
      </c>
      <c r="U124">
        <v>14</v>
      </c>
      <c r="V124">
        <v>115</v>
      </c>
      <c r="W124">
        <v>187</v>
      </c>
      <c r="X124">
        <v>114</v>
      </c>
      <c r="Y124">
        <v>1277</v>
      </c>
      <c r="Z124">
        <v>2</v>
      </c>
      <c r="AA124">
        <v>4</v>
      </c>
      <c r="AB124">
        <v>7</v>
      </c>
      <c r="AC124">
        <v>11</v>
      </c>
      <c r="AD124">
        <v>48</v>
      </c>
      <c r="AE124">
        <v>1374</v>
      </c>
      <c r="AF124">
        <v>8</v>
      </c>
      <c r="AG124">
        <v>26</v>
      </c>
      <c r="AH124">
        <v>32</v>
      </c>
      <c r="AI124">
        <v>2</v>
      </c>
      <c r="AJ124">
        <v>767</v>
      </c>
      <c r="AK124">
        <v>109</v>
      </c>
    </row>
    <row r="125" spans="1:37" x14ac:dyDescent="0.3">
      <c r="A125" s="221">
        <v>124</v>
      </c>
      <c r="B125" s="156">
        <v>135.1</v>
      </c>
      <c r="C125" s="156"/>
      <c r="D125" s="157" t="s">
        <v>58</v>
      </c>
      <c r="E125" s="20" t="s">
        <v>320</v>
      </c>
      <c r="F125" s="13" t="s">
        <v>320</v>
      </c>
      <c r="G125" s="47" t="s">
        <v>44</v>
      </c>
      <c r="H125" s="47"/>
      <c r="I125" s="172" t="s">
        <v>55</v>
      </c>
      <c r="J125" s="172"/>
      <c r="K125" s="111"/>
      <c r="L125" s="111"/>
      <c r="M125" s="111"/>
      <c r="N125" s="238"/>
      <c r="O125" s="116"/>
      <c r="P125" s="112">
        <f t="shared" si="9"/>
        <v>4</v>
      </c>
      <c r="Q125" s="109">
        <f t="shared" si="10"/>
        <v>1.5</v>
      </c>
      <c r="R125" s="110">
        <f t="shared" si="11"/>
        <v>5.5</v>
      </c>
      <c r="S125">
        <v>3050</v>
      </c>
      <c r="T125">
        <v>0</v>
      </c>
      <c r="U125">
        <v>0</v>
      </c>
      <c r="V125">
        <v>75</v>
      </c>
      <c r="W125">
        <v>61</v>
      </c>
      <c r="X125">
        <v>98</v>
      </c>
      <c r="Y125">
        <v>1426</v>
      </c>
      <c r="Z125">
        <v>1</v>
      </c>
      <c r="AA125">
        <v>2</v>
      </c>
      <c r="AB125">
        <v>0</v>
      </c>
      <c r="AC125">
        <v>9</v>
      </c>
      <c r="AD125">
        <v>36</v>
      </c>
      <c r="AE125">
        <v>1248</v>
      </c>
      <c r="AF125">
        <v>0</v>
      </c>
      <c r="AG125">
        <v>0</v>
      </c>
      <c r="AH125">
        <v>29</v>
      </c>
      <c r="AI125">
        <v>0</v>
      </c>
      <c r="AJ125">
        <v>15</v>
      </c>
      <c r="AK125">
        <v>50</v>
      </c>
    </row>
    <row r="126" spans="1:37" x14ac:dyDescent="0.3">
      <c r="A126" s="221">
        <v>125</v>
      </c>
      <c r="B126" s="156">
        <v>135.19999999999999</v>
      </c>
      <c r="C126" s="156"/>
      <c r="D126" s="157" t="s">
        <v>58</v>
      </c>
      <c r="E126" s="20" t="s">
        <v>321</v>
      </c>
      <c r="F126" s="13" t="s">
        <v>321</v>
      </c>
      <c r="G126" s="47" t="s">
        <v>44</v>
      </c>
      <c r="H126" s="47"/>
      <c r="I126" s="172" t="s">
        <v>55</v>
      </c>
      <c r="J126" s="172"/>
      <c r="K126" s="111"/>
      <c r="L126" s="111"/>
      <c r="M126" s="111"/>
      <c r="N126" s="238"/>
      <c r="O126" s="116"/>
      <c r="P126" s="112">
        <f t="shared" si="9"/>
        <v>4</v>
      </c>
      <c r="Q126" s="109">
        <f t="shared" si="10"/>
        <v>1.5</v>
      </c>
      <c r="R126" s="110">
        <f t="shared" si="11"/>
        <v>5.5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</row>
    <row r="127" spans="1:37" x14ac:dyDescent="0.3">
      <c r="A127" s="221">
        <v>126</v>
      </c>
      <c r="B127" s="156">
        <v>136</v>
      </c>
      <c r="C127" s="156"/>
      <c r="D127" s="157" t="s">
        <v>58</v>
      </c>
      <c r="E127" s="158" t="s">
        <v>322</v>
      </c>
      <c r="F127" s="158" t="s">
        <v>323</v>
      </c>
      <c r="G127" s="158" t="s">
        <v>44</v>
      </c>
      <c r="H127" s="158"/>
      <c r="I127" s="160"/>
      <c r="J127" s="160"/>
      <c r="K127" s="75" t="s">
        <v>49</v>
      </c>
      <c r="L127" s="80" t="s">
        <v>40</v>
      </c>
      <c r="M127" s="80" t="s">
        <v>40</v>
      </c>
      <c r="N127" s="236"/>
      <c r="O127" s="116"/>
      <c r="P127" s="112">
        <f t="shared" si="9"/>
        <v>4</v>
      </c>
      <c r="Q127" s="109">
        <f t="shared" si="10"/>
        <v>1.5</v>
      </c>
      <c r="R127" s="110">
        <f t="shared" si="11"/>
        <v>5.5</v>
      </c>
      <c r="S127">
        <v>22715</v>
      </c>
      <c r="T127">
        <v>0</v>
      </c>
      <c r="U127">
        <v>490</v>
      </c>
      <c r="V127">
        <v>800</v>
      </c>
      <c r="W127">
        <v>17960</v>
      </c>
      <c r="X127">
        <v>802</v>
      </c>
      <c r="Y127">
        <v>33</v>
      </c>
      <c r="Z127">
        <v>0</v>
      </c>
      <c r="AA127">
        <v>0</v>
      </c>
      <c r="AB127">
        <v>157</v>
      </c>
      <c r="AC127">
        <v>118</v>
      </c>
      <c r="AD127">
        <v>87</v>
      </c>
      <c r="AE127">
        <v>676</v>
      </c>
      <c r="AF127">
        <v>0</v>
      </c>
      <c r="AG127">
        <v>38</v>
      </c>
      <c r="AH127">
        <v>1</v>
      </c>
      <c r="AI127">
        <v>1</v>
      </c>
      <c r="AJ127">
        <v>1498</v>
      </c>
      <c r="AK127">
        <v>54</v>
      </c>
    </row>
    <row r="128" spans="1:37" x14ac:dyDescent="0.3">
      <c r="A128" s="221">
        <v>127</v>
      </c>
      <c r="B128" s="156">
        <v>32</v>
      </c>
      <c r="C128" s="156"/>
      <c r="D128" s="157" t="s">
        <v>324</v>
      </c>
      <c r="E128" s="158" t="s">
        <v>325</v>
      </c>
      <c r="F128" s="158" t="s">
        <v>326</v>
      </c>
      <c r="G128" s="158" t="s">
        <v>53</v>
      </c>
      <c r="H128" s="158"/>
      <c r="I128" s="160"/>
      <c r="J128" s="160"/>
      <c r="K128" s="3" t="s">
        <v>40</v>
      </c>
      <c r="L128" s="3" t="s">
        <v>40</v>
      </c>
      <c r="M128" s="2" t="s">
        <v>87</v>
      </c>
      <c r="N128" s="237"/>
      <c r="O128" s="116"/>
      <c r="P128" s="112">
        <f t="shared" ref="P128:P159" si="12">IFERROR(VLOOKUP($G128,ComplexityLOE,2,FALSE),"")</f>
        <v>8</v>
      </c>
      <c r="Q128" s="109">
        <f t="shared" ref="Q128:Q159" si="13">IFERROR(VLOOKUP($G128,ComplexityLOE,3,FALSE),"")</f>
        <v>5</v>
      </c>
      <c r="R128" s="110">
        <f t="shared" si="11"/>
        <v>13</v>
      </c>
      <c r="S128">
        <v>7</v>
      </c>
      <c r="T128">
        <v>0</v>
      </c>
      <c r="U128">
        <v>0</v>
      </c>
      <c r="V128">
        <v>6</v>
      </c>
      <c r="W128">
        <v>0</v>
      </c>
      <c r="X128">
        <v>0</v>
      </c>
      <c r="Y128">
        <v>1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</row>
    <row r="129" spans="1:37" x14ac:dyDescent="0.3">
      <c r="A129" s="221">
        <v>128</v>
      </c>
      <c r="B129" s="188">
        <v>113.1</v>
      </c>
      <c r="C129" s="188"/>
      <c r="D129" s="189" t="s">
        <v>327</v>
      </c>
      <c r="E129" s="207" t="s">
        <v>328</v>
      </c>
      <c r="F129" s="191" t="s">
        <v>329</v>
      </c>
      <c r="G129" s="191" t="s">
        <v>48</v>
      </c>
      <c r="H129" s="191"/>
      <c r="I129" s="194"/>
      <c r="J129" s="195">
        <f>SUM(P129:P132)</f>
        <v>60</v>
      </c>
      <c r="K129" s="78" t="s">
        <v>39</v>
      </c>
      <c r="L129" s="80" t="s">
        <v>40</v>
      </c>
      <c r="M129" s="75" t="s">
        <v>87</v>
      </c>
      <c r="N129" s="244">
        <f>N123+21</f>
        <v>46748</v>
      </c>
      <c r="O129" s="116"/>
      <c r="P129" s="112">
        <f t="shared" si="12"/>
        <v>12</v>
      </c>
      <c r="Q129" s="109">
        <f t="shared" si="13"/>
        <v>6.5</v>
      </c>
      <c r="R129" s="110">
        <f t="shared" si="11"/>
        <v>18.5</v>
      </c>
      <c r="S129">
        <v>1523</v>
      </c>
      <c r="T129">
        <v>0</v>
      </c>
      <c r="U129">
        <v>5</v>
      </c>
      <c r="V129">
        <v>489</v>
      </c>
      <c r="W129">
        <v>25</v>
      </c>
      <c r="X129">
        <v>206</v>
      </c>
      <c r="Y129">
        <v>33</v>
      </c>
      <c r="Z129">
        <v>0</v>
      </c>
      <c r="AA129">
        <v>0</v>
      </c>
      <c r="AB129">
        <v>0</v>
      </c>
      <c r="AC129">
        <v>4</v>
      </c>
      <c r="AD129">
        <v>0</v>
      </c>
      <c r="AE129">
        <v>157</v>
      </c>
      <c r="AF129">
        <v>0</v>
      </c>
      <c r="AG129">
        <v>0</v>
      </c>
      <c r="AH129">
        <v>0</v>
      </c>
      <c r="AI129">
        <v>0</v>
      </c>
      <c r="AJ129">
        <v>361</v>
      </c>
      <c r="AK129">
        <v>243</v>
      </c>
    </row>
    <row r="130" spans="1:37" x14ac:dyDescent="0.3">
      <c r="A130" s="221">
        <v>129</v>
      </c>
      <c r="B130" s="188">
        <v>114</v>
      </c>
      <c r="C130" s="188"/>
      <c r="D130" s="189" t="s">
        <v>327</v>
      </c>
      <c r="E130" s="208" t="s">
        <v>330</v>
      </c>
      <c r="F130" s="191" t="s">
        <v>331</v>
      </c>
      <c r="G130" s="191" t="s">
        <v>86</v>
      </c>
      <c r="H130" s="191"/>
      <c r="I130" s="194"/>
      <c r="J130" s="194"/>
      <c r="K130" s="78" t="s">
        <v>39</v>
      </c>
      <c r="L130" s="80" t="s">
        <v>40</v>
      </c>
      <c r="M130" s="80" t="s">
        <v>40</v>
      </c>
      <c r="N130" s="241"/>
      <c r="O130" s="116"/>
      <c r="P130" s="112">
        <f t="shared" si="12"/>
        <v>18</v>
      </c>
      <c r="Q130" s="109">
        <f t="shared" si="13"/>
        <v>8</v>
      </c>
      <c r="R130" s="110">
        <f t="shared" ref="R130:R161" si="14">IFERROR(P130+Q130,"")</f>
        <v>26</v>
      </c>
      <c r="S130">
        <v>3987</v>
      </c>
      <c r="T130">
        <v>0</v>
      </c>
      <c r="U130">
        <v>758</v>
      </c>
      <c r="V130">
        <v>0</v>
      </c>
      <c r="W130">
        <v>187</v>
      </c>
      <c r="X130">
        <v>27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10</v>
      </c>
      <c r="AF130">
        <v>0</v>
      </c>
      <c r="AG130">
        <v>0</v>
      </c>
      <c r="AH130">
        <v>0</v>
      </c>
      <c r="AI130">
        <v>0</v>
      </c>
      <c r="AJ130">
        <v>3003</v>
      </c>
      <c r="AK130">
        <v>2</v>
      </c>
    </row>
    <row r="131" spans="1:37" ht="15" customHeight="1" x14ac:dyDescent="0.3">
      <c r="A131" s="221">
        <v>130</v>
      </c>
      <c r="B131" s="188">
        <v>113.6</v>
      </c>
      <c r="C131" s="188"/>
      <c r="D131" s="189" t="s">
        <v>327</v>
      </c>
      <c r="E131" s="207" t="s">
        <v>332</v>
      </c>
      <c r="F131" s="191" t="s">
        <v>333</v>
      </c>
      <c r="G131" s="191" t="s">
        <v>48</v>
      </c>
      <c r="H131" s="191"/>
      <c r="I131" s="194"/>
      <c r="J131" s="194"/>
      <c r="K131" s="75" t="s">
        <v>70</v>
      </c>
      <c r="L131" s="80" t="s">
        <v>40</v>
      </c>
      <c r="M131" s="80" t="s">
        <v>40</v>
      </c>
      <c r="N131" s="241"/>
      <c r="O131" s="116"/>
      <c r="P131" s="112">
        <f t="shared" si="12"/>
        <v>12</v>
      </c>
      <c r="Q131" s="109">
        <f t="shared" si="13"/>
        <v>6.5</v>
      </c>
      <c r="R131" s="110">
        <f t="shared" si="14"/>
        <v>18.5</v>
      </c>
      <c r="S131">
        <v>2870</v>
      </c>
      <c r="T131">
        <v>0</v>
      </c>
      <c r="U131">
        <v>1</v>
      </c>
      <c r="V131">
        <v>1</v>
      </c>
      <c r="W131">
        <v>2513</v>
      </c>
      <c r="X131">
        <v>251</v>
      </c>
      <c r="Y131">
        <v>1</v>
      </c>
      <c r="Z131">
        <v>0</v>
      </c>
      <c r="AA131">
        <v>0</v>
      </c>
      <c r="AB131">
        <v>0</v>
      </c>
      <c r="AC131">
        <v>1</v>
      </c>
      <c r="AD131">
        <v>6</v>
      </c>
      <c r="AE131">
        <v>76</v>
      </c>
      <c r="AF131">
        <v>0</v>
      </c>
      <c r="AG131">
        <v>4</v>
      </c>
      <c r="AH131">
        <v>0</v>
      </c>
      <c r="AI131">
        <v>0</v>
      </c>
      <c r="AJ131">
        <v>9</v>
      </c>
      <c r="AK131">
        <v>7</v>
      </c>
    </row>
    <row r="132" spans="1:37" x14ac:dyDescent="0.3">
      <c r="A132" s="221">
        <v>131</v>
      </c>
      <c r="B132" s="156">
        <v>69</v>
      </c>
      <c r="C132" s="156"/>
      <c r="D132" s="171" t="s">
        <v>152</v>
      </c>
      <c r="E132" s="176" t="s">
        <v>334</v>
      </c>
      <c r="F132" s="163" t="s">
        <v>335</v>
      </c>
      <c r="G132" s="158" t="s">
        <v>86</v>
      </c>
      <c r="H132" s="158"/>
      <c r="I132" s="160"/>
      <c r="J132" s="109">
        <f>SUM(P132:P135)</f>
        <v>54</v>
      </c>
      <c r="K132" s="3" t="s">
        <v>40</v>
      </c>
      <c r="L132" s="3" t="s">
        <v>87</v>
      </c>
      <c r="M132" s="3" t="s">
        <v>40</v>
      </c>
      <c r="N132" s="237">
        <f>N129+21</f>
        <v>46769</v>
      </c>
      <c r="O132" s="116"/>
      <c r="P132" s="112">
        <f t="shared" si="12"/>
        <v>18</v>
      </c>
      <c r="Q132" s="109">
        <f t="shared" si="13"/>
        <v>8</v>
      </c>
      <c r="R132" s="110">
        <f t="shared" si="14"/>
        <v>26</v>
      </c>
      <c r="S132">
        <v>114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5</v>
      </c>
      <c r="Z132">
        <v>0</v>
      </c>
      <c r="AA132">
        <v>0</v>
      </c>
      <c r="AB132">
        <v>0</v>
      </c>
      <c r="AC132">
        <v>0</v>
      </c>
      <c r="AD132">
        <v>109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</row>
    <row r="133" spans="1:37" x14ac:dyDescent="0.3">
      <c r="A133" s="221">
        <v>132</v>
      </c>
      <c r="B133" s="156">
        <v>112</v>
      </c>
      <c r="C133" s="156"/>
      <c r="D133" s="157" t="s">
        <v>327</v>
      </c>
      <c r="E133" s="186" t="s">
        <v>336</v>
      </c>
      <c r="F133" s="158" t="s">
        <v>337</v>
      </c>
      <c r="G133" s="158" t="s">
        <v>48</v>
      </c>
      <c r="H133" s="158"/>
      <c r="I133" s="160"/>
      <c r="J133" s="109"/>
      <c r="K133" s="75" t="s">
        <v>40</v>
      </c>
      <c r="L133" s="75" t="s">
        <v>87</v>
      </c>
      <c r="M133" s="80" t="s">
        <v>40</v>
      </c>
      <c r="N133" s="236"/>
      <c r="O133" s="116"/>
      <c r="P133" s="112">
        <f t="shared" si="12"/>
        <v>12</v>
      </c>
      <c r="Q133" s="109">
        <f t="shared" si="13"/>
        <v>6.5</v>
      </c>
      <c r="R133" s="110">
        <f t="shared" si="14"/>
        <v>18.5</v>
      </c>
      <c r="S133">
        <v>750</v>
      </c>
      <c r="T133">
        <v>0</v>
      </c>
      <c r="U133">
        <v>0</v>
      </c>
      <c r="V133">
        <v>237</v>
      </c>
      <c r="W133">
        <v>0</v>
      </c>
      <c r="X133">
        <v>0</v>
      </c>
      <c r="Y133">
        <v>1</v>
      </c>
      <c r="Z133">
        <v>0</v>
      </c>
      <c r="AA133">
        <v>0</v>
      </c>
      <c r="AB133">
        <v>1</v>
      </c>
      <c r="AC133">
        <v>505</v>
      </c>
      <c r="AD133">
        <v>6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</row>
    <row r="134" spans="1:37" ht="15" customHeight="1" x14ac:dyDescent="0.3">
      <c r="A134" s="221">
        <v>133</v>
      </c>
      <c r="B134" s="156">
        <v>113.2</v>
      </c>
      <c r="C134" s="156"/>
      <c r="D134" s="157" t="s">
        <v>327</v>
      </c>
      <c r="E134" s="187" t="s">
        <v>338</v>
      </c>
      <c r="F134" s="158" t="s">
        <v>339</v>
      </c>
      <c r="G134" s="158" t="s">
        <v>48</v>
      </c>
      <c r="H134" s="158"/>
      <c r="I134" s="160"/>
      <c r="J134" s="160"/>
      <c r="K134" s="75" t="s">
        <v>40</v>
      </c>
      <c r="L134" s="78" t="s">
        <v>87</v>
      </c>
      <c r="M134" s="80" t="s">
        <v>40</v>
      </c>
      <c r="N134" s="236"/>
      <c r="O134" s="116"/>
      <c r="P134" s="112">
        <f t="shared" si="12"/>
        <v>12</v>
      </c>
      <c r="Q134" s="109">
        <f t="shared" si="13"/>
        <v>6.5</v>
      </c>
      <c r="R134" s="110">
        <f t="shared" si="14"/>
        <v>18.5</v>
      </c>
      <c r="S134">
        <v>37048</v>
      </c>
      <c r="T134">
        <v>0</v>
      </c>
      <c r="U134">
        <v>256</v>
      </c>
      <c r="V134">
        <v>2157</v>
      </c>
      <c r="W134">
        <v>1862</v>
      </c>
      <c r="X134">
        <v>372</v>
      </c>
      <c r="Y134">
        <v>323</v>
      </c>
      <c r="Z134">
        <v>0</v>
      </c>
      <c r="AA134">
        <v>0</v>
      </c>
      <c r="AB134">
        <v>5354</v>
      </c>
      <c r="AC134">
        <v>7560</v>
      </c>
      <c r="AD134">
        <v>977</v>
      </c>
      <c r="AE134">
        <v>406</v>
      </c>
      <c r="AF134">
        <v>0</v>
      </c>
      <c r="AG134">
        <v>6627</v>
      </c>
      <c r="AH134">
        <v>2</v>
      </c>
      <c r="AI134">
        <v>0</v>
      </c>
      <c r="AJ134">
        <v>10489</v>
      </c>
      <c r="AK134">
        <v>663</v>
      </c>
    </row>
    <row r="135" spans="1:37" x14ac:dyDescent="0.3">
      <c r="A135" s="221">
        <v>134</v>
      </c>
      <c r="B135" s="156">
        <v>113.3</v>
      </c>
      <c r="C135" s="156"/>
      <c r="D135" s="157" t="s">
        <v>327</v>
      </c>
      <c r="E135" s="187" t="s">
        <v>340</v>
      </c>
      <c r="F135" s="158" t="s">
        <v>339</v>
      </c>
      <c r="G135" s="158" t="s">
        <v>48</v>
      </c>
      <c r="H135" s="158"/>
      <c r="I135" s="160"/>
      <c r="J135" s="160"/>
      <c r="K135" s="75" t="s">
        <v>40</v>
      </c>
      <c r="L135" s="78" t="s">
        <v>87</v>
      </c>
      <c r="M135" s="80" t="s">
        <v>40</v>
      </c>
      <c r="N135" s="236"/>
      <c r="O135" s="116"/>
      <c r="P135" s="112">
        <f t="shared" si="12"/>
        <v>12</v>
      </c>
      <c r="Q135" s="109">
        <f t="shared" si="13"/>
        <v>6.5</v>
      </c>
      <c r="R135" s="110">
        <f t="shared" si="14"/>
        <v>18.5</v>
      </c>
      <c r="S135">
        <v>37048</v>
      </c>
      <c r="T135">
        <v>0</v>
      </c>
      <c r="U135">
        <v>256</v>
      </c>
      <c r="V135">
        <v>2157</v>
      </c>
      <c r="W135">
        <v>1862</v>
      </c>
      <c r="X135">
        <v>372</v>
      </c>
      <c r="Y135">
        <v>323</v>
      </c>
      <c r="Z135">
        <v>0</v>
      </c>
      <c r="AA135">
        <v>0</v>
      </c>
      <c r="AB135">
        <v>5354</v>
      </c>
      <c r="AC135">
        <v>7560</v>
      </c>
      <c r="AD135">
        <v>977</v>
      </c>
      <c r="AE135">
        <v>406</v>
      </c>
      <c r="AF135">
        <v>0</v>
      </c>
      <c r="AG135">
        <v>6627</v>
      </c>
      <c r="AH135">
        <v>2</v>
      </c>
      <c r="AI135">
        <v>0</v>
      </c>
      <c r="AJ135">
        <v>10489</v>
      </c>
      <c r="AK135">
        <v>663</v>
      </c>
    </row>
    <row r="136" spans="1:37" x14ac:dyDescent="0.3">
      <c r="A136" s="221">
        <v>135</v>
      </c>
      <c r="B136" s="188">
        <v>113.4</v>
      </c>
      <c r="C136" s="188"/>
      <c r="D136" s="189" t="s">
        <v>327</v>
      </c>
      <c r="E136" s="209" t="s">
        <v>341</v>
      </c>
      <c r="F136" s="191" t="s">
        <v>339</v>
      </c>
      <c r="G136" s="191" t="s">
        <v>48</v>
      </c>
      <c r="H136" s="191"/>
      <c r="I136" s="194"/>
      <c r="J136" s="195">
        <f>SUM(P136:P140)</f>
        <v>60</v>
      </c>
      <c r="K136" s="75" t="s">
        <v>40</v>
      </c>
      <c r="L136" s="78" t="s">
        <v>87</v>
      </c>
      <c r="M136" s="80" t="s">
        <v>40</v>
      </c>
      <c r="N136" s="241">
        <f>N132+21</f>
        <v>46790</v>
      </c>
      <c r="O136" s="116"/>
      <c r="P136" s="112">
        <f t="shared" si="12"/>
        <v>12</v>
      </c>
      <c r="Q136" s="109">
        <f t="shared" si="13"/>
        <v>6.5</v>
      </c>
      <c r="R136" s="110">
        <f t="shared" si="14"/>
        <v>18.5</v>
      </c>
      <c r="S136">
        <v>37048</v>
      </c>
      <c r="T136">
        <v>0</v>
      </c>
      <c r="U136">
        <v>256</v>
      </c>
      <c r="V136">
        <v>2157</v>
      </c>
      <c r="W136">
        <v>1862</v>
      </c>
      <c r="X136">
        <v>372</v>
      </c>
      <c r="Y136">
        <v>323</v>
      </c>
      <c r="Z136">
        <v>0</v>
      </c>
      <c r="AA136">
        <v>0</v>
      </c>
      <c r="AB136">
        <v>5354</v>
      </c>
      <c r="AC136">
        <v>7560</v>
      </c>
      <c r="AD136">
        <v>977</v>
      </c>
      <c r="AE136">
        <v>406</v>
      </c>
      <c r="AF136">
        <v>0</v>
      </c>
      <c r="AG136">
        <v>6627</v>
      </c>
      <c r="AH136">
        <v>2</v>
      </c>
      <c r="AI136">
        <v>0</v>
      </c>
      <c r="AJ136">
        <v>10489</v>
      </c>
      <c r="AK136">
        <v>663</v>
      </c>
    </row>
    <row r="137" spans="1:37" x14ac:dyDescent="0.3">
      <c r="A137" s="221">
        <v>136</v>
      </c>
      <c r="B137" s="188">
        <v>113.5</v>
      </c>
      <c r="C137" s="188"/>
      <c r="D137" s="189" t="s">
        <v>327</v>
      </c>
      <c r="E137" s="209" t="s">
        <v>342</v>
      </c>
      <c r="F137" s="191" t="s">
        <v>339</v>
      </c>
      <c r="G137" s="191" t="s">
        <v>48</v>
      </c>
      <c r="H137" s="191"/>
      <c r="I137" s="194"/>
      <c r="J137" s="195"/>
      <c r="K137" s="75" t="s">
        <v>40</v>
      </c>
      <c r="L137" s="78" t="s">
        <v>87</v>
      </c>
      <c r="M137" s="80" t="s">
        <v>40</v>
      </c>
      <c r="N137" s="241"/>
      <c r="O137" s="116"/>
      <c r="P137" s="112">
        <f t="shared" si="12"/>
        <v>12</v>
      </c>
      <c r="Q137" s="109">
        <f t="shared" si="13"/>
        <v>6.5</v>
      </c>
      <c r="R137" s="110">
        <f t="shared" si="14"/>
        <v>18.5</v>
      </c>
      <c r="S137">
        <v>37048</v>
      </c>
      <c r="T137">
        <v>0</v>
      </c>
      <c r="U137">
        <v>256</v>
      </c>
      <c r="V137">
        <v>2157</v>
      </c>
      <c r="W137">
        <v>1862</v>
      </c>
      <c r="X137">
        <v>372</v>
      </c>
      <c r="Y137">
        <v>323</v>
      </c>
      <c r="Z137">
        <v>0</v>
      </c>
      <c r="AA137">
        <v>0</v>
      </c>
      <c r="AB137">
        <v>5354</v>
      </c>
      <c r="AC137">
        <v>7560</v>
      </c>
      <c r="AD137">
        <v>977</v>
      </c>
      <c r="AE137">
        <v>406</v>
      </c>
      <c r="AF137">
        <v>0</v>
      </c>
      <c r="AG137">
        <v>6627</v>
      </c>
      <c r="AH137">
        <v>2</v>
      </c>
      <c r="AI137">
        <v>0</v>
      </c>
      <c r="AJ137">
        <v>10489</v>
      </c>
      <c r="AK137">
        <v>663</v>
      </c>
    </row>
    <row r="138" spans="1:37" x14ac:dyDescent="0.3">
      <c r="A138" s="221">
        <v>137</v>
      </c>
      <c r="B138" s="188">
        <v>113.7</v>
      </c>
      <c r="C138" s="188"/>
      <c r="D138" s="189" t="s">
        <v>327</v>
      </c>
      <c r="E138" s="209" t="s">
        <v>343</v>
      </c>
      <c r="F138" s="191" t="s">
        <v>339</v>
      </c>
      <c r="G138" s="191" t="s">
        <v>48</v>
      </c>
      <c r="H138" s="191"/>
      <c r="I138" s="194"/>
      <c r="J138" s="194"/>
      <c r="K138" s="75" t="s">
        <v>41</v>
      </c>
      <c r="L138" s="78" t="s">
        <v>87</v>
      </c>
      <c r="M138" s="80" t="s">
        <v>40</v>
      </c>
      <c r="N138" s="241"/>
      <c r="O138" s="116"/>
      <c r="P138" s="112">
        <f t="shared" si="12"/>
        <v>12</v>
      </c>
      <c r="Q138" s="109">
        <f t="shared" si="13"/>
        <v>6.5</v>
      </c>
      <c r="R138" s="110">
        <f t="shared" si="14"/>
        <v>18.5</v>
      </c>
      <c r="S138">
        <v>37048</v>
      </c>
      <c r="T138">
        <v>0</v>
      </c>
      <c r="U138">
        <v>256</v>
      </c>
      <c r="V138">
        <v>2157</v>
      </c>
      <c r="W138">
        <v>1862</v>
      </c>
      <c r="X138">
        <v>372</v>
      </c>
      <c r="Y138">
        <v>323</v>
      </c>
      <c r="Z138">
        <v>0</v>
      </c>
      <c r="AA138">
        <v>0</v>
      </c>
      <c r="AB138">
        <v>5354</v>
      </c>
      <c r="AC138">
        <v>7560</v>
      </c>
      <c r="AD138">
        <v>977</v>
      </c>
      <c r="AE138">
        <v>406</v>
      </c>
      <c r="AF138">
        <v>0</v>
      </c>
      <c r="AG138">
        <v>6627</v>
      </c>
      <c r="AH138">
        <v>2</v>
      </c>
      <c r="AI138">
        <v>0</v>
      </c>
      <c r="AJ138">
        <v>10489</v>
      </c>
      <c r="AK138">
        <v>663</v>
      </c>
    </row>
    <row r="139" spans="1:37" x14ac:dyDescent="0.3">
      <c r="A139" s="221">
        <v>138</v>
      </c>
      <c r="B139" s="188">
        <v>113.8</v>
      </c>
      <c r="C139" s="188"/>
      <c r="D139" s="189" t="s">
        <v>327</v>
      </c>
      <c r="E139" s="209" t="s">
        <v>344</v>
      </c>
      <c r="F139" s="191" t="s">
        <v>339</v>
      </c>
      <c r="G139" s="191" t="s">
        <v>48</v>
      </c>
      <c r="H139" s="191"/>
      <c r="I139" s="194"/>
      <c r="J139" s="194"/>
      <c r="K139" s="75" t="s">
        <v>41</v>
      </c>
      <c r="L139" s="78" t="s">
        <v>87</v>
      </c>
      <c r="M139" s="80" t="s">
        <v>40</v>
      </c>
      <c r="N139" s="241"/>
      <c r="O139" s="116"/>
      <c r="P139" s="112">
        <f t="shared" si="12"/>
        <v>12</v>
      </c>
      <c r="Q139" s="109">
        <f t="shared" si="13"/>
        <v>6.5</v>
      </c>
      <c r="R139" s="110">
        <f t="shared" si="14"/>
        <v>18.5</v>
      </c>
      <c r="S139">
        <v>37048</v>
      </c>
      <c r="T139">
        <v>0</v>
      </c>
      <c r="U139">
        <v>256</v>
      </c>
      <c r="V139">
        <v>2157</v>
      </c>
      <c r="W139">
        <v>1862</v>
      </c>
      <c r="X139">
        <v>372</v>
      </c>
      <c r="Y139">
        <v>323</v>
      </c>
      <c r="Z139">
        <v>0</v>
      </c>
      <c r="AA139">
        <v>0</v>
      </c>
      <c r="AB139">
        <v>5354</v>
      </c>
      <c r="AC139">
        <v>7560</v>
      </c>
      <c r="AD139">
        <v>977</v>
      </c>
      <c r="AE139">
        <v>406</v>
      </c>
      <c r="AF139">
        <v>0</v>
      </c>
      <c r="AG139">
        <v>6627</v>
      </c>
      <c r="AH139">
        <v>2</v>
      </c>
      <c r="AI139">
        <v>0</v>
      </c>
      <c r="AJ139">
        <v>10489</v>
      </c>
      <c r="AK139">
        <v>663</v>
      </c>
    </row>
    <row r="140" spans="1:37" x14ac:dyDescent="0.3">
      <c r="A140" s="221">
        <v>139</v>
      </c>
      <c r="B140" s="188">
        <v>68</v>
      </c>
      <c r="C140" s="188"/>
      <c r="D140" s="189" t="s">
        <v>199</v>
      </c>
      <c r="E140" s="201" t="s">
        <v>345</v>
      </c>
      <c r="F140" s="191" t="s">
        <v>346</v>
      </c>
      <c r="G140" s="191" t="s">
        <v>48</v>
      </c>
      <c r="H140" s="191"/>
      <c r="I140" s="194"/>
      <c r="J140" s="194"/>
      <c r="K140" s="3" t="s">
        <v>40</v>
      </c>
      <c r="L140" s="2" t="s">
        <v>87</v>
      </c>
      <c r="M140" s="3" t="s">
        <v>40</v>
      </c>
      <c r="N140" s="244"/>
      <c r="O140" s="116"/>
      <c r="P140" s="112">
        <f t="shared" si="12"/>
        <v>12</v>
      </c>
      <c r="Q140" s="109">
        <f t="shared" si="13"/>
        <v>6.5</v>
      </c>
      <c r="R140" s="110">
        <f t="shared" si="14"/>
        <v>18.5</v>
      </c>
      <c r="S140">
        <v>1012</v>
      </c>
      <c r="T140">
        <v>0</v>
      </c>
      <c r="U140">
        <v>1</v>
      </c>
      <c r="V140">
        <v>1</v>
      </c>
      <c r="W140">
        <v>0</v>
      </c>
      <c r="X140">
        <v>3</v>
      </c>
      <c r="Y140">
        <v>96</v>
      </c>
      <c r="Z140">
        <v>0</v>
      </c>
      <c r="AA140">
        <v>0</v>
      </c>
      <c r="AB140">
        <v>648</v>
      </c>
      <c r="AC140">
        <v>20</v>
      </c>
      <c r="AD140">
        <v>240</v>
      </c>
      <c r="AE140">
        <v>1</v>
      </c>
      <c r="AF140">
        <v>0</v>
      </c>
      <c r="AG140">
        <v>0</v>
      </c>
      <c r="AH140">
        <v>0</v>
      </c>
      <c r="AI140">
        <v>0</v>
      </c>
      <c r="AJ140">
        <v>2</v>
      </c>
      <c r="AK140">
        <v>0</v>
      </c>
    </row>
    <row r="141" spans="1:37" x14ac:dyDescent="0.3">
      <c r="A141" s="221">
        <v>140</v>
      </c>
      <c r="B141" s="156">
        <v>63</v>
      </c>
      <c r="C141" s="156"/>
      <c r="D141" s="157" t="s">
        <v>199</v>
      </c>
      <c r="E141" s="176" t="s">
        <v>347</v>
      </c>
      <c r="F141" s="158" t="s">
        <v>348</v>
      </c>
      <c r="G141" s="158" t="s">
        <v>86</v>
      </c>
      <c r="H141" s="158"/>
      <c r="I141" s="160"/>
      <c r="J141" s="109">
        <f>SUM(P141:P145)</f>
        <v>50</v>
      </c>
      <c r="K141" s="3" t="s">
        <v>40</v>
      </c>
      <c r="L141" s="2" t="s">
        <v>87</v>
      </c>
      <c r="M141" s="3" t="s">
        <v>41</v>
      </c>
      <c r="N141" s="237">
        <f>N136+21</f>
        <v>46811</v>
      </c>
      <c r="O141" s="116"/>
      <c r="P141" s="112">
        <f t="shared" si="12"/>
        <v>18</v>
      </c>
      <c r="Q141" s="109">
        <f t="shared" si="13"/>
        <v>8</v>
      </c>
      <c r="R141" s="110">
        <f t="shared" si="14"/>
        <v>26</v>
      </c>
      <c r="S141">
        <v>1296</v>
      </c>
      <c r="T141">
        <v>0</v>
      </c>
      <c r="U141">
        <v>0</v>
      </c>
      <c r="V141">
        <v>12</v>
      </c>
      <c r="W141">
        <v>0</v>
      </c>
      <c r="X141">
        <v>0</v>
      </c>
      <c r="Y141">
        <v>28</v>
      </c>
      <c r="Z141">
        <v>0</v>
      </c>
      <c r="AA141">
        <v>0</v>
      </c>
      <c r="AB141">
        <v>106</v>
      </c>
      <c r="AC141">
        <v>47</v>
      </c>
      <c r="AD141">
        <v>1103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</row>
    <row r="142" spans="1:37" x14ac:dyDescent="0.3">
      <c r="A142" s="221">
        <v>141</v>
      </c>
      <c r="B142" s="156">
        <v>26</v>
      </c>
      <c r="C142" s="156"/>
      <c r="D142" s="157" t="s">
        <v>324</v>
      </c>
      <c r="E142" s="158" t="s">
        <v>349</v>
      </c>
      <c r="F142" s="158" t="s">
        <v>350</v>
      </c>
      <c r="G142" s="158" t="s">
        <v>53</v>
      </c>
      <c r="H142" s="158"/>
      <c r="I142" s="160"/>
      <c r="J142" s="109"/>
      <c r="K142" s="3" t="s">
        <v>40</v>
      </c>
      <c r="L142" s="3" t="s">
        <v>40</v>
      </c>
      <c r="M142" s="2" t="s">
        <v>87</v>
      </c>
      <c r="N142" s="237"/>
      <c r="O142" s="116"/>
      <c r="P142" s="112">
        <f t="shared" si="12"/>
        <v>8</v>
      </c>
      <c r="Q142" s="109">
        <f t="shared" si="13"/>
        <v>5</v>
      </c>
      <c r="R142" s="110">
        <f t="shared" si="14"/>
        <v>13</v>
      </c>
      <c r="S142">
        <v>14</v>
      </c>
      <c r="T142">
        <v>0</v>
      </c>
      <c r="U142">
        <v>0</v>
      </c>
      <c r="V142">
        <v>6</v>
      </c>
      <c r="W142">
        <v>0</v>
      </c>
      <c r="X142">
        <v>0</v>
      </c>
      <c r="Y142">
        <v>8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</row>
    <row r="143" spans="1:37" x14ac:dyDescent="0.3">
      <c r="A143" s="221">
        <v>142</v>
      </c>
      <c r="B143" s="156">
        <v>15</v>
      </c>
      <c r="C143" s="156"/>
      <c r="D143" s="157" t="s">
        <v>35</v>
      </c>
      <c r="E143" s="158" t="s">
        <v>351</v>
      </c>
      <c r="F143" s="158" t="s">
        <v>352</v>
      </c>
      <c r="G143" s="158" t="s">
        <v>53</v>
      </c>
      <c r="H143" s="158"/>
      <c r="I143" s="160"/>
      <c r="J143" s="109"/>
      <c r="K143" s="3" t="s">
        <v>49</v>
      </c>
      <c r="L143" s="3" t="s">
        <v>40</v>
      </c>
      <c r="M143" s="3" t="s">
        <v>40</v>
      </c>
      <c r="N143" s="237"/>
      <c r="O143" s="116"/>
      <c r="P143" s="112">
        <f t="shared" si="12"/>
        <v>8</v>
      </c>
      <c r="Q143" s="109">
        <f t="shared" si="13"/>
        <v>5</v>
      </c>
      <c r="R143" s="110">
        <f t="shared" si="14"/>
        <v>13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</row>
    <row r="144" spans="1:37" x14ac:dyDescent="0.3">
      <c r="A144" s="221">
        <v>143</v>
      </c>
      <c r="B144" s="156">
        <v>18</v>
      </c>
      <c r="C144" s="156"/>
      <c r="D144" s="157" t="s">
        <v>35</v>
      </c>
      <c r="E144" s="158" t="s">
        <v>353</v>
      </c>
      <c r="F144" s="158" t="s">
        <v>354</v>
      </c>
      <c r="G144" s="158" t="s">
        <v>53</v>
      </c>
      <c r="H144" s="158"/>
      <c r="I144" s="160"/>
      <c r="J144" s="160"/>
      <c r="K144" s="3" t="s">
        <v>49</v>
      </c>
      <c r="L144" s="3" t="s">
        <v>41</v>
      </c>
      <c r="M144" s="3" t="s">
        <v>41</v>
      </c>
      <c r="N144" s="237"/>
      <c r="O144" s="116"/>
      <c r="P144" s="112">
        <f t="shared" si="12"/>
        <v>8</v>
      </c>
      <c r="Q144" s="109">
        <f t="shared" si="13"/>
        <v>5</v>
      </c>
      <c r="R144" s="110">
        <f t="shared" si="14"/>
        <v>13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</row>
    <row r="145" spans="1:37" x14ac:dyDescent="0.3">
      <c r="A145" s="221">
        <v>144</v>
      </c>
      <c r="B145" s="156">
        <v>22</v>
      </c>
      <c r="C145" s="156"/>
      <c r="D145" s="157" t="s">
        <v>35</v>
      </c>
      <c r="E145" s="158" t="s">
        <v>355</v>
      </c>
      <c r="F145" s="158" t="s">
        <v>356</v>
      </c>
      <c r="G145" s="158" t="s">
        <v>53</v>
      </c>
      <c r="H145" s="158"/>
      <c r="I145" s="160"/>
      <c r="J145" s="160"/>
      <c r="K145" s="3" t="s">
        <v>70</v>
      </c>
      <c r="L145" s="3" t="s">
        <v>40</v>
      </c>
      <c r="M145" s="3" t="s">
        <v>40</v>
      </c>
      <c r="N145" s="237"/>
      <c r="O145" s="116"/>
      <c r="P145" s="112">
        <f t="shared" si="12"/>
        <v>8</v>
      </c>
      <c r="Q145" s="109">
        <f t="shared" si="13"/>
        <v>5</v>
      </c>
      <c r="R145" s="110">
        <f t="shared" si="14"/>
        <v>13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</row>
    <row r="146" spans="1:37" x14ac:dyDescent="0.3">
      <c r="A146" s="221">
        <v>145</v>
      </c>
      <c r="B146" s="188">
        <v>28</v>
      </c>
      <c r="C146" s="188"/>
      <c r="D146" s="189" t="s">
        <v>324</v>
      </c>
      <c r="E146" s="191" t="s">
        <v>357</v>
      </c>
      <c r="F146" s="191" t="s">
        <v>358</v>
      </c>
      <c r="G146" s="191" t="s">
        <v>48</v>
      </c>
      <c r="H146" s="191"/>
      <c r="I146" s="194"/>
      <c r="J146" s="195">
        <f>SUM(P146:P153)</f>
        <v>60</v>
      </c>
      <c r="K146" s="3" t="s">
        <v>40</v>
      </c>
      <c r="L146" s="3" t="s">
        <v>40</v>
      </c>
      <c r="M146" s="2" t="s">
        <v>87</v>
      </c>
      <c r="N146" s="244">
        <f>N141+21</f>
        <v>46832</v>
      </c>
      <c r="O146" s="116" t="s">
        <v>359</v>
      </c>
      <c r="P146" s="112">
        <f t="shared" si="12"/>
        <v>12</v>
      </c>
      <c r="Q146" s="109">
        <f t="shared" si="13"/>
        <v>6.5</v>
      </c>
      <c r="R146" s="110">
        <f t="shared" si="14"/>
        <v>18.5</v>
      </c>
      <c r="S146">
        <v>133</v>
      </c>
      <c r="T146">
        <v>0</v>
      </c>
      <c r="U146">
        <v>0</v>
      </c>
      <c r="V146">
        <v>126</v>
      </c>
      <c r="W146">
        <v>0</v>
      </c>
      <c r="X146">
        <v>0</v>
      </c>
      <c r="Y146">
        <v>7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</row>
    <row r="147" spans="1:37" ht="15" customHeight="1" x14ac:dyDescent="0.3">
      <c r="A147" s="221">
        <v>146</v>
      </c>
      <c r="B147" s="188">
        <v>29</v>
      </c>
      <c r="C147" s="188"/>
      <c r="D147" s="189" t="s">
        <v>324</v>
      </c>
      <c r="E147" s="191" t="s">
        <v>360</v>
      </c>
      <c r="F147" s="191" t="s">
        <v>361</v>
      </c>
      <c r="G147" s="191" t="s">
        <v>48</v>
      </c>
      <c r="H147" s="191"/>
      <c r="I147" s="194"/>
      <c r="J147" s="194"/>
      <c r="K147" s="3" t="s">
        <v>40</v>
      </c>
      <c r="L147" s="3" t="s">
        <v>40</v>
      </c>
      <c r="M147" s="2" t="s">
        <v>87</v>
      </c>
      <c r="N147" s="244"/>
      <c r="O147" s="116" t="s">
        <v>359</v>
      </c>
      <c r="P147" s="112">
        <f t="shared" si="12"/>
        <v>12</v>
      </c>
      <c r="Q147" s="109">
        <f t="shared" si="13"/>
        <v>6.5</v>
      </c>
      <c r="R147" s="110">
        <f t="shared" si="14"/>
        <v>18.5</v>
      </c>
      <c r="S147">
        <v>296</v>
      </c>
      <c r="T147">
        <v>0</v>
      </c>
      <c r="U147">
        <v>0</v>
      </c>
      <c r="V147">
        <v>294</v>
      </c>
      <c r="W147">
        <v>0</v>
      </c>
      <c r="X147">
        <v>0</v>
      </c>
      <c r="Y147">
        <v>2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</row>
    <row r="148" spans="1:37" x14ac:dyDescent="0.3">
      <c r="A148" s="221">
        <v>147</v>
      </c>
      <c r="B148" s="188">
        <v>81</v>
      </c>
      <c r="C148" s="188"/>
      <c r="D148" s="189" t="s">
        <v>227</v>
      </c>
      <c r="E148" s="191" t="s">
        <v>362</v>
      </c>
      <c r="F148" s="191" t="s">
        <v>363</v>
      </c>
      <c r="G148" s="191" t="s">
        <v>53</v>
      </c>
      <c r="H148" s="191"/>
      <c r="I148" s="194"/>
      <c r="J148" s="194"/>
      <c r="K148" s="3" t="s">
        <v>40</v>
      </c>
      <c r="L148" s="2" t="s">
        <v>87</v>
      </c>
      <c r="M148" s="11" t="s">
        <v>40</v>
      </c>
      <c r="N148" s="241"/>
      <c r="O148" s="116" t="s">
        <v>359</v>
      </c>
      <c r="P148" s="112">
        <f t="shared" si="12"/>
        <v>8</v>
      </c>
      <c r="Q148" s="109">
        <f t="shared" si="13"/>
        <v>5</v>
      </c>
      <c r="R148" s="110">
        <f t="shared" si="14"/>
        <v>13</v>
      </c>
      <c r="S148">
        <v>54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1</v>
      </c>
      <c r="Z148">
        <v>0</v>
      </c>
      <c r="AA148">
        <v>0</v>
      </c>
      <c r="AB148">
        <v>51</v>
      </c>
      <c r="AC148">
        <v>0</v>
      </c>
      <c r="AD148">
        <v>2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</row>
    <row r="149" spans="1:37" x14ac:dyDescent="0.3">
      <c r="A149" s="221">
        <v>148</v>
      </c>
      <c r="B149" s="188">
        <v>115</v>
      </c>
      <c r="C149" s="188"/>
      <c r="D149" s="206" t="s">
        <v>364</v>
      </c>
      <c r="E149" s="191" t="s">
        <v>365</v>
      </c>
      <c r="F149" s="190" t="s">
        <v>366</v>
      </c>
      <c r="G149" s="191" t="s">
        <v>44</v>
      </c>
      <c r="H149" s="191"/>
      <c r="I149" s="194"/>
      <c r="J149" s="195"/>
      <c r="K149" s="3" t="s">
        <v>49</v>
      </c>
      <c r="L149" s="3" t="s">
        <v>41</v>
      </c>
      <c r="M149" s="3" t="s">
        <v>40</v>
      </c>
      <c r="N149" s="244"/>
      <c r="O149" s="116"/>
      <c r="P149" s="112">
        <f t="shared" si="12"/>
        <v>4</v>
      </c>
      <c r="Q149" s="109">
        <f t="shared" si="13"/>
        <v>1.5</v>
      </c>
      <c r="R149" s="110">
        <f t="shared" si="14"/>
        <v>5.5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</row>
    <row r="150" spans="1:37" x14ac:dyDescent="0.3">
      <c r="A150" s="221">
        <v>149</v>
      </c>
      <c r="B150" s="188">
        <v>116</v>
      </c>
      <c r="C150" s="188"/>
      <c r="D150" s="206" t="s">
        <v>364</v>
      </c>
      <c r="E150" s="191" t="s">
        <v>367</v>
      </c>
      <c r="F150" s="190" t="s">
        <v>368</v>
      </c>
      <c r="G150" s="191" t="s">
        <v>53</v>
      </c>
      <c r="H150" s="191"/>
      <c r="I150" s="194"/>
      <c r="J150" s="194"/>
      <c r="K150" s="3" t="s">
        <v>49</v>
      </c>
      <c r="L150" s="3" t="s">
        <v>41</v>
      </c>
      <c r="M150" s="3" t="s">
        <v>40</v>
      </c>
      <c r="N150" s="244"/>
      <c r="O150" s="116"/>
      <c r="P150" s="112">
        <f t="shared" si="12"/>
        <v>8</v>
      </c>
      <c r="Q150" s="109">
        <f t="shared" si="13"/>
        <v>5</v>
      </c>
      <c r="R150" s="110">
        <f t="shared" si="14"/>
        <v>13</v>
      </c>
      <c r="S150">
        <v>4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1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2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1</v>
      </c>
    </row>
    <row r="151" spans="1:37" x14ac:dyDescent="0.3">
      <c r="A151" s="221">
        <v>150</v>
      </c>
      <c r="B151" s="188">
        <v>116.1</v>
      </c>
      <c r="C151" s="188"/>
      <c r="D151" s="206" t="s">
        <v>364</v>
      </c>
      <c r="E151" s="210" t="s">
        <v>369</v>
      </c>
      <c r="F151" s="190" t="s">
        <v>370</v>
      </c>
      <c r="G151" s="191" t="s">
        <v>44</v>
      </c>
      <c r="H151" s="191"/>
      <c r="I151" s="194"/>
      <c r="J151" s="194"/>
      <c r="K151" s="3" t="s">
        <v>49</v>
      </c>
      <c r="L151" s="3" t="s">
        <v>41</v>
      </c>
      <c r="M151" s="3" t="s">
        <v>40</v>
      </c>
      <c r="N151" s="244"/>
      <c r="O151" s="116"/>
      <c r="P151" s="112">
        <f t="shared" si="12"/>
        <v>4</v>
      </c>
      <c r="Q151" s="109">
        <f t="shared" si="13"/>
        <v>1.5</v>
      </c>
      <c r="R151" s="110">
        <f t="shared" si="14"/>
        <v>5.5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</row>
    <row r="152" spans="1:37" x14ac:dyDescent="0.3">
      <c r="A152" s="221">
        <v>151</v>
      </c>
      <c r="B152" s="188">
        <v>117</v>
      </c>
      <c r="C152" s="188"/>
      <c r="D152" s="206" t="s">
        <v>364</v>
      </c>
      <c r="E152" s="191" t="s">
        <v>371</v>
      </c>
      <c r="F152" s="190" t="s">
        <v>372</v>
      </c>
      <c r="G152" s="191" t="s">
        <v>53</v>
      </c>
      <c r="H152" s="191"/>
      <c r="I152" s="194"/>
      <c r="J152" s="194"/>
      <c r="K152" s="3" t="s">
        <v>49</v>
      </c>
      <c r="L152" s="3" t="s">
        <v>41</v>
      </c>
      <c r="M152" s="3" t="s">
        <v>40</v>
      </c>
      <c r="N152" s="244"/>
      <c r="O152" s="116"/>
      <c r="P152" s="112">
        <f t="shared" si="12"/>
        <v>8</v>
      </c>
      <c r="Q152" s="109">
        <f t="shared" si="13"/>
        <v>5</v>
      </c>
      <c r="R152" s="110">
        <f t="shared" si="14"/>
        <v>13</v>
      </c>
      <c r="S152">
        <v>5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3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2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</row>
    <row r="153" spans="1:37" x14ac:dyDescent="0.3">
      <c r="A153" s="221">
        <v>152</v>
      </c>
      <c r="B153" s="188">
        <v>117.1</v>
      </c>
      <c r="C153" s="188"/>
      <c r="D153" s="206" t="s">
        <v>364</v>
      </c>
      <c r="E153" s="196" t="s">
        <v>373</v>
      </c>
      <c r="F153" s="197" t="s">
        <v>374</v>
      </c>
      <c r="G153" s="198" t="s">
        <v>44</v>
      </c>
      <c r="H153" s="198"/>
      <c r="I153" s="199"/>
      <c r="J153" s="199"/>
      <c r="K153" s="3" t="s">
        <v>49</v>
      </c>
      <c r="L153" s="3" t="s">
        <v>41</v>
      </c>
      <c r="M153" s="3" t="s">
        <v>40</v>
      </c>
      <c r="N153" s="244"/>
      <c r="O153" s="116"/>
      <c r="P153" s="112">
        <f t="shared" si="12"/>
        <v>4</v>
      </c>
      <c r="Q153" s="109">
        <f t="shared" si="13"/>
        <v>1.5</v>
      </c>
      <c r="R153" s="110">
        <f t="shared" si="14"/>
        <v>5.5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</row>
    <row r="154" spans="1:37" x14ac:dyDescent="0.3">
      <c r="A154" s="221">
        <v>153</v>
      </c>
      <c r="B154" s="156">
        <v>27</v>
      </c>
      <c r="C154" s="156"/>
      <c r="D154" s="157" t="s">
        <v>324</v>
      </c>
      <c r="E154" s="158" t="s">
        <v>375</v>
      </c>
      <c r="F154" s="158" t="s">
        <v>376</v>
      </c>
      <c r="G154" s="167" t="s">
        <v>203</v>
      </c>
      <c r="H154" s="158"/>
      <c r="I154" s="160"/>
      <c r="J154" s="109">
        <f>SUM(P154:P156)</f>
        <v>53</v>
      </c>
      <c r="K154" s="3" t="s">
        <v>40</v>
      </c>
      <c r="L154" s="3" t="s">
        <v>40</v>
      </c>
      <c r="M154" s="2" t="s">
        <v>87</v>
      </c>
      <c r="N154" s="237">
        <f>N146+21</f>
        <v>46853</v>
      </c>
      <c r="O154" s="116"/>
      <c r="P154" s="112">
        <f t="shared" si="12"/>
        <v>24</v>
      </c>
      <c r="Q154" s="109">
        <f t="shared" si="13"/>
        <v>11</v>
      </c>
      <c r="R154" s="110">
        <f t="shared" si="14"/>
        <v>35</v>
      </c>
      <c r="S154">
        <v>247214</v>
      </c>
      <c r="T154">
        <v>0</v>
      </c>
      <c r="U154">
        <v>214314</v>
      </c>
      <c r="V154">
        <v>27153</v>
      </c>
      <c r="W154">
        <v>2</v>
      </c>
      <c r="X154">
        <v>2</v>
      </c>
      <c r="Y154">
        <v>23</v>
      </c>
      <c r="Z154">
        <v>2</v>
      </c>
      <c r="AA154">
        <v>0</v>
      </c>
      <c r="AB154">
        <v>0</v>
      </c>
      <c r="AC154">
        <v>16</v>
      </c>
      <c r="AD154">
        <v>7</v>
      </c>
      <c r="AE154">
        <v>5653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42</v>
      </c>
    </row>
    <row r="155" spans="1:37" x14ac:dyDescent="0.3">
      <c r="A155" s="221">
        <v>154</v>
      </c>
      <c r="B155" s="156">
        <v>38</v>
      </c>
      <c r="C155" s="156"/>
      <c r="D155" s="157" t="s">
        <v>324</v>
      </c>
      <c r="E155" s="158" t="s">
        <v>377</v>
      </c>
      <c r="F155" s="167" t="s">
        <v>378</v>
      </c>
      <c r="G155" s="158" t="s">
        <v>53</v>
      </c>
      <c r="H155" s="158"/>
      <c r="I155" s="160"/>
      <c r="J155" s="109"/>
      <c r="K155" s="3" t="s">
        <v>40</v>
      </c>
      <c r="L155" s="3" t="s">
        <v>40</v>
      </c>
      <c r="M155" s="2" t="s">
        <v>87</v>
      </c>
      <c r="N155" s="237"/>
      <c r="O155" s="116" t="s">
        <v>359</v>
      </c>
      <c r="P155" s="112">
        <f t="shared" si="12"/>
        <v>8</v>
      </c>
      <c r="Q155" s="109">
        <f t="shared" si="13"/>
        <v>5</v>
      </c>
      <c r="R155" s="110">
        <f t="shared" si="14"/>
        <v>13</v>
      </c>
      <c r="S155">
        <v>9</v>
      </c>
      <c r="T155">
        <v>0</v>
      </c>
      <c r="U155">
        <v>0</v>
      </c>
      <c r="V155">
        <v>6</v>
      </c>
      <c r="W155">
        <v>0</v>
      </c>
      <c r="X155">
        <v>0</v>
      </c>
      <c r="Y155">
        <v>3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</row>
    <row r="156" spans="1:37" ht="15" customHeight="1" x14ac:dyDescent="0.3">
      <c r="A156" s="221">
        <v>155</v>
      </c>
      <c r="B156" s="156">
        <v>37</v>
      </c>
      <c r="C156" s="156"/>
      <c r="D156" s="157" t="s">
        <v>324</v>
      </c>
      <c r="E156" s="158" t="s">
        <v>379</v>
      </c>
      <c r="F156" s="167" t="s">
        <v>380</v>
      </c>
      <c r="G156" s="158" t="s">
        <v>38</v>
      </c>
      <c r="H156" s="158"/>
      <c r="I156" s="160"/>
      <c r="J156" s="160"/>
      <c r="K156" s="3" t="s">
        <v>40</v>
      </c>
      <c r="L156" s="3" t="s">
        <v>40</v>
      </c>
      <c r="M156" s="2" t="s">
        <v>87</v>
      </c>
      <c r="N156" s="237"/>
      <c r="O156" s="116"/>
      <c r="P156" s="112">
        <f t="shared" si="12"/>
        <v>21</v>
      </c>
      <c r="Q156" s="109">
        <f t="shared" si="13"/>
        <v>10</v>
      </c>
      <c r="R156" s="110">
        <f t="shared" si="14"/>
        <v>31</v>
      </c>
      <c r="S156">
        <v>373</v>
      </c>
      <c r="T156">
        <v>0</v>
      </c>
      <c r="U156">
        <v>0</v>
      </c>
      <c r="V156">
        <v>369</v>
      </c>
      <c r="W156">
        <v>0</v>
      </c>
      <c r="X156">
        <v>0</v>
      </c>
      <c r="Y156">
        <v>4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</row>
    <row r="157" spans="1:37" x14ac:dyDescent="0.3">
      <c r="A157" s="221">
        <v>156</v>
      </c>
      <c r="B157" s="188">
        <v>33</v>
      </c>
      <c r="C157" s="188"/>
      <c r="D157" s="189" t="s">
        <v>324</v>
      </c>
      <c r="E157" s="191" t="s">
        <v>381</v>
      </c>
      <c r="F157" s="191" t="s">
        <v>382</v>
      </c>
      <c r="G157" s="191" t="s">
        <v>38</v>
      </c>
      <c r="H157" s="191"/>
      <c r="I157" s="194"/>
      <c r="J157" s="195">
        <f>SUM(P157:P160)</f>
        <v>47</v>
      </c>
      <c r="K157" s="3" t="s">
        <v>40</v>
      </c>
      <c r="L157" s="3" t="s">
        <v>40</v>
      </c>
      <c r="M157" s="2" t="s">
        <v>87</v>
      </c>
      <c r="N157" s="244">
        <f>N146+21</f>
        <v>46853</v>
      </c>
      <c r="O157" s="116" t="s">
        <v>359</v>
      </c>
      <c r="P157" s="112">
        <f t="shared" si="12"/>
        <v>21</v>
      </c>
      <c r="Q157" s="109">
        <f t="shared" si="13"/>
        <v>10</v>
      </c>
      <c r="R157" s="110">
        <f t="shared" si="14"/>
        <v>31</v>
      </c>
      <c r="S157">
        <v>1217</v>
      </c>
      <c r="T157">
        <v>0</v>
      </c>
      <c r="U157">
        <v>0</v>
      </c>
      <c r="V157">
        <v>1197</v>
      </c>
      <c r="W157">
        <v>0</v>
      </c>
      <c r="X157">
        <v>0</v>
      </c>
      <c r="Y157">
        <v>20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</row>
    <row r="158" spans="1:37" x14ac:dyDescent="0.3">
      <c r="A158" s="221">
        <v>157</v>
      </c>
      <c r="B158" s="188">
        <v>34</v>
      </c>
      <c r="C158" s="188"/>
      <c r="D158" s="189" t="s">
        <v>324</v>
      </c>
      <c r="E158" s="191" t="s">
        <v>383</v>
      </c>
      <c r="F158" s="191" t="s">
        <v>384</v>
      </c>
      <c r="G158" s="191" t="s">
        <v>86</v>
      </c>
      <c r="H158" s="191"/>
      <c r="I158" s="194"/>
      <c r="J158" s="194"/>
      <c r="K158" s="3" t="s">
        <v>40</v>
      </c>
      <c r="L158" s="3" t="s">
        <v>40</v>
      </c>
      <c r="M158" s="2" t="s">
        <v>87</v>
      </c>
      <c r="N158" s="244"/>
      <c r="O158" s="116" t="s">
        <v>359</v>
      </c>
      <c r="P158" s="112">
        <f t="shared" si="12"/>
        <v>18</v>
      </c>
      <c r="Q158" s="109">
        <f t="shared" si="13"/>
        <v>8</v>
      </c>
      <c r="R158" s="110">
        <f t="shared" si="14"/>
        <v>26</v>
      </c>
      <c r="S158">
        <v>1108</v>
      </c>
      <c r="T158">
        <v>0</v>
      </c>
      <c r="U158">
        <v>0</v>
      </c>
      <c r="V158">
        <v>1100</v>
      </c>
      <c r="W158">
        <v>0</v>
      </c>
      <c r="X158">
        <v>0</v>
      </c>
      <c r="Y158">
        <v>8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</row>
    <row r="159" spans="1:37" x14ac:dyDescent="0.3">
      <c r="A159" s="221">
        <v>158</v>
      </c>
      <c r="B159" s="188">
        <v>34.1</v>
      </c>
      <c r="C159" s="188"/>
      <c r="D159" s="189" t="s">
        <v>324</v>
      </c>
      <c r="E159" s="210" t="s">
        <v>385</v>
      </c>
      <c r="F159" s="191" t="s">
        <v>386</v>
      </c>
      <c r="G159" s="191" t="s">
        <v>44</v>
      </c>
      <c r="H159" s="191"/>
      <c r="I159" s="194"/>
      <c r="J159" s="194"/>
      <c r="K159" s="3" t="s">
        <v>40</v>
      </c>
      <c r="L159" s="3" t="s">
        <v>40</v>
      </c>
      <c r="M159" s="2" t="s">
        <v>87</v>
      </c>
      <c r="N159" s="244"/>
      <c r="O159" s="116" t="s">
        <v>359</v>
      </c>
      <c r="P159" s="112">
        <f t="shared" si="12"/>
        <v>4</v>
      </c>
      <c r="Q159" s="109">
        <f t="shared" si="13"/>
        <v>1.5</v>
      </c>
      <c r="R159" s="110">
        <f t="shared" si="14"/>
        <v>5.5</v>
      </c>
      <c r="S159">
        <v>48</v>
      </c>
      <c r="T159">
        <v>0</v>
      </c>
      <c r="U159">
        <v>0</v>
      </c>
      <c r="V159">
        <v>46</v>
      </c>
      <c r="W159">
        <v>0</v>
      </c>
      <c r="X159">
        <v>0</v>
      </c>
      <c r="Y159">
        <v>2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</row>
    <row r="160" spans="1:37" x14ac:dyDescent="0.3">
      <c r="A160" s="221">
        <v>159</v>
      </c>
      <c r="B160" s="188">
        <v>34.200000000000003</v>
      </c>
      <c r="C160" s="188"/>
      <c r="D160" s="189" t="s">
        <v>324</v>
      </c>
      <c r="E160" s="210" t="s">
        <v>387</v>
      </c>
      <c r="F160" s="191" t="s">
        <v>388</v>
      </c>
      <c r="G160" s="191" t="s">
        <v>44</v>
      </c>
      <c r="H160" s="191"/>
      <c r="I160" s="194"/>
      <c r="J160" s="194"/>
      <c r="K160" s="3" t="s">
        <v>40</v>
      </c>
      <c r="L160" s="3" t="s">
        <v>40</v>
      </c>
      <c r="M160" s="2" t="s">
        <v>87</v>
      </c>
      <c r="N160" s="244"/>
      <c r="O160" s="116" t="s">
        <v>359</v>
      </c>
      <c r="P160" s="112">
        <f t="shared" ref="P160:P167" si="15">IFERROR(VLOOKUP($G160,ComplexityLOE,2,FALSE),"")</f>
        <v>4</v>
      </c>
      <c r="Q160" s="109">
        <f t="shared" ref="Q160:Q167" si="16">IFERROR(VLOOKUP($G160,ComplexityLOE,3,FALSE),"")</f>
        <v>1.5</v>
      </c>
      <c r="R160" s="110">
        <f t="shared" si="14"/>
        <v>5.5</v>
      </c>
      <c r="S160">
        <v>124</v>
      </c>
      <c r="T160">
        <v>0</v>
      </c>
      <c r="U160">
        <v>0</v>
      </c>
      <c r="V160">
        <v>121</v>
      </c>
      <c r="W160">
        <v>0</v>
      </c>
      <c r="X160">
        <v>0</v>
      </c>
      <c r="Y160">
        <v>3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</row>
    <row r="161" spans="1:37" x14ac:dyDescent="0.3">
      <c r="A161" s="221">
        <v>160</v>
      </c>
      <c r="B161" s="156">
        <v>35</v>
      </c>
      <c r="C161" s="156"/>
      <c r="D161" s="157" t="s">
        <v>324</v>
      </c>
      <c r="E161" s="158" t="s">
        <v>389</v>
      </c>
      <c r="F161" s="158" t="s">
        <v>390</v>
      </c>
      <c r="G161" s="158" t="s">
        <v>38</v>
      </c>
      <c r="H161" s="158"/>
      <c r="I161" s="160"/>
      <c r="J161" s="109">
        <f>SUM(P161:P164)</f>
        <v>47</v>
      </c>
      <c r="K161" s="3" t="s">
        <v>40</v>
      </c>
      <c r="L161" s="3" t="s">
        <v>40</v>
      </c>
      <c r="M161" s="2" t="s">
        <v>87</v>
      </c>
      <c r="N161" s="237">
        <f>N157+21</f>
        <v>46874</v>
      </c>
      <c r="O161" s="116" t="s">
        <v>359</v>
      </c>
      <c r="P161" s="112">
        <f t="shared" si="15"/>
        <v>21</v>
      </c>
      <c r="Q161" s="109">
        <f t="shared" si="16"/>
        <v>10</v>
      </c>
      <c r="R161" s="110">
        <f t="shared" si="14"/>
        <v>31</v>
      </c>
      <c r="S161">
        <v>177</v>
      </c>
      <c r="T161">
        <v>0</v>
      </c>
      <c r="U161">
        <v>0</v>
      </c>
      <c r="V161">
        <v>160</v>
      </c>
      <c r="W161">
        <v>0</v>
      </c>
      <c r="X161">
        <v>0</v>
      </c>
      <c r="Y161">
        <v>17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</row>
    <row r="162" spans="1:37" x14ac:dyDescent="0.3">
      <c r="A162" s="221">
        <v>161</v>
      </c>
      <c r="B162" s="156">
        <v>36</v>
      </c>
      <c r="C162" s="156"/>
      <c r="D162" s="157" t="s">
        <v>324</v>
      </c>
      <c r="E162" s="158" t="s">
        <v>391</v>
      </c>
      <c r="F162" s="158" t="s">
        <v>392</v>
      </c>
      <c r="G162" s="158" t="s">
        <v>86</v>
      </c>
      <c r="H162" s="158"/>
      <c r="I162" s="160"/>
      <c r="J162" s="160"/>
      <c r="K162" s="3" t="s">
        <v>40</v>
      </c>
      <c r="L162" s="3" t="s">
        <v>40</v>
      </c>
      <c r="M162" s="2" t="s">
        <v>87</v>
      </c>
      <c r="N162" s="237"/>
      <c r="O162" s="116" t="s">
        <v>359</v>
      </c>
      <c r="P162" s="112">
        <f t="shared" si="15"/>
        <v>18</v>
      </c>
      <c r="Q162" s="109">
        <f t="shared" si="16"/>
        <v>8</v>
      </c>
      <c r="R162" s="110">
        <f t="shared" ref="R162:R193" si="17">IFERROR(P162+Q162,"")</f>
        <v>26</v>
      </c>
      <c r="S162">
        <v>249</v>
      </c>
      <c r="T162">
        <v>0</v>
      </c>
      <c r="U162">
        <v>0</v>
      </c>
      <c r="V162">
        <v>246</v>
      </c>
      <c r="W162">
        <v>0</v>
      </c>
      <c r="X162">
        <v>0</v>
      </c>
      <c r="Y162">
        <v>3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</row>
    <row r="163" spans="1:37" x14ac:dyDescent="0.3">
      <c r="A163" s="221">
        <v>162</v>
      </c>
      <c r="B163" s="156">
        <v>36.1</v>
      </c>
      <c r="C163" s="156"/>
      <c r="D163" s="157" t="s">
        <v>324</v>
      </c>
      <c r="E163" s="161" t="s">
        <v>393</v>
      </c>
      <c r="F163" s="167" t="s">
        <v>394</v>
      </c>
      <c r="G163" s="158" t="s">
        <v>44</v>
      </c>
      <c r="H163" s="158"/>
      <c r="I163" s="160"/>
      <c r="J163" s="160"/>
      <c r="K163" s="3" t="s">
        <v>40</v>
      </c>
      <c r="L163" s="3" t="s">
        <v>40</v>
      </c>
      <c r="M163" s="2" t="s">
        <v>87</v>
      </c>
      <c r="N163" s="237"/>
      <c r="O163" s="116" t="s">
        <v>359</v>
      </c>
      <c r="P163" s="112">
        <f t="shared" si="15"/>
        <v>4</v>
      </c>
      <c r="Q163" s="109">
        <f t="shared" si="16"/>
        <v>1.5</v>
      </c>
      <c r="R163" s="110">
        <f t="shared" si="17"/>
        <v>5.5</v>
      </c>
      <c r="S163">
        <v>98</v>
      </c>
      <c r="T163">
        <v>0</v>
      </c>
      <c r="U163">
        <v>0</v>
      </c>
      <c r="V163">
        <v>98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</row>
    <row r="164" spans="1:37" x14ac:dyDescent="0.3">
      <c r="A164" s="221">
        <v>163</v>
      </c>
      <c r="B164" s="156">
        <v>36.200000000000003</v>
      </c>
      <c r="C164" s="156"/>
      <c r="D164" s="157" t="s">
        <v>324</v>
      </c>
      <c r="E164" s="161" t="s">
        <v>395</v>
      </c>
      <c r="F164" s="32" t="s">
        <v>396</v>
      </c>
      <c r="G164" s="39" t="s">
        <v>44</v>
      </c>
      <c r="H164" s="39"/>
      <c r="I164" s="95"/>
      <c r="J164" s="95"/>
      <c r="K164" s="3" t="s">
        <v>40</v>
      </c>
      <c r="L164" s="3" t="s">
        <v>40</v>
      </c>
      <c r="M164" s="2" t="s">
        <v>87</v>
      </c>
      <c r="N164" s="237"/>
      <c r="O164" s="116" t="s">
        <v>359</v>
      </c>
      <c r="P164" s="112">
        <f t="shared" si="15"/>
        <v>4</v>
      </c>
      <c r="Q164" s="109">
        <f t="shared" si="16"/>
        <v>1.5</v>
      </c>
      <c r="R164" s="110">
        <f t="shared" si="17"/>
        <v>5.5</v>
      </c>
      <c r="S164">
        <v>5</v>
      </c>
      <c r="T164">
        <v>0</v>
      </c>
      <c r="U164">
        <v>0</v>
      </c>
      <c r="V164">
        <v>5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</row>
    <row r="165" spans="1:37" x14ac:dyDescent="0.3">
      <c r="A165" s="221">
        <v>164</v>
      </c>
      <c r="B165" s="188">
        <v>97</v>
      </c>
      <c r="C165" s="188"/>
      <c r="D165" s="189" t="s">
        <v>167</v>
      </c>
      <c r="E165" s="190" t="s">
        <v>397</v>
      </c>
      <c r="F165" s="191" t="s">
        <v>398</v>
      </c>
      <c r="G165" s="191" t="s">
        <v>48</v>
      </c>
      <c r="H165" s="191"/>
      <c r="I165" s="194"/>
      <c r="J165" s="195">
        <f>SUM(P165:P167)</f>
        <v>38</v>
      </c>
      <c r="K165" s="78" t="s">
        <v>39</v>
      </c>
      <c r="L165" s="75" t="s">
        <v>41</v>
      </c>
      <c r="M165" s="75" t="s">
        <v>41</v>
      </c>
      <c r="N165" s="244">
        <f>N161+21</f>
        <v>46895</v>
      </c>
      <c r="O165" s="116"/>
      <c r="P165" s="112">
        <f t="shared" si="15"/>
        <v>12</v>
      </c>
      <c r="Q165" s="109">
        <f t="shared" si="16"/>
        <v>6.5</v>
      </c>
      <c r="R165" s="110">
        <f t="shared" si="17"/>
        <v>18.5</v>
      </c>
      <c r="S165">
        <v>146301</v>
      </c>
      <c r="T165">
        <v>0</v>
      </c>
      <c r="U165">
        <v>40891</v>
      </c>
      <c r="V165">
        <v>7974</v>
      </c>
      <c r="W165">
        <v>6966</v>
      </c>
      <c r="X165">
        <v>642</v>
      </c>
      <c r="Y165">
        <v>573</v>
      </c>
      <c r="Z165">
        <v>4</v>
      </c>
      <c r="AA165">
        <v>0</v>
      </c>
      <c r="AB165">
        <v>19433</v>
      </c>
      <c r="AC165">
        <v>6662</v>
      </c>
      <c r="AD165">
        <v>5771</v>
      </c>
      <c r="AE165">
        <v>4240</v>
      </c>
      <c r="AF165">
        <v>0</v>
      </c>
      <c r="AG165">
        <v>438</v>
      </c>
      <c r="AH165">
        <v>82</v>
      </c>
      <c r="AI165">
        <v>0</v>
      </c>
      <c r="AJ165">
        <v>50661</v>
      </c>
      <c r="AK165">
        <v>1964</v>
      </c>
    </row>
    <row r="166" spans="1:37" x14ac:dyDescent="0.3">
      <c r="A166" s="221">
        <v>165</v>
      </c>
      <c r="B166" s="188">
        <v>97.1</v>
      </c>
      <c r="C166" s="188"/>
      <c r="D166" s="189" t="s">
        <v>167</v>
      </c>
      <c r="E166" s="196" t="s">
        <v>399</v>
      </c>
      <c r="F166" s="211" t="s">
        <v>400</v>
      </c>
      <c r="G166" s="211" t="s">
        <v>86</v>
      </c>
      <c r="H166" s="211"/>
      <c r="I166" s="212"/>
      <c r="J166" s="212"/>
      <c r="K166" s="78" t="s">
        <v>39</v>
      </c>
      <c r="L166" s="75" t="s">
        <v>41</v>
      </c>
      <c r="M166" s="75" t="s">
        <v>41</v>
      </c>
      <c r="N166" s="244"/>
      <c r="O166" s="116" t="s">
        <v>401</v>
      </c>
      <c r="P166" s="112">
        <f t="shared" si="15"/>
        <v>18</v>
      </c>
      <c r="Q166" s="109">
        <f t="shared" si="16"/>
        <v>8</v>
      </c>
      <c r="R166" s="110">
        <f t="shared" si="17"/>
        <v>26</v>
      </c>
      <c r="S166">
        <v>126349</v>
      </c>
      <c r="T166">
        <v>0</v>
      </c>
      <c r="U166">
        <v>10428</v>
      </c>
      <c r="V166">
        <v>2919</v>
      </c>
      <c r="W166">
        <v>6325</v>
      </c>
      <c r="X166">
        <v>746</v>
      </c>
      <c r="Y166">
        <v>723</v>
      </c>
      <c r="Z166">
        <v>11</v>
      </c>
      <c r="AA166">
        <v>0</v>
      </c>
      <c r="AB166">
        <v>25770</v>
      </c>
      <c r="AC166">
        <v>8906</v>
      </c>
      <c r="AD166">
        <v>6959</v>
      </c>
      <c r="AE166">
        <v>911</v>
      </c>
      <c r="AF166">
        <v>0</v>
      </c>
      <c r="AG166">
        <v>2373</v>
      </c>
      <c r="AH166">
        <v>92</v>
      </c>
      <c r="AI166">
        <v>0</v>
      </c>
      <c r="AJ166">
        <v>58361</v>
      </c>
      <c r="AK166">
        <v>1825</v>
      </c>
    </row>
    <row r="167" spans="1:37" x14ac:dyDescent="0.3">
      <c r="A167" s="221">
        <v>166</v>
      </c>
      <c r="B167" s="188">
        <v>97.2</v>
      </c>
      <c r="C167" s="188"/>
      <c r="D167" s="189" t="s">
        <v>167</v>
      </c>
      <c r="E167" s="200" t="s">
        <v>402</v>
      </c>
      <c r="F167" s="191"/>
      <c r="G167" s="191" t="s">
        <v>53</v>
      </c>
      <c r="H167" s="191"/>
      <c r="I167" s="194"/>
      <c r="J167" s="194"/>
      <c r="K167" s="78" t="s">
        <v>39</v>
      </c>
      <c r="L167" s="75" t="s">
        <v>41</v>
      </c>
      <c r="M167" s="75" t="s">
        <v>41</v>
      </c>
      <c r="N167" s="244"/>
      <c r="O167" s="116" t="s">
        <v>401</v>
      </c>
      <c r="P167" s="112">
        <f t="shared" si="15"/>
        <v>8</v>
      </c>
      <c r="Q167" s="109">
        <f t="shared" si="16"/>
        <v>5</v>
      </c>
      <c r="R167" s="110">
        <f t="shared" si="17"/>
        <v>13</v>
      </c>
    </row>
    <row r="168" spans="1:37" x14ac:dyDescent="0.3">
      <c r="A168" s="221">
        <v>167</v>
      </c>
      <c r="B168" s="156">
        <v>158</v>
      </c>
      <c r="C168" s="156"/>
      <c r="D168" s="157" t="s">
        <v>403</v>
      </c>
      <c r="E168" s="167" t="s">
        <v>404</v>
      </c>
      <c r="F168" s="32" t="s">
        <v>405</v>
      </c>
      <c r="G168" s="32" t="s">
        <v>86</v>
      </c>
      <c r="H168" s="32"/>
      <c r="I168" s="173"/>
      <c r="J168" s="178">
        <f>SUM(P168:P169)</f>
        <v>30</v>
      </c>
      <c r="K168" s="75" t="s">
        <v>49</v>
      </c>
      <c r="L168" s="75" t="s">
        <v>41</v>
      </c>
      <c r="M168" s="75" t="s">
        <v>87</v>
      </c>
      <c r="N168" s="237">
        <f>N165+21</f>
        <v>46916</v>
      </c>
      <c r="O168" s="116"/>
      <c r="P168" s="112">
        <v>18</v>
      </c>
      <c r="Q168" s="109">
        <v>8</v>
      </c>
      <c r="R168" s="110">
        <f t="shared" si="17"/>
        <v>26</v>
      </c>
      <c r="S168">
        <v>148370</v>
      </c>
      <c r="T168">
        <v>2</v>
      </c>
      <c r="U168">
        <v>13435</v>
      </c>
      <c r="V168">
        <v>4673</v>
      </c>
      <c r="W168">
        <v>14398</v>
      </c>
      <c r="X168">
        <v>527</v>
      </c>
      <c r="Y168">
        <v>1025</v>
      </c>
      <c r="Z168">
        <v>31</v>
      </c>
      <c r="AA168">
        <v>10</v>
      </c>
      <c r="AB168">
        <v>17196</v>
      </c>
      <c r="AC168">
        <v>4082</v>
      </c>
      <c r="AD168">
        <v>15861</v>
      </c>
      <c r="AE168">
        <v>5439</v>
      </c>
      <c r="AF168">
        <v>192</v>
      </c>
      <c r="AG168">
        <v>51</v>
      </c>
      <c r="AH168">
        <v>132</v>
      </c>
      <c r="AI168">
        <v>18</v>
      </c>
      <c r="AJ168">
        <v>68622</v>
      </c>
      <c r="AK168">
        <v>2676</v>
      </c>
    </row>
    <row r="169" spans="1:37" x14ac:dyDescent="0.3">
      <c r="A169" s="221">
        <v>168</v>
      </c>
      <c r="B169" s="156">
        <v>159</v>
      </c>
      <c r="C169" s="156"/>
      <c r="D169" s="157" t="s">
        <v>403</v>
      </c>
      <c r="E169" s="167" t="s">
        <v>406</v>
      </c>
      <c r="F169" s="32" t="s">
        <v>407</v>
      </c>
      <c r="G169" s="39" t="s">
        <v>48</v>
      </c>
      <c r="H169" s="39"/>
      <c r="I169" s="95"/>
      <c r="J169" s="95"/>
      <c r="K169" s="75" t="s">
        <v>49</v>
      </c>
      <c r="L169" s="75" t="s">
        <v>41</v>
      </c>
      <c r="M169" s="75" t="s">
        <v>87</v>
      </c>
      <c r="N169" s="237"/>
      <c r="O169" s="116"/>
      <c r="P169" s="112">
        <v>12</v>
      </c>
      <c r="Q169" s="109">
        <v>6.5</v>
      </c>
      <c r="R169" s="110">
        <f t="shared" si="17"/>
        <v>18.5</v>
      </c>
      <c r="S169">
        <v>2000956</v>
      </c>
      <c r="T169">
        <v>31</v>
      </c>
      <c r="U169">
        <v>344330</v>
      </c>
      <c r="V169">
        <v>181542</v>
      </c>
      <c r="W169">
        <v>496605</v>
      </c>
      <c r="X169">
        <v>62660</v>
      </c>
      <c r="Y169">
        <v>5753</v>
      </c>
      <c r="Z169">
        <v>370</v>
      </c>
      <c r="AA169">
        <v>43</v>
      </c>
      <c r="AB169">
        <v>170726</v>
      </c>
      <c r="AC169">
        <v>38249</v>
      </c>
      <c r="AD169">
        <v>37853</v>
      </c>
      <c r="AE169">
        <v>56393</v>
      </c>
      <c r="AF169">
        <v>2125</v>
      </c>
      <c r="AG169">
        <v>21647</v>
      </c>
      <c r="AH169">
        <v>3150</v>
      </c>
      <c r="AI169">
        <v>80</v>
      </c>
      <c r="AJ169">
        <v>521151</v>
      </c>
      <c r="AK169">
        <v>58248</v>
      </c>
    </row>
    <row r="170" spans="1:37" x14ac:dyDescent="0.3">
      <c r="A170" s="221">
        <v>169</v>
      </c>
      <c r="B170" s="188">
        <v>50</v>
      </c>
      <c r="C170" s="188"/>
      <c r="D170" s="189" t="s">
        <v>83</v>
      </c>
      <c r="E170" s="190" t="s">
        <v>408</v>
      </c>
      <c r="F170" s="190" t="s">
        <v>409</v>
      </c>
      <c r="G170" s="213" t="s">
        <v>203</v>
      </c>
      <c r="H170" s="190"/>
      <c r="I170" s="214"/>
      <c r="J170" s="215">
        <f>SUM(P170:P178)</f>
        <v>120</v>
      </c>
      <c r="K170" s="2" t="s">
        <v>70</v>
      </c>
      <c r="L170" s="3" t="s">
        <v>41</v>
      </c>
      <c r="M170" s="12" t="s">
        <v>87</v>
      </c>
      <c r="N170" s="242">
        <f>N168+21</f>
        <v>46937</v>
      </c>
      <c r="O170" s="116"/>
      <c r="P170" s="112">
        <f t="shared" ref="P170:P199" si="18">IFERROR(VLOOKUP($G170,ComplexityLOE,2,FALSE),"")</f>
        <v>24</v>
      </c>
      <c r="Q170" s="109">
        <f t="shared" ref="Q170:Q199" si="19">IFERROR(VLOOKUP($G170,ComplexityLOE,3,FALSE),"")</f>
        <v>11</v>
      </c>
      <c r="R170" s="110">
        <f t="shared" si="17"/>
        <v>35</v>
      </c>
      <c r="S170">
        <v>1147036</v>
      </c>
      <c r="T170">
        <v>2</v>
      </c>
      <c r="U170">
        <v>61199</v>
      </c>
      <c r="V170">
        <v>46752</v>
      </c>
      <c r="W170">
        <v>627849</v>
      </c>
      <c r="X170">
        <v>9624</v>
      </c>
      <c r="Y170">
        <v>227</v>
      </c>
      <c r="Z170">
        <v>10</v>
      </c>
      <c r="AA170">
        <v>0</v>
      </c>
      <c r="AB170">
        <v>35215</v>
      </c>
      <c r="AC170">
        <v>11426</v>
      </c>
      <c r="AD170">
        <v>9436</v>
      </c>
      <c r="AE170">
        <v>8817</v>
      </c>
      <c r="AF170">
        <v>0</v>
      </c>
      <c r="AG170">
        <v>2414</v>
      </c>
      <c r="AH170">
        <v>20</v>
      </c>
      <c r="AI170">
        <v>0</v>
      </c>
      <c r="AJ170">
        <v>327344</v>
      </c>
      <c r="AK170">
        <v>6701</v>
      </c>
    </row>
    <row r="171" spans="1:37" x14ac:dyDescent="0.3">
      <c r="A171" s="221">
        <v>170</v>
      </c>
      <c r="B171" s="188">
        <v>50.1</v>
      </c>
      <c r="C171" s="188"/>
      <c r="D171" s="189" t="s">
        <v>83</v>
      </c>
      <c r="E171" s="200" t="s">
        <v>410</v>
      </c>
      <c r="F171" s="190" t="s">
        <v>411</v>
      </c>
      <c r="G171" s="190" t="s">
        <v>53</v>
      </c>
      <c r="H171" s="190"/>
      <c r="I171" s="214"/>
      <c r="J171" s="214"/>
      <c r="K171" s="2" t="s">
        <v>70</v>
      </c>
      <c r="L171" s="3" t="s">
        <v>41</v>
      </c>
      <c r="M171" s="12" t="s">
        <v>87</v>
      </c>
      <c r="N171" s="242"/>
      <c r="O171" s="116"/>
      <c r="P171" s="112">
        <f t="shared" si="18"/>
        <v>8</v>
      </c>
      <c r="Q171" s="109">
        <f t="shared" si="19"/>
        <v>5</v>
      </c>
      <c r="R171" s="110">
        <f t="shared" si="17"/>
        <v>13</v>
      </c>
      <c r="S171">
        <v>271196</v>
      </c>
      <c r="T171">
        <v>0</v>
      </c>
      <c r="U171">
        <v>4707</v>
      </c>
      <c r="V171">
        <v>2309</v>
      </c>
      <c r="W171">
        <v>238021</v>
      </c>
      <c r="X171">
        <v>2697</v>
      </c>
      <c r="Y171">
        <v>78</v>
      </c>
      <c r="Z171">
        <v>43</v>
      </c>
      <c r="AA171">
        <v>2</v>
      </c>
      <c r="AB171">
        <v>1491</v>
      </c>
      <c r="AC171">
        <v>254</v>
      </c>
      <c r="AD171">
        <v>776</v>
      </c>
      <c r="AE171">
        <v>1805</v>
      </c>
      <c r="AF171">
        <v>2</v>
      </c>
      <c r="AG171">
        <v>43</v>
      </c>
      <c r="AH171">
        <v>8</v>
      </c>
      <c r="AI171">
        <v>0</v>
      </c>
      <c r="AJ171">
        <v>18456</v>
      </c>
      <c r="AK171">
        <v>504</v>
      </c>
    </row>
    <row r="172" spans="1:37" x14ac:dyDescent="0.3">
      <c r="A172" s="221">
        <v>171</v>
      </c>
      <c r="B172" s="188">
        <v>50.2</v>
      </c>
      <c r="C172" s="188"/>
      <c r="D172" s="189" t="s">
        <v>83</v>
      </c>
      <c r="E172" s="200" t="s">
        <v>412</v>
      </c>
      <c r="F172" s="190" t="s">
        <v>413</v>
      </c>
      <c r="G172" s="190" t="s">
        <v>48</v>
      </c>
      <c r="H172" s="190"/>
      <c r="I172" s="214"/>
      <c r="J172" s="214"/>
      <c r="K172" s="2" t="s">
        <v>70</v>
      </c>
      <c r="L172" s="11" t="s">
        <v>40</v>
      </c>
      <c r="M172" s="12" t="s">
        <v>87</v>
      </c>
      <c r="N172" s="242"/>
      <c r="O172" s="116"/>
      <c r="P172" s="112">
        <f t="shared" si="18"/>
        <v>12</v>
      </c>
      <c r="Q172" s="109">
        <f t="shared" si="19"/>
        <v>6.5</v>
      </c>
      <c r="R172" s="110">
        <f t="shared" si="17"/>
        <v>18.5</v>
      </c>
      <c r="S172">
        <v>148921</v>
      </c>
      <c r="T172">
        <v>0</v>
      </c>
      <c r="U172">
        <v>488</v>
      </c>
      <c r="V172">
        <v>408</v>
      </c>
      <c r="W172">
        <v>144934</v>
      </c>
      <c r="X172">
        <v>407</v>
      </c>
      <c r="Y172">
        <v>3</v>
      </c>
      <c r="Z172">
        <v>0</v>
      </c>
      <c r="AA172">
        <v>0</v>
      </c>
      <c r="AB172">
        <v>24</v>
      </c>
      <c r="AC172">
        <v>2</v>
      </c>
      <c r="AD172">
        <v>19</v>
      </c>
      <c r="AE172">
        <v>204</v>
      </c>
      <c r="AF172">
        <v>0</v>
      </c>
      <c r="AG172">
        <v>2</v>
      </c>
      <c r="AH172">
        <v>1</v>
      </c>
      <c r="AI172">
        <v>0</v>
      </c>
      <c r="AJ172">
        <v>2415</v>
      </c>
      <c r="AK172">
        <v>14</v>
      </c>
    </row>
    <row r="173" spans="1:37" x14ac:dyDescent="0.3">
      <c r="A173" s="221">
        <v>172</v>
      </c>
      <c r="B173" s="188">
        <v>50.3</v>
      </c>
      <c r="C173" s="188"/>
      <c r="D173" s="189" t="s">
        <v>83</v>
      </c>
      <c r="E173" s="200" t="s">
        <v>414</v>
      </c>
      <c r="F173" s="190" t="s">
        <v>415</v>
      </c>
      <c r="G173" s="190" t="s">
        <v>53</v>
      </c>
      <c r="H173" s="190"/>
      <c r="I173" s="214"/>
      <c r="J173" s="214"/>
      <c r="K173" s="2" t="s">
        <v>70</v>
      </c>
      <c r="L173" s="3" t="s">
        <v>41</v>
      </c>
      <c r="M173" s="12" t="s">
        <v>87</v>
      </c>
      <c r="N173" s="242"/>
      <c r="O173" s="116"/>
      <c r="P173" s="112">
        <f t="shared" si="18"/>
        <v>8</v>
      </c>
      <c r="Q173" s="109">
        <f t="shared" si="19"/>
        <v>5</v>
      </c>
      <c r="R173" s="110">
        <f t="shared" si="17"/>
        <v>13</v>
      </c>
      <c r="S173">
        <v>481486</v>
      </c>
      <c r="T173">
        <v>0</v>
      </c>
      <c r="U173">
        <v>21047</v>
      </c>
      <c r="V173">
        <v>6323</v>
      </c>
      <c r="W173">
        <v>262402</v>
      </c>
      <c r="X173">
        <v>1152</v>
      </c>
      <c r="Y173">
        <v>1</v>
      </c>
      <c r="Z173">
        <v>0</v>
      </c>
      <c r="AA173">
        <v>0</v>
      </c>
      <c r="AB173">
        <v>12580</v>
      </c>
      <c r="AC173">
        <v>3974</v>
      </c>
      <c r="AD173">
        <v>4785</v>
      </c>
      <c r="AE173">
        <v>1541</v>
      </c>
      <c r="AF173">
        <v>0</v>
      </c>
      <c r="AG173">
        <v>393</v>
      </c>
      <c r="AH173">
        <v>0</v>
      </c>
      <c r="AI173">
        <v>0</v>
      </c>
      <c r="AJ173">
        <v>163707</v>
      </c>
      <c r="AK173">
        <v>3581</v>
      </c>
    </row>
    <row r="174" spans="1:37" x14ac:dyDescent="0.3">
      <c r="A174" s="221">
        <v>173</v>
      </c>
      <c r="B174" s="188">
        <v>50.4</v>
      </c>
      <c r="C174" s="188"/>
      <c r="D174" s="189" t="s">
        <v>83</v>
      </c>
      <c r="E174" s="200" t="s">
        <v>416</v>
      </c>
      <c r="F174" s="190" t="s">
        <v>417</v>
      </c>
      <c r="G174" s="190" t="s">
        <v>53</v>
      </c>
      <c r="H174" s="190"/>
      <c r="I174" s="214"/>
      <c r="J174" s="214"/>
      <c r="K174" s="2" t="s">
        <v>70</v>
      </c>
      <c r="L174" s="3" t="s">
        <v>41</v>
      </c>
      <c r="M174" s="12" t="s">
        <v>87</v>
      </c>
      <c r="N174" s="242"/>
      <c r="O174" s="116"/>
      <c r="P174" s="112">
        <f t="shared" si="18"/>
        <v>8</v>
      </c>
      <c r="Q174" s="109">
        <f t="shared" si="19"/>
        <v>5</v>
      </c>
      <c r="R174" s="110">
        <f t="shared" si="17"/>
        <v>13</v>
      </c>
      <c r="S174">
        <v>91198</v>
      </c>
      <c r="T174">
        <v>0</v>
      </c>
      <c r="U174">
        <v>3611</v>
      </c>
      <c r="V174">
        <v>682</v>
      </c>
      <c r="W174">
        <v>33624</v>
      </c>
      <c r="X174">
        <v>825</v>
      </c>
      <c r="Y174">
        <v>2</v>
      </c>
      <c r="Z174">
        <v>0</v>
      </c>
      <c r="AA174">
        <v>0</v>
      </c>
      <c r="AB174">
        <v>973</v>
      </c>
      <c r="AC174">
        <v>342</v>
      </c>
      <c r="AD174">
        <v>397</v>
      </c>
      <c r="AE174">
        <v>496</v>
      </c>
      <c r="AF174">
        <v>0</v>
      </c>
      <c r="AG174">
        <v>1636</v>
      </c>
      <c r="AH174">
        <v>1</v>
      </c>
      <c r="AI174">
        <v>0</v>
      </c>
      <c r="AJ174">
        <v>48281</v>
      </c>
      <c r="AK174">
        <v>328</v>
      </c>
    </row>
    <row r="175" spans="1:37" x14ac:dyDescent="0.3">
      <c r="A175" s="221">
        <v>174</v>
      </c>
      <c r="B175" s="188">
        <v>50.5</v>
      </c>
      <c r="C175" s="188"/>
      <c r="D175" s="189" t="s">
        <v>83</v>
      </c>
      <c r="E175" s="200" t="s">
        <v>418</v>
      </c>
      <c r="F175" s="190" t="s">
        <v>419</v>
      </c>
      <c r="G175" s="190" t="s">
        <v>44</v>
      </c>
      <c r="H175" s="190"/>
      <c r="I175" s="214"/>
      <c r="J175" s="214"/>
      <c r="K175" s="2" t="s">
        <v>70</v>
      </c>
      <c r="L175" s="3" t="s">
        <v>41</v>
      </c>
      <c r="M175" s="12" t="s">
        <v>87</v>
      </c>
      <c r="N175" s="242"/>
      <c r="O175" s="116"/>
      <c r="P175" s="112">
        <f t="shared" si="18"/>
        <v>4</v>
      </c>
      <c r="Q175" s="109">
        <f t="shared" si="19"/>
        <v>1.5</v>
      </c>
      <c r="R175" s="110">
        <f t="shared" si="17"/>
        <v>5.5</v>
      </c>
      <c r="S175">
        <v>490158</v>
      </c>
      <c r="T175">
        <v>0</v>
      </c>
      <c r="U175">
        <v>3322</v>
      </c>
      <c r="V175">
        <v>2264</v>
      </c>
      <c r="W175">
        <v>414276</v>
      </c>
      <c r="X175">
        <v>4956</v>
      </c>
      <c r="Y175">
        <v>1</v>
      </c>
      <c r="Z175">
        <v>0</v>
      </c>
      <c r="AA175">
        <v>0</v>
      </c>
      <c r="AB175">
        <v>6836</v>
      </c>
      <c r="AC175">
        <v>616</v>
      </c>
      <c r="AD175">
        <v>661</v>
      </c>
      <c r="AE175">
        <v>1548</v>
      </c>
      <c r="AF175">
        <v>0</v>
      </c>
      <c r="AG175">
        <v>90</v>
      </c>
      <c r="AH175">
        <v>0</v>
      </c>
      <c r="AI175">
        <v>0</v>
      </c>
      <c r="AJ175">
        <v>55345</v>
      </c>
      <c r="AK175">
        <v>243</v>
      </c>
    </row>
    <row r="176" spans="1:37" x14ac:dyDescent="0.3">
      <c r="A176" s="221">
        <v>175</v>
      </c>
      <c r="B176" s="188">
        <v>50.6</v>
      </c>
      <c r="C176" s="188"/>
      <c r="D176" s="189" t="s">
        <v>83</v>
      </c>
      <c r="E176" s="200" t="s">
        <v>420</v>
      </c>
      <c r="F176" s="190" t="s">
        <v>421</v>
      </c>
      <c r="G176" s="190" t="s">
        <v>53</v>
      </c>
      <c r="H176" s="190"/>
      <c r="I176" s="214"/>
      <c r="J176" s="214"/>
      <c r="K176" s="2" t="s">
        <v>70</v>
      </c>
      <c r="L176" s="3" t="s">
        <v>41</v>
      </c>
      <c r="M176" s="12" t="s">
        <v>87</v>
      </c>
      <c r="N176" s="242"/>
      <c r="O176" s="116"/>
      <c r="P176" s="112">
        <f t="shared" si="18"/>
        <v>8</v>
      </c>
      <c r="Q176" s="109">
        <f t="shared" si="19"/>
        <v>5</v>
      </c>
      <c r="R176" s="110">
        <f t="shared" si="17"/>
        <v>13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</row>
    <row r="177" spans="1:37" x14ac:dyDescent="0.3">
      <c r="A177" s="221">
        <v>176</v>
      </c>
      <c r="B177" s="188">
        <v>53.1</v>
      </c>
      <c r="C177" s="188"/>
      <c r="D177" s="189" t="s">
        <v>83</v>
      </c>
      <c r="E177" s="200" t="s">
        <v>422</v>
      </c>
      <c r="F177" s="190"/>
      <c r="G177" s="213" t="s">
        <v>203</v>
      </c>
      <c r="H177" s="190"/>
      <c r="I177" s="214"/>
      <c r="J177" s="214"/>
      <c r="K177" s="2" t="s">
        <v>70</v>
      </c>
      <c r="L177" s="3" t="s">
        <v>41</v>
      </c>
      <c r="M177" s="3" t="s">
        <v>41</v>
      </c>
      <c r="N177" s="244"/>
      <c r="O177" s="116"/>
      <c r="P177" s="112">
        <f t="shared" si="18"/>
        <v>24</v>
      </c>
      <c r="Q177" s="109">
        <f t="shared" si="19"/>
        <v>11</v>
      </c>
      <c r="R177" s="110">
        <f t="shared" si="17"/>
        <v>35</v>
      </c>
    </row>
    <row r="178" spans="1:37" x14ac:dyDescent="0.3">
      <c r="A178" s="221">
        <v>177</v>
      </c>
      <c r="B178" s="156">
        <v>54</v>
      </c>
      <c r="C178" s="156"/>
      <c r="D178" s="157" t="s">
        <v>83</v>
      </c>
      <c r="E178" s="158" t="s">
        <v>423</v>
      </c>
      <c r="F178" s="158" t="s">
        <v>424</v>
      </c>
      <c r="G178" s="167" t="s">
        <v>203</v>
      </c>
      <c r="H178" s="158"/>
      <c r="I178" s="160"/>
      <c r="J178" s="109">
        <f>SUM(P178:P181)</f>
        <v>72</v>
      </c>
      <c r="K178" s="2" t="s">
        <v>70</v>
      </c>
      <c r="L178" s="11" t="s">
        <v>40</v>
      </c>
      <c r="M178" s="11" t="s">
        <v>40</v>
      </c>
      <c r="N178" s="236">
        <f>N170+21</f>
        <v>46958</v>
      </c>
      <c r="O178" s="116"/>
      <c r="P178" s="112">
        <f t="shared" si="18"/>
        <v>24</v>
      </c>
      <c r="Q178" s="109">
        <f t="shared" si="19"/>
        <v>11</v>
      </c>
      <c r="R178" s="110">
        <f t="shared" si="17"/>
        <v>35</v>
      </c>
      <c r="S178">
        <v>21233</v>
      </c>
      <c r="T178">
        <v>0</v>
      </c>
      <c r="U178">
        <v>209</v>
      </c>
      <c r="V178">
        <v>79</v>
      </c>
      <c r="W178">
        <v>20668</v>
      </c>
      <c r="X178">
        <v>148</v>
      </c>
      <c r="Y178">
        <v>15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45</v>
      </c>
      <c r="AF178">
        <v>0</v>
      </c>
      <c r="AG178">
        <v>0</v>
      </c>
      <c r="AH178">
        <v>1</v>
      </c>
      <c r="AI178">
        <v>0</v>
      </c>
      <c r="AJ178">
        <v>29</v>
      </c>
      <c r="AK178">
        <v>39</v>
      </c>
    </row>
    <row r="179" spans="1:37" x14ac:dyDescent="0.3">
      <c r="A179" s="221">
        <v>178</v>
      </c>
      <c r="B179" s="156">
        <v>54.2</v>
      </c>
      <c r="C179" s="156"/>
      <c r="D179" s="157" t="s">
        <v>83</v>
      </c>
      <c r="E179" s="31" t="s">
        <v>425</v>
      </c>
      <c r="F179" s="48" t="s">
        <v>426</v>
      </c>
      <c r="G179" s="170" t="s">
        <v>203</v>
      </c>
      <c r="H179" s="39"/>
      <c r="I179" s="95"/>
      <c r="J179" s="95"/>
      <c r="K179" s="2" t="s">
        <v>70</v>
      </c>
      <c r="L179" s="11" t="s">
        <v>40</v>
      </c>
      <c r="M179" s="11" t="s">
        <v>40</v>
      </c>
      <c r="N179" s="236"/>
      <c r="O179" s="116"/>
      <c r="P179" s="112">
        <f t="shared" si="18"/>
        <v>24</v>
      </c>
      <c r="Q179" s="109">
        <f t="shared" si="19"/>
        <v>11</v>
      </c>
      <c r="R179" s="110">
        <f t="shared" si="17"/>
        <v>35</v>
      </c>
      <c r="S179">
        <v>940</v>
      </c>
      <c r="T179">
        <v>0</v>
      </c>
      <c r="U179">
        <v>0</v>
      </c>
      <c r="V179">
        <v>0</v>
      </c>
      <c r="W179">
        <v>940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</row>
    <row r="180" spans="1:37" x14ac:dyDescent="0.3">
      <c r="A180" s="221">
        <v>179</v>
      </c>
      <c r="B180" s="156">
        <v>54.1</v>
      </c>
      <c r="C180" s="156"/>
      <c r="D180" s="157" t="s">
        <v>83</v>
      </c>
      <c r="E180" s="31" t="s">
        <v>427</v>
      </c>
      <c r="F180" s="48" t="s">
        <v>428</v>
      </c>
      <c r="G180" s="39" t="s">
        <v>48</v>
      </c>
      <c r="H180" s="39"/>
      <c r="I180" s="95"/>
      <c r="J180" s="95"/>
      <c r="K180" s="2" t="s">
        <v>70</v>
      </c>
      <c r="L180" s="11" t="s">
        <v>40</v>
      </c>
      <c r="M180" s="11" t="s">
        <v>40</v>
      </c>
      <c r="N180" s="236"/>
      <c r="O180" s="116"/>
      <c r="P180" s="112">
        <f t="shared" si="18"/>
        <v>12</v>
      </c>
      <c r="Q180" s="109">
        <f t="shared" si="19"/>
        <v>6.5</v>
      </c>
      <c r="R180" s="110">
        <f t="shared" si="17"/>
        <v>18.5</v>
      </c>
      <c r="S180">
        <v>91537</v>
      </c>
      <c r="T180">
        <v>0</v>
      </c>
      <c r="U180">
        <v>0</v>
      </c>
      <c r="V180">
        <v>0</v>
      </c>
      <c r="W180">
        <v>91093</v>
      </c>
      <c r="X180">
        <v>278</v>
      </c>
      <c r="Y180">
        <v>6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29</v>
      </c>
      <c r="AF180">
        <v>0</v>
      </c>
      <c r="AG180">
        <v>0</v>
      </c>
      <c r="AH180">
        <v>0</v>
      </c>
      <c r="AI180">
        <v>0</v>
      </c>
      <c r="AJ180">
        <v>131</v>
      </c>
      <c r="AK180">
        <v>0</v>
      </c>
    </row>
    <row r="181" spans="1:37" x14ac:dyDescent="0.3">
      <c r="A181" s="221">
        <v>180</v>
      </c>
      <c r="B181" s="156">
        <v>130.1</v>
      </c>
      <c r="C181" s="156"/>
      <c r="D181" s="157" t="s">
        <v>58</v>
      </c>
      <c r="E181" s="174" t="s">
        <v>429</v>
      </c>
      <c r="F181" s="13" t="s">
        <v>430</v>
      </c>
      <c r="G181" s="47" t="s">
        <v>48</v>
      </c>
      <c r="H181" s="47"/>
      <c r="I181" s="166" t="s">
        <v>55</v>
      </c>
      <c r="J181" s="166"/>
      <c r="K181" s="111"/>
      <c r="L181" s="111"/>
      <c r="M181" s="111"/>
      <c r="N181" s="238"/>
      <c r="O181" s="116"/>
      <c r="P181" s="112">
        <f t="shared" si="18"/>
        <v>12</v>
      </c>
      <c r="Q181" s="109">
        <f t="shared" si="19"/>
        <v>6.5</v>
      </c>
      <c r="R181" s="110">
        <f t="shared" si="17"/>
        <v>18.5</v>
      </c>
      <c r="S181">
        <v>7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7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</row>
    <row r="182" spans="1:37" x14ac:dyDescent="0.3">
      <c r="A182" s="221">
        <v>181</v>
      </c>
      <c r="B182" s="188">
        <v>101</v>
      </c>
      <c r="C182" s="188"/>
      <c r="D182" s="189" t="s">
        <v>167</v>
      </c>
      <c r="E182" s="191" t="s">
        <v>431</v>
      </c>
      <c r="F182" s="191" t="s">
        <v>432</v>
      </c>
      <c r="G182" s="191" t="s">
        <v>86</v>
      </c>
      <c r="H182" s="191"/>
      <c r="I182" s="194"/>
      <c r="J182" s="195">
        <f>SUM(P182:P185)</f>
        <v>52</v>
      </c>
      <c r="K182" s="2" t="s">
        <v>49</v>
      </c>
      <c r="L182" s="11" t="s">
        <v>40</v>
      </c>
      <c r="M182" s="11" t="s">
        <v>40</v>
      </c>
      <c r="N182" s="241">
        <f>N178+21</f>
        <v>46979</v>
      </c>
      <c r="O182" s="116"/>
      <c r="P182" s="112">
        <f t="shared" si="18"/>
        <v>18</v>
      </c>
      <c r="Q182" s="109">
        <f t="shared" si="19"/>
        <v>8</v>
      </c>
      <c r="R182" s="110">
        <f t="shared" si="17"/>
        <v>26</v>
      </c>
      <c r="S182">
        <v>817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508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309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</row>
    <row r="183" spans="1:37" x14ac:dyDescent="0.3">
      <c r="A183" s="221">
        <v>182</v>
      </c>
      <c r="B183" s="188">
        <v>121</v>
      </c>
      <c r="C183" s="188"/>
      <c r="D183" s="206" t="s">
        <v>433</v>
      </c>
      <c r="E183" s="216" t="s">
        <v>434</v>
      </c>
      <c r="F183" s="217" t="s">
        <v>432</v>
      </c>
      <c r="G183" s="216" t="s">
        <v>86</v>
      </c>
      <c r="H183" s="216"/>
      <c r="I183" s="218" t="s">
        <v>55</v>
      </c>
      <c r="J183" s="218"/>
      <c r="K183" s="111"/>
      <c r="L183" s="111"/>
      <c r="M183" s="111"/>
      <c r="N183" s="243"/>
      <c r="O183" s="116"/>
      <c r="P183" s="112">
        <f t="shared" si="18"/>
        <v>18</v>
      </c>
      <c r="Q183" s="109">
        <f t="shared" si="19"/>
        <v>8</v>
      </c>
      <c r="R183" s="110">
        <f t="shared" si="17"/>
        <v>26</v>
      </c>
      <c r="S183">
        <v>817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508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309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</row>
    <row r="184" spans="1:37" x14ac:dyDescent="0.3">
      <c r="A184" s="221">
        <v>183</v>
      </c>
      <c r="B184" s="188">
        <v>5</v>
      </c>
      <c r="C184" s="188"/>
      <c r="D184" s="189" t="s">
        <v>50</v>
      </c>
      <c r="E184" s="216" t="s">
        <v>435</v>
      </c>
      <c r="F184" s="216" t="s">
        <v>436</v>
      </c>
      <c r="G184" s="219" t="s">
        <v>53</v>
      </c>
      <c r="H184" s="219"/>
      <c r="I184" s="218" t="s">
        <v>55</v>
      </c>
      <c r="J184" s="218"/>
      <c r="K184" s="111"/>
      <c r="L184" s="111"/>
      <c r="M184" s="111"/>
      <c r="N184" s="243"/>
      <c r="O184" s="116"/>
      <c r="P184" s="112">
        <f t="shared" si="18"/>
        <v>8</v>
      </c>
      <c r="Q184" s="109">
        <f t="shared" si="19"/>
        <v>5</v>
      </c>
      <c r="R184" s="110">
        <f t="shared" si="17"/>
        <v>13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</row>
    <row r="185" spans="1:37" x14ac:dyDescent="0.3">
      <c r="A185" s="221">
        <v>184</v>
      </c>
      <c r="B185" s="188">
        <v>7</v>
      </c>
      <c r="C185" s="188"/>
      <c r="D185" s="189" t="s">
        <v>50</v>
      </c>
      <c r="E185" s="216" t="s">
        <v>437</v>
      </c>
      <c r="F185" s="216" t="s">
        <v>438</v>
      </c>
      <c r="G185" s="216" t="s">
        <v>53</v>
      </c>
      <c r="H185" s="216"/>
      <c r="I185" s="218" t="s">
        <v>55</v>
      </c>
      <c r="J185" s="218"/>
      <c r="K185" s="111"/>
      <c r="L185" s="111"/>
      <c r="M185" s="111"/>
      <c r="N185" s="243"/>
      <c r="O185" s="116"/>
      <c r="P185" s="112">
        <f t="shared" si="18"/>
        <v>8</v>
      </c>
      <c r="Q185" s="109">
        <f t="shared" si="19"/>
        <v>5</v>
      </c>
      <c r="R185" s="110">
        <f t="shared" si="17"/>
        <v>13</v>
      </c>
      <c r="S185">
        <v>37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37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</row>
    <row r="186" spans="1:37" x14ac:dyDescent="0.3">
      <c r="A186" s="221">
        <v>185</v>
      </c>
      <c r="B186" s="156">
        <v>118</v>
      </c>
      <c r="C186" s="156"/>
      <c r="D186" s="171" t="s">
        <v>433</v>
      </c>
      <c r="E186" s="165" t="s">
        <v>439</v>
      </c>
      <c r="F186" s="175" t="s">
        <v>440</v>
      </c>
      <c r="G186" s="165" t="s">
        <v>48</v>
      </c>
      <c r="H186" s="165"/>
      <c r="I186" s="166" t="s">
        <v>55</v>
      </c>
      <c r="J186" s="179">
        <f>SUM(P186:P190)</f>
        <v>48</v>
      </c>
      <c r="K186" s="111"/>
      <c r="L186" s="111"/>
      <c r="M186" s="111"/>
      <c r="N186" s="238">
        <f>N182+21</f>
        <v>47000</v>
      </c>
      <c r="O186" s="116"/>
      <c r="P186" s="112">
        <f t="shared" si="18"/>
        <v>12</v>
      </c>
      <c r="Q186" s="109">
        <f t="shared" si="19"/>
        <v>6.5</v>
      </c>
      <c r="R186" s="110">
        <f t="shared" si="17"/>
        <v>18.5</v>
      </c>
      <c r="S186">
        <v>8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8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</row>
    <row r="187" spans="1:37" x14ac:dyDescent="0.3">
      <c r="A187" s="221">
        <v>186</v>
      </c>
      <c r="B187" s="156">
        <v>119</v>
      </c>
      <c r="C187" s="156"/>
      <c r="D187" s="171" t="s">
        <v>433</v>
      </c>
      <c r="E187" s="165" t="s">
        <v>441</v>
      </c>
      <c r="F187" s="175" t="s">
        <v>442</v>
      </c>
      <c r="G187" s="165" t="s">
        <v>48</v>
      </c>
      <c r="H187" s="165"/>
      <c r="I187" s="166" t="s">
        <v>55</v>
      </c>
      <c r="J187" s="180"/>
      <c r="K187" s="111"/>
      <c r="L187" s="111"/>
      <c r="M187" s="111"/>
      <c r="N187" s="238"/>
      <c r="O187" s="116"/>
      <c r="P187" s="112">
        <f t="shared" si="18"/>
        <v>12</v>
      </c>
      <c r="Q187" s="109">
        <f t="shared" si="19"/>
        <v>6.5</v>
      </c>
      <c r="R187" s="110">
        <f t="shared" si="17"/>
        <v>18.5</v>
      </c>
      <c r="S187">
        <v>41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41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</row>
    <row r="188" spans="1:37" x14ac:dyDescent="0.3">
      <c r="A188" s="221">
        <v>187</v>
      </c>
      <c r="B188" s="156">
        <v>119.1</v>
      </c>
      <c r="C188" s="156"/>
      <c r="D188" s="171" t="s">
        <v>433</v>
      </c>
      <c r="E188" s="20" t="s">
        <v>443</v>
      </c>
      <c r="F188" s="13" t="s">
        <v>444</v>
      </c>
      <c r="G188" s="47" t="s">
        <v>44</v>
      </c>
      <c r="H188" s="47"/>
      <c r="I188" s="166" t="s">
        <v>55</v>
      </c>
      <c r="J188" s="180"/>
      <c r="K188" s="111"/>
      <c r="L188" s="111"/>
      <c r="M188" s="111"/>
      <c r="N188" s="238"/>
      <c r="O188" s="116"/>
      <c r="P188" s="112">
        <f t="shared" si="18"/>
        <v>4</v>
      </c>
      <c r="Q188" s="109">
        <f t="shared" si="19"/>
        <v>1.5</v>
      </c>
      <c r="R188" s="110">
        <f t="shared" si="17"/>
        <v>5.5</v>
      </c>
      <c r="S188">
        <v>6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6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</row>
    <row r="189" spans="1:37" x14ac:dyDescent="0.3">
      <c r="A189" s="221">
        <v>188</v>
      </c>
      <c r="B189" s="156">
        <v>120</v>
      </c>
      <c r="C189" s="156"/>
      <c r="D189" s="171" t="s">
        <v>433</v>
      </c>
      <c r="E189" s="165" t="s">
        <v>445</v>
      </c>
      <c r="F189" s="175" t="s">
        <v>446</v>
      </c>
      <c r="G189" s="165" t="s">
        <v>48</v>
      </c>
      <c r="H189" s="165"/>
      <c r="I189" s="166" t="s">
        <v>55</v>
      </c>
      <c r="J189" s="180"/>
      <c r="K189" s="111"/>
      <c r="L189" s="111"/>
      <c r="M189" s="111"/>
      <c r="N189" s="238"/>
      <c r="O189" s="116"/>
      <c r="P189" s="112">
        <f t="shared" si="18"/>
        <v>12</v>
      </c>
      <c r="Q189" s="109">
        <f t="shared" si="19"/>
        <v>6.5</v>
      </c>
      <c r="R189" s="110">
        <f t="shared" si="17"/>
        <v>18.5</v>
      </c>
      <c r="S189">
        <v>5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5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</row>
    <row r="190" spans="1:37" x14ac:dyDescent="0.3">
      <c r="A190" s="221">
        <v>189</v>
      </c>
      <c r="B190" s="156">
        <v>127</v>
      </c>
      <c r="C190" s="156"/>
      <c r="D190" s="157" t="s">
        <v>58</v>
      </c>
      <c r="E190" s="165" t="s">
        <v>447</v>
      </c>
      <c r="F190" s="165" t="s">
        <v>448</v>
      </c>
      <c r="G190" s="165" t="s">
        <v>53</v>
      </c>
      <c r="H190" s="165"/>
      <c r="I190" s="172" t="s">
        <v>55</v>
      </c>
      <c r="J190" s="181"/>
      <c r="K190" s="111"/>
      <c r="L190" s="111"/>
      <c r="M190" s="111"/>
      <c r="N190" s="238"/>
      <c r="O190" s="116"/>
      <c r="P190" s="112">
        <f t="shared" si="18"/>
        <v>8</v>
      </c>
      <c r="Q190" s="109">
        <f t="shared" si="19"/>
        <v>5</v>
      </c>
      <c r="R190" s="110">
        <f t="shared" si="17"/>
        <v>13</v>
      </c>
      <c r="S190">
        <v>222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222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</row>
    <row r="191" spans="1:37" x14ac:dyDescent="0.3">
      <c r="A191" s="221">
        <v>190</v>
      </c>
      <c r="B191" s="188">
        <v>140</v>
      </c>
      <c r="C191" s="188"/>
      <c r="D191" s="189" t="s">
        <v>58</v>
      </c>
      <c r="E191" s="216" t="s">
        <v>449</v>
      </c>
      <c r="F191" s="216" t="s">
        <v>450</v>
      </c>
      <c r="G191" s="216" t="s">
        <v>53</v>
      </c>
      <c r="H191" s="216"/>
      <c r="I191" s="218" t="s">
        <v>55</v>
      </c>
      <c r="J191" s="220">
        <f>SUM(P191:P194)</f>
        <v>46</v>
      </c>
      <c r="K191" s="111"/>
      <c r="L191" s="111"/>
      <c r="M191" s="111"/>
      <c r="N191" s="243">
        <f>N186+21</f>
        <v>47021</v>
      </c>
      <c r="O191" s="116"/>
      <c r="P191" s="112">
        <f t="shared" si="18"/>
        <v>8</v>
      </c>
      <c r="Q191" s="109">
        <f t="shared" si="19"/>
        <v>5</v>
      </c>
      <c r="R191" s="110">
        <f t="shared" si="17"/>
        <v>13</v>
      </c>
      <c r="S191">
        <v>6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5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1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</row>
    <row r="192" spans="1:37" x14ac:dyDescent="0.3">
      <c r="A192" s="221">
        <v>191</v>
      </c>
      <c r="B192" s="188">
        <v>142</v>
      </c>
      <c r="C192" s="188"/>
      <c r="D192" s="189" t="s">
        <v>58</v>
      </c>
      <c r="E192" s="216" t="s">
        <v>451</v>
      </c>
      <c r="F192" s="216" t="s">
        <v>452</v>
      </c>
      <c r="G192" s="216" t="s">
        <v>53</v>
      </c>
      <c r="H192" s="216"/>
      <c r="I192" s="218" t="s">
        <v>55</v>
      </c>
      <c r="J192" s="218"/>
      <c r="K192" s="111"/>
      <c r="L192" s="111"/>
      <c r="M192" s="111"/>
      <c r="N192" s="243"/>
      <c r="O192" s="116"/>
      <c r="P192" s="112">
        <f t="shared" si="18"/>
        <v>8</v>
      </c>
      <c r="Q192" s="109">
        <f t="shared" si="19"/>
        <v>5</v>
      </c>
      <c r="R192" s="110">
        <f t="shared" si="17"/>
        <v>13</v>
      </c>
      <c r="S192">
        <v>2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2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</row>
    <row r="193" spans="1:37" x14ac:dyDescent="0.3">
      <c r="A193" s="221">
        <v>192</v>
      </c>
      <c r="B193" s="188">
        <v>156</v>
      </c>
      <c r="C193" s="188"/>
      <c r="D193" s="189" t="s">
        <v>403</v>
      </c>
      <c r="E193" s="191" t="s">
        <v>453</v>
      </c>
      <c r="F193" s="194"/>
      <c r="G193" s="191" t="s">
        <v>86</v>
      </c>
      <c r="H193" s="191"/>
      <c r="I193" s="194"/>
      <c r="J193" s="194"/>
      <c r="K193" s="2" t="s">
        <v>49</v>
      </c>
      <c r="L193" s="3" t="s">
        <v>41</v>
      </c>
      <c r="M193" s="2" t="s">
        <v>87</v>
      </c>
      <c r="N193" s="244"/>
      <c r="O193" s="116"/>
      <c r="P193" s="112">
        <f t="shared" si="18"/>
        <v>18</v>
      </c>
      <c r="Q193" s="109">
        <f t="shared" si="19"/>
        <v>8</v>
      </c>
      <c r="R193" s="110">
        <f t="shared" si="17"/>
        <v>26</v>
      </c>
    </row>
    <row r="194" spans="1:37" x14ac:dyDescent="0.3">
      <c r="A194" s="221">
        <v>193</v>
      </c>
      <c r="B194" s="188">
        <v>157</v>
      </c>
      <c r="C194" s="188"/>
      <c r="D194" s="189" t="s">
        <v>403</v>
      </c>
      <c r="E194" s="191" t="s">
        <v>454</v>
      </c>
      <c r="F194" s="194"/>
      <c r="G194" s="191" t="s">
        <v>48</v>
      </c>
      <c r="H194" s="191"/>
      <c r="I194" s="194"/>
      <c r="J194" s="194"/>
      <c r="K194" s="2" t="s">
        <v>49</v>
      </c>
      <c r="L194" s="3" t="s">
        <v>41</v>
      </c>
      <c r="M194" s="2" t="s">
        <v>87</v>
      </c>
      <c r="N194" s="244"/>
      <c r="O194" s="116"/>
      <c r="P194" s="112">
        <f t="shared" si="18"/>
        <v>12</v>
      </c>
      <c r="Q194" s="109">
        <f t="shared" si="19"/>
        <v>6.5</v>
      </c>
      <c r="R194" s="110">
        <f t="shared" ref="R194:R225" si="20">IFERROR(P194+Q194,"")</f>
        <v>18.5</v>
      </c>
    </row>
    <row r="195" spans="1:37" x14ac:dyDescent="0.3">
      <c r="A195" s="221">
        <v>194</v>
      </c>
      <c r="B195" s="118">
        <v>1</v>
      </c>
      <c r="C195" s="118"/>
      <c r="D195" s="119" t="s">
        <v>50</v>
      </c>
      <c r="E195" s="129" t="s">
        <v>51</v>
      </c>
      <c r="F195" s="129" t="s">
        <v>52</v>
      </c>
      <c r="G195" s="129" t="s">
        <v>53</v>
      </c>
      <c r="H195" s="129" t="s">
        <v>54</v>
      </c>
      <c r="I195" s="130" t="s">
        <v>55</v>
      </c>
      <c r="J195" s="246">
        <f>SUM(P195:P199)</f>
        <v>40</v>
      </c>
      <c r="K195" s="111"/>
      <c r="L195" s="111"/>
      <c r="M195" s="111"/>
      <c r="N195" s="238">
        <f>N191+21</f>
        <v>47042</v>
      </c>
      <c r="O195" s="116"/>
      <c r="P195" s="112">
        <f t="shared" si="18"/>
        <v>8</v>
      </c>
      <c r="Q195" s="109">
        <f t="shared" si="19"/>
        <v>5</v>
      </c>
      <c r="R195" s="110">
        <f t="shared" si="20"/>
        <v>13</v>
      </c>
      <c r="S195">
        <v>41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41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</row>
    <row r="196" spans="1:37" x14ac:dyDescent="0.3">
      <c r="A196" s="221">
        <v>195</v>
      </c>
      <c r="B196" s="118">
        <v>124</v>
      </c>
      <c r="C196" s="118"/>
      <c r="D196" s="119" t="s">
        <v>58</v>
      </c>
      <c r="E196" s="129" t="s">
        <v>59</v>
      </c>
      <c r="F196" s="129" t="s">
        <v>60</v>
      </c>
      <c r="G196" s="129" t="s">
        <v>53</v>
      </c>
      <c r="H196" s="129" t="s">
        <v>54</v>
      </c>
      <c r="I196" s="130" t="s">
        <v>55</v>
      </c>
      <c r="J196" s="130"/>
      <c r="K196" s="111"/>
      <c r="L196" s="111"/>
      <c r="M196" s="111"/>
      <c r="N196" s="238"/>
      <c r="O196" s="116"/>
      <c r="P196" s="112">
        <f t="shared" si="18"/>
        <v>8</v>
      </c>
      <c r="Q196" s="109">
        <f t="shared" si="19"/>
        <v>5</v>
      </c>
      <c r="R196" s="110">
        <f t="shared" si="20"/>
        <v>13</v>
      </c>
      <c r="S196">
        <v>25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25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</row>
    <row r="197" spans="1:37" x14ac:dyDescent="0.3">
      <c r="A197" s="221">
        <v>196</v>
      </c>
      <c r="B197" s="118">
        <v>131</v>
      </c>
      <c r="C197" s="118"/>
      <c r="D197" s="119" t="s">
        <v>58</v>
      </c>
      <c r="E197" s="129" t="s">
        <v>61</v>
      </c>
      <c r="F197" s="129" t="s">
        <v>62</v>
      </c>
      <c r="G197" s="129" t="s">
        <v>53</v>
      </c>
      <c r="H197" s="129" t="s">
        <v>54</v>
      </c>
      <c r="I197" s="130" t="s">
        <v>55</v>
      </c>
      <c r="J197" s="130"/>
      <c r="K197" s="111"/>
      <c r="L197" s="111"/>
      <c r="M197" s="111"/>
      <c r="N197" s="238"/>
      <c r="O197" s="116"/>
      <c r="P197" s="112">
        <f t="shared" si="18"/>
        <v>8</v>
      </c>
      <c r="Q197" s="109">
        <f t="shared" si="19"/>
        <v>5</v>
      </c>
      <c r="R197" s="110">
        <f t="shared" si="20"/>
        <v>13</v>
      </c>
      <c r="S197">
        <v>26</v>
      </c>
      <c r="T197">
        <v>0</v>
      </c>
      <c r="U197">
        <v>0</v>
      </c>
      <c r="V197">
        <v>0</v>
      </c>
      <c r="W197">
        <v>6</v>
      </c>
      <c r="X197">
        <v>1</v>
      </c>
      <c r="Y197">
        <v>17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2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</row>
    <row r="198" spans="1:37" x14ac:dyDescent="0.3">
      <c r="A198" s="221">
        <v>197</v>
      </c>
      <c r="B198" s="118">
        <v>147</v>
      </c>
      <c r="C198" s="118"/>
      <c r="D198" s="119" t="s">
        <v>58</v>
      </c>
      <c r="E198" s="129" t="s">
        <v>63</v>
      </c>
      <c r="F198" s="129" t="s">
        <v>64</v>
      </c>
      <c r="G198" s="129" t="s">
        <v>48</v>
      </c>
      <c r="H198" s="129" t="s">
        <v>54</v>
      </c>
      <c r="I198" s="130" t="s">
        <v>55</v>
      </c>
      <c r="J198" s="130"/>
      <c r="K198" s="111"/>
      <c r="L198" s="111"/>
      <c r="M198" s="111"/>
      <c r="N198" s="238"/>
      <c r="O198" s="116"/>
      <c r="P198" s="112">
        <f t="shared" si="18"/>
        <v>12</v>
      </c>
      <c r="Q198" s="109">
        <f t="shared" si="19"/>
        <v>6.5</v>
      </c>
      <c r="R198" s="110">
        <f t="shared" si="20"/>
        <v>18.5</v>
      </c>
      <c r="S198">
        <v>169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166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3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</row>
    <row r="199" spans="1:37" x14ac:dyDescent="0.3">
      <c r="A199" s="221">
        <v>198</v>
      </c>
      <c r="B199" s="118">
        <v>123</v>
      </c>
      <c r="C199" s="118"/>
      <c r="D199" s="119" t="s">
        <v>58</v>
      </c>
      <c r="E199" s="129" t="s">
        <v>65</v>
      </c>
      <c r="F199" s="129" t="s">
        <v>66</v>
      </c>
      <c r="G199" s="129" t="s">
        <v>44</v>
      </c>
      <c r="H199" s="129" t="s">
        <v>54</v>
      </c>
      <c r="I199" s="130" t="s">
        <v>55</v>
      </c>
      <c r="J199" s="130"/>
      <c r="K199" s="111"/>
      <c r="L199" s="111"/>
      <c r="M199" s="111"/>
      <c r="N199" s="238"/>
      <c r="O199" s="116"/>
      <c r="P199" s="112">
        <f t="shared" si="18"/>
        <v>4</v>
      </c>
      <c r="Q199" s="109">
        <f t="shared" si="19"/>
        <v>1.5</v>
      </c>
      <c r="R199" s="110">
        <f t="shared" si="20"/>
        <v>5.5</v>
      </c>
      <c r="S199">
        <v>33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33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</row>
    <row r="200" spans="1:37" x14ac:dyDescent="0.3">
      <c r="P200" s="114">
        <f>SUM(P2:P199)</f>
        <v>2039</v>
      </c>
      <c r="Q200" s="114">
        <f>SUM(Q2:Q199)</f>
        <v>1052.5</v>
      </c>
      <c r="R200" s="114">
        <f>SUM(R2:R199)</f>
        <v>3091.5</v>
      </c>
    </row>
  </sheetData>
  <autoFilter ref="A1:AK200" xr:uid="{6695D57E-235B-4341-8A87-E9305D52EDFD}">
    <sortState xmlns:xlrd2="http://schemas.microsoft.com/office/spreadsheetml/2017/richdata2" ref="A2:AK200">
      <sortCondition ref="A1:A200"/>
    </sortState>
  </autoFilter>
  <phoneticPr fontId="20" type="noConversion"/>
  <conditionalFormatting sqref="A2:A1048576">
    <cfRule type="duplicateValues" dxfId="170" priority="879"/>
  </conditionalFormatting>
  <conditionalFormatting sqref="E3">
    <cfRule type="duplicateValues" dxfId="169" priority="62"/>
  </conditionalFormatting>
  <conditionalFormatting sqref="E8">
    <cfRule type="duplicateValues" dxfId="168" priority="57"/>
  </conditionalFormatting>
  <conditionalFormatting sqref="E10">
    <cfRule type="duplicateValues" dxfId="167" priority="89"/>
  </conditionalFormatting>
  <conditionalFormatting sqref="E18">
    <cfRule type="duplicateValues" dxfId="166" priority="93"/>
  </conditionalFormatting>
  <conditionalFormatting sqref="E19:E20 E22:E23 E17">
    <cfRule type="duplicateValues" dxfId="165" priority="91"/>
  </conditionalFormatting>
  <conditionalFormatting sqref="E21">
    <cfRule type="duplicateValues" dxfId="164" priority="514"/>
  </conditionalFormatting>
  <conditionalFormatting sqref="E38">
    <cfRule type="duplicateValues" dxfId="163" priority="25"/>
  </conditionalFormatting>
  <conditionalFormatting sqref="E46">
    <cfRule type="duplicateValues" dxfId="162" priority="23"/>
  </conditionalFormatting>
  <conditionalFormatting sqref="E48:E49">
    <cfRule type="duplicateValues" dxfId="161" priority="37"/>
  </conditionalFormatting>
  <conditionalFormatting sqref="E61 E58">
    <cfRule type="duplicateValues" dxfId="160" priority="87"/>
  </conditionalFormatting>
  <conditionalFormatting sqref="E69:E70">
    <cfRule type="duplicateValues" dxfId="159" priority="45"/>
  </conditionalFormatting>
  <conditionalFormatting sqref="E74:E77">
    <cfRule type="duplicateValues" dxfId="158" priority="41"/>
  </conditionalFormatting>
  <conditionalFormatting sqref="E81:E82">
    <cfRule type="duplicateValues" dxfId="157" priority="35"/>
  </conditionalFormatting>
  <conditionalFormatting sqref="E87:E92">
    <cfRule type="duplicateValues" dxfId="156" priority="39"/>
  </conditionalFormatting>
  <conditionalFormatting sqref="E94">
    <cfRule type="duplicateValues" dxfId="155" priority="43"/>
  </conditionalFormatting>
  <conditionalFormatting sqref="E96">
    <cfRule type="duplicateValues" dxfId="154" priority="33"/>
  </conditionalFormatting>
  <conditionalFormatting sqref="E98:E99">
    <cfRule type="duplicateValues" dxfId="153" priority="31"/>
  </conditionalFormatting>
  <conditionalFormatting sqref="E106 E52">
    <cfRule type="duplicateValues" dxfId="152" priority="836"/>
  </conditionalFormatting>
  <conditionalFormatting sqref="E108:E109">
    <cfRule type="duplicateValues" dxfId="151" priority="17"/>
  </conditionalFormatting>
  <conditionalFormatting sqref="E112">
    <cfRule type="duplicateValues" dxfId="150" priority="29"/>
  </conditionalFormatting>
  <conditionalFormatting sqref="E114">
    <cfRule type="duplicateValues" dxfId="149" priority="16"/>
  </conditionalFormatting>
  <conditionalFormatting sqref="E116">
    <cfRule type="duplicateValues" dxfId="148" priority="19"/>
  </conditionalFormatting>
  <conditionalFormatting sqref="E122">
    <cfRule type="duplicateValues" dxfId="147" priority="14"/>
  </conditionalFormatting>
  <conditionalFormatting sqref="E137">
    <cfRule type="duplicateValues" dxfId="146" priority="27"/>
  </conditionalFormatting>
  <conditionalFormatting sqref="E153">
    <cfRule type="duplicateValues" dxfId="145" priority="15"/>
  </conditionalFormatting>
  <conditionalFormatting sqref="E163">
    <cfRule type="duplicateValues" dxfId="144" priority="12"/>
  </conditionalFormatting>
  <conditionalFormatting sqref="E171">
    <cfRule type="duplicateValues" dxfId="143" priority="50"/>
  </conditionalFormatting>
  <conditionalFormatting sqref="E172">
    <cfRule type="duplicateValues" dxfId="142" priority="591"/>
  </conditionalFormatting>
  <conditionalFormatting sqref="E173">
    <cfRule type="duplicateValues" dxfId="141" priority="4"/>
  </conditionalFormatting>
  <conditionalFormatting sqref="E177:E178 E180">
    <cfRule type="duplicateValues" dxfId="140" priority="74"/>
  </conditionalFormatting>
  <conditionalFormatting sqref="E179">
    <cfRule type="duplicateValues" dxfId="139" priority="10"/>
  </conditionalFormatting>
  <conditionalFormatting sqref="E181 E25 E183 E185:E186">
    <cfRule type="duplicateValues" dxfId="138" priority="72"/>
  </conditionalFormatting>
  <conditionalFormatting sqref="E184">
    <cfRule type="duplicateValues" dxfId="137" priority="59"/>
  </conditionalFormatting>
  <conditionalFormatting sqref="E187:E197">
    <cfRule type="duplicateValues" dxfId="136" priority="70"/>
  </conditionalFormatting>
  <conditionalFormatting sqref="E198:E199 E47 E71:E73 E2 E4:E7 E9 E11:E16 E62:E63 E93 E26:E37 E24 E182 E39:E44 E78:E80 E83:E86 E65:E67 E53:E57 E50:E51 E59:E60 E107 E100:E103 E110:E111 E113 E123:E136 E117:E121 E115 E174:E175 E164:E170 E138:E152 E154:E162">
    <cfRule type="duplicateValues" dxfId="135" priority="878"/>
  </conditionalFormatting>
  <conditionalFormatting sqref="F3">
    <cfRule type="duplicateValues" dxfId="134" priority="61"/>
  </conditionalFormatting>
  <conditionalFormatting sqref="F8">
    <cfRule type="duplicateValues" dxfId="133" priority="58"/>
  </conditionalFormatting>
  <conditionalFormatting sqref="F10">
    <cfRule type="duplicateValues" dxfId="132" priority="90"/>
  </conditionalFormatting>
  <conditionalFormatting sqref="F18">
    <cfRule type="duplicateValues" dxfId="131" priority="94"/>
  </conditionalFormatting>
  <conditionalFormatting sqref="F19:F20 F22:F23 F17">
    <cfRule type="duplicateValues" dxfId="130" priority="92"/>
  </conditionalFormatting>
  <conditionalFormatting sqref="F21">
    <cfRule type="duplicateValues" dxfId="129" priority="545"/>
  </conditionalFormatting>
  <conditionalFormatting sqref="F38">
    <cfRule type="duplicateValues" dxfId="128" priority="26"/>
  </conditionalFormatting>
  <conditionalFormatting sqref="F46">
    <cfRule type="duplicateValues" dxfId="127" priority="24"/>
  </conditionalFormatting>
  <conditionalFormatting sqref="F48:F49">
    <cfRule type="duplicateValues" dxfId="126" priority="38"/>
  </conditionalFormatting>
  <conditionalFormatting sqref="F61 F58">
    <cfRule type="duplicateValues" dxfId="125" priority="88"/>
  </conditionalFormatting>
  <conditionalFormatting sqref="F69:F70">
    <cfRule type="duplicateValues" dxfId="124" priority="46"/>
  </conditionalFormatting>
  <conditionalFormatting sqref="F74:F77">
    <cfRule type="duplicateValues" dxfId="123" priority="42"/>
  </conditionalFormatting>
  <conditionalFormatting sqref="F81:F82">
    <cfRule type="duplicateValues" dxfId="122" priority="36"/>
  </conditionalFormatting>
  <conditionalFormatting sqref="F87:F92">
    <cfRule type="duplicateValues" dxfId="121" priority="40"/>
  </conditionalFormatting>
  <conditionalFormatting sqref="F94">
    <cfRule type="duplicateValues" dxfId="120" priority="44"/>
  </conditionalFormatting>
  <conditionalFormatting sqref="F96">
    <cfRule type="duplicateValues" dxfId="119" priority="34"/>
  </conditionalFormatting>
  <conditionalFormatting sqref="F98:F99">
    <cfRule type="duplicateValues" dxfId="118" priority="32"/>
  </conditionalFormatting>
  <conditionalFormatting sqref="F106 F52">
    <cfRule type="duplicateValues" dxfId="117" priority="838"/>
  </conditionalFormatting>
  <conditionalFormatting sqref="F108:F109">
    <cfRule type="duplicateValues" dxfId="116" priority="18"/>
  </conditionalFormatting>
  <conditionalFormatting sqref="F112">
    <cfRule type="duplicateValues" dxfId="115" priority="30"/>
  </conditionalFormatting>
  <conditionalFormatting sqref="F116">
    <cfRule type="duplicateValues" dxfId="114" priority="20"/>
  </conditionalFormatting>
  <conditionalFormatting sqref="F137">
    <cfRule type="duplicateValues" dxfId="113" priority="28"/>
  </conditionalFormatting>
  <conditionalFormatting sqref="F163">
    <cfRule type="duplicateValues" dxfId="112" priority="13"/>
  </conditionalFormatting>
  <conditionalFormatting sqref="F171">
    <cfRule type="duplicateValues" dxfId="111" priority="51"/>
  </conditionalFormatting>
  <conditionalFormatting sqref="F172">
    <cfRule type="duplicateValues" dxfId="110" priority="592"/>
  </conditionalFormatting>
  <conditionalFormatting sqref="F173">
    <cfRule type="duplicateValues" dxfId="109" priority="5"/>
  </conditionalFormatting>
  <conditionalFormatting sqref="F176:F178 F180">
    <cfRule type="duplicateValues" dxfId="108" priority="75"/>
  </conditionalFormatting>
  <conditionalFormatting sqref="F179">
    <cfRule type="duplicateValues" dxfId="107" priority="11"/>
  </conditionalFormatting>
  <conditionalFormatting sqref="F181 F25 F183 F185:F186">
    <cfRule type="duplicateValues" dxfId="106" priority="73"/>
  </conditionalFormatting>
  <conditionalFormatting sqref="F184">
    <cfRule type="duplicateValues" dxfId="105" priority="60"/>
  </conditionalFormatting>
  <conditionalFormatting sqref="F189:F197">
    <cfRule type="duplicateValues" dxfId="104" priority="71"/>
  </conditionalFormatting>
  <conditionalFormatting sqref="F198:F199 F136 F47 F71:F73 F1:F2 F4:F7 F9 F11:F16 F63 F85:F86 F83 F78:F80 F93 F39:F44 F53:F57 F59:F60 F126 F100:F103 F50:F51 F65:F67 F26:F37 F24 F182 F131:F134 F174:F175 F164:F170 F143:F152 F158:F162">
    <cfRule type="duplicateValues" dxfId="103" priority="731"/>
  </conditionalFormatting>
  <conditionalFormatting sqref="K2:N188 K198:N199">
    <cfRule type="containsText" dxfId="102" priority="52" operator="containsText" text="R">
      <formula>NOT(ISERROR(SEARCH("R",K2)))</formula>
    </cfRule>
    <cfRule type="containsText" dxfId="101" priority="53" operator="containsText" text="C">
      <formula>NOT(ISERROR(SEARCH("C",K2)))</formula>
    </cfRule>
    <cfRule type="containsText" dxfId="100" priority="54" operator="containsText" text="I">
      <formula>NOT(ISERROR(SEARCH("I",K2)))</formula>
    </cfRule>
  </conditionalFormatting>
  <conditionalFormatting sqref="K187:N199">
    <cfRule type="containsText" dxfId="99" priority="63" operator="containsText" text="R">
      <formula>NOT(ISERROR(SEARCH("R",K187)))</formula>
    </cfRule>
    <cfRule type="containsText" dxfId="98" priority="64" operator="containsText" text="C">
      <formula>NOT(ISERROR(SEARCH("C",K187)))</formula>
    </cfRule>
    <cfRule type="containsText" dxfId="97" priority="65" operator="containsText" text="I">
      <formula>NOT(ISERROR(SEARCH("I",K187)))</formula>
    </cfRule>
  </conditionalFormatting>
  <conditionalFormatting sqref="O2 O9:O10">
    <cfRule type="containsText" dxfId="96" priority="76" operator="containsText" text="SIGN-OFF">
      <formula>NOT(ISERROR(SEARCH("SIGN-OFF",O2)))</formula>
    </cfRule>
    <cfRule type="containsText" dxfId="95" priority="77" operator="containsText" text="RETURNED TO CTS">
      <formula>NOT(ISERROR(SEARCH("RETURNED TO CTS",O2)))</formula>
    </cfRule>
    <cfRule type="containsText" dxfId="94" priority="78" operator="containsText" text="UAT">
      <formula>NOT(ISERROR(SEARCH("UAT",O2)))</formula>
    </cfRule>
    <cfRule type="containsText" dxfId="93" priority="79" operator="containsText" text="1-WEEK">
      <formula>NOT(ISERROR(SEARCH("1-WEEK",O2)))</formula>
    </cfRule>
    <cfRule type="containsText" dxfId="92" priority="80" operator="containsText" text="2-WEEK">
      <formula>NOT(ISERROR(SEARCH("2-WEEK",O2)))</formula>
    </cfRule>
    <cfRule type="containsText" dxfId="91" priority="81" operator="containsText" text="ON DECK">
      <formula>NOT(ISERROR(SEARCH("ON DECK",O2)))</formula>
    </cfRule>
    <cfRule type="containsText" dxfId="90" priority="82" operator="containsText" text="CTS IN DEV">
      <formula>NOT(ISERROR(SEARCH("CTS IN DEV",O2)))</formula>
    </cfRule>
    <cfRule type="containsText" dxfId="89" priority="83" operator="containsText" text="IN QA">
      <formula>NOT(ISERROR(SEARCH("IN QA",O2)))</formula>
    </cfRule>
    <cfRule type="containsText" dxfId="88" priority="84" operator="containsText" text="DISABLED">
      <formula>NOT(ISERROR(SEARCH("DISABLED",O2)))</formula>
    </cfRule>
    <cfRule type="containsText" dxfId="87" priority="85" operator="containsText" text="DEPLOYED">
      <formula>NOT(ISERROR(SEARCH("DEPLOYED",O2)))</formula>
    </cfRule>
  </conditionalFormatting>
  <conditionalFormatting sqref="S1:S1048576">
    <cfRule type="cellIs" dxfId="86" priority="9" operator="lessThan">
      <formula>20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738533-7A90-4EEF-9DF1-6DCA7F4CF99D}">
  <sheetPr>
    <tabColor rgb="FFFFC000"/>
  </sheetPr>
  <dimension ref="A1:C10"/>
  <sheetViews>
    <sheetView workbookViewId="0">
      <selection activeCell="E6" sqref="E6"/>
    </sheetView>
  </sheetViews>
  <sheetFormatPr defaultRowHeight="14.4" x14ac:dyDescent="0.3"/>
  <cols>
    <col min="1" max="1" width="16.6640625" customWidth="1"/>
    <col min="2" max="3" width="10.6640625" customWidth="1"/>
  </cols>
  <sheetData>
    <row r="1" spans="1:3" x14ac:dyDescent="0.3">
      <c r="A1" s="100" t="s">
        <v>455</v>
      </c>
      <c r="B1" s="100" t="s">
        <v>456</v>
      </c>
      <c r="C1" s="100" t="s">
        <v>457</v>
      </c>
    </row>
    <row r="2" spans="1:3" x14ac:dyDescent="0.3">
      <c r="A2" s="101" t="s">
        <v>44</v>
      </c>
      <c r="B2" s="102">
        <v>4</v>
      </c>
      <c r="C2" s="102">
        <v>1.5</v>
      </c>
    </row>
    <row r="3" spans="1:3" x14ac:dyDescent="0.3">
      <c r="A3" s="101" t="s">
        <v>53</v>
      </c>
      <c r="B3" s="102">
        <v>8</v>
      </c>
      <c r="C3" s="102">
        <v>5</v>
      </c>
    </row>
    <row r="4" spans="1:3" x14ac:dyDescent="0.3">
      <c r="A4" s="101" t="s">
        <v>48</v>
      </c>
      <c r="B4" s="102">
        <v>12</v>
      </c>
      <c r="C4" s="102">
        <v>6.5</v>
      </c>
    </row>
    <row r="5" spans="1:3" x14ac:dyDescent="0.3">
      <c r="A5" s="101" t="s">
        <v>86</v>
      </c>
      <c r="B5" s="102">
        <v>18</v>
      </c>
      <c r="C5" s="102">
        <v>8</v>
      </c>
    </row>
    <row r="6" spans="1:3" x14ac:dyDescent="0.3">
      <c r="A6" s="101" t="s">
        <v>38</v>
      </c>
      <c r="B6" s="102">
        <v>21</v>
      </c>
      <c r="C6" s="102">
        <v>10</v>
      </c>
    </row>
    <row r="7" spans="1:3" x14ac:dyDescent="0.3">
      <c r="A7" s="101" t="s">
        <v>203</v>
      </c>
      <c r="B7" s="102">
        <v>24</v>
      </c>
      <c r="C7" s="102">
        <v>11</v>
      </c>
    </row>
    <row r="9" spans="1:3" x14ac:dyDescent="0.3">
      <c r="A9" s="103" t="s">
        <v>458</v>
      </c>
    </row>
    <row r="10" spans="1:3" x14ac:dyDescent="0.3">
      <c r="A10" s="103" t="s">
        <v>459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C27911-941E-466F-9BB1-117DCF19D908}">
  <sheetPr>
    <tabColor rgb="FF00B050"/>
  </sheetPr>
  <dimension ref="A1:L200"/>
  <sheetViews>
    <sheetView showGridLines="0" workbookViewId="0">
      <pane ySplit="1" topLeftCell="A32" activePane="bottomLeft" state="frozen"/>
      <selection pane="bottomLeft" activeCell="D53" sqref="D53"/>
    </sheetView>
  </sheetViews>
  <sheetFormatPr defaultColWidth="9.109375" defaultRowHeight="14.4" x14ac:dyDescent="0.3"/>
  <cols>
    <col min="1" max="1" width="10" style="1" customWidth="1"/>
    <col min="2" max="2" width="6" style="1" bestFit="1" customWidth="1"/>
    <col min="3" max="3" width="28" style="1" bestFit="1" customWidth="1"/>
    <col min="4" max="4" width="46.5546875" style="1" bestFit="1" customWidth="1"/>
    <col min="5" max="5" width="37.44140625" style="1" customWidth="1"/>
    <col min="6" max="6" width="12.88671875" style="1" bestFit="1" customWidth="1"/>
    <col min="7" max="7" width="23.44140625" style="1" bestFit="1" customWidth="1"/>
    <col min="8" max="8" width="14.6640625" style="98" bestFit="1" customWidth="1"/>
    <col min="9" max="9" width="9.109375" style="1" customWidth="1"/>
    <col min="10" max="10" width="8.109375" style="1" bestFit="1" customWidth="1"/>
    <col min="11" max="11" width="9" style="1" bestFit="1" customWidth="1"/>
    <col min="12" max="12" width="55.6640625" style="71" customWidth="1"/>
    <col min="13" max="16384" width="9.109375" style="1"/>
  </cols>
  <sheetData>
    <row r="1" spans="1:12" ht="28.8" x14ac:dyDescent="0.3">
      <c r="A1" s="27" t="s">
        <v>460</v>
      </c>
      <c r="B1" s="27" t="s">
        <v>1</v>
      </c>
      <c r="C1" s="52" t="s">
        <v>2</v>
      </c>
      <c r="D1" s="52" t="s">
        <v>3</v>
      </c>
      <c r="E1" s="52" t="s">
        <v>4</v>
      </c>
      <c r="F1" s="52" t="s">
        <v>5</v>
      </c>
      <c r="G1" s="52" t="s">
        <v>6</v>
      </c>
      <c r="H1" s="27" t="s">
        <v>7</v>
      </c>
      <c r="I1" s="53" t="s">
        <v>9</v>
      </c>
      <c r="J1" s="54" t="s">
        <v>10</v>
      </c>
      <c r="K1" s="55" t="s">
        <v>11</v>
      </c>
      <c r="L1" s="64" t="s">
        <v>12</v>
      </c>
    </row>
    <row r="2" spans="1:12" x14ac:dyDescent="0.3">
      <c r="A2" s="247">
        <v>1</v>
      </c>
      <c r="B2" s="41">
        <v>25</v>
      </c>
      <c r="C2" s="7" t="s">
        <v>35</v>
      </c>
      <c r="D2" s="8" t="s">
        <v>36</v>
      </c>
      <c r="E2" s="8" t="s">
        <v>37</v>
      </c>
      <c r="F2" s="8" t="s">
        <v>38</v>
      </c>
      <c r="G2" s="8" t="s">
        <v>461</v>
      </c>
      <c r="H2" s="153"/>
      <c r="I2" s="12" t="s">
        <v>39</v>
      </c>
      <c r="J2" s="26" t="s">
        <v>40</v>
      </c>
      <c r="K2" s="57" t="s">
        <v>41</v>
      </c>
      <c r="L2" s="66"/>
    </row>
    <row r="3" spans="1:12" x14ac:dyDescent="0.3">
      <c r="A3" s="247"/>
      <c r="B3" s="41">
        <v>25.1</v>
      </c>
      <c r="C3" s="7" t="s">
        <v>35</v>
      </c>
      <c r="D3" s="28" t="s">
        <v>42</v>
      </c>
      <c r="E3" s="34" t="s">
        <v>43</v>
      </c>
      <c r="F3" s="8" t="s">
        <v>44</v>
      </c>
      <c r="G3" s="8" t="s">
        <v>461</v>
      </c>
      <c r="H3" s="153"/>
      <c r="I3" s="12" t="s">
        <v>39</v>
      </c>
      <c r="J3" s="11" t="s">
        <v>40</v>
      </c>
      <c r="K3" s="58" t="s">
        <v>40</v>
      </c>
      <c r="L3" s="67"/>
    </row>
    <row r="4" spans="1:12" x14ac:dyDescent="0.3">
      <c r="A4" s="247"/>
      <c r="B4" s="41">
        <v>90</v>
      </c>
      <c r="C4" s="7" t="s">
        <v>45</v>
      </c>
      <c r="D4" s="8" t="s">
        <v>46</v>
      </c>
      <c r="E4" s="8" t="s">
        <v>47</v>
      </c>
      <c r="F4" s="8" t="s">
        <v>48</v>
      </c>
      <c r="G4" s="8" t="s">
        <v>461</v>
      </c>
      <c r="H4" s="153"/>
      <c r="I4" s="2" t="s">
        <v>49</v>
      </c>
      <c r="J4" s="11" t="s">
        <v>40</v>
      </c>
      <c r="K4" s="58" t="s">
        <v>40</v>
      </c>
      <c r="L4" s="67"/>
    </row>
    <row r="5" spans="1:12" x14ac:dyDescent="0.3">
      <c r="A5" s="247"/>
      <c r="B5" s="41">
        <v>1</v>
      </c>
      <c r="C5" s="7" t="s">
        <v>50</v>
      </c>
      <c r="D5" s="10" t="s">
        <v>51</v>
      </c>
      <c r="E5" s="10" t="s">
        <v>52</v>
      </c>
      <c r="F5" s="10" t="s">
        <v>53</v>
      </c>
      <c r="G5" s="10" t="s">
        <v>54</v>
      </c>
      <c r="H5" s="88" t="s">
        <v>55</v>
      </c>
      <c r="I5" s="9"/>
      <c r="J5" s="9"/>
      <c r="K5" s="59"/>
      <c r="L5" s="67"/>
    </row>
    <row r="6" spans="1:12" x14ac:dyDescent="0.3">
      <c r="A6" s="247"/>
      <c r="B6" s="41">
        <v>2</v>
      </c>
      <c r="C6" s="7" t="s">
        <v>50</v>
      </c>
      <c r="D6" s="10" t="s">
        <v>56</v>
      </c>
      <c r="E6" s="10" t="s">
        <v>57</v>
      </c>
      <c r="F6" s="10" t="s">
        <v>44</v>
      </c>
      <c r="G6" s="10" t="s">
        <v>54</v>
      </c>
      <c r="H6" s="88" t="s">
        <v>55</v>
      </c>
      <c r="I6" s="9"/>
      <c r="J6" s="9"/>
      <c r="K6" s="59"/>
      <c r="L6" s="67"/>
    </row>
    <row r="7" spans="1:12" x14ac:dyDescent="0.3">
      <c r="A7" s="247"/>
      <c r="B7" s="41">
        <v>124</v>
      </c>
      <c r="C7" s="7" t="s">
        <v>58</v>
      </c>
      <c r="D7" s="10" t="s">
        <v>59</v>
      </c>
      <c r="E7" s="10" t="s">
        <v>60</v>
      </c>
      <c r="F7" s="10" t="s">
        <v>53</v>
      </c>
      <c r="G7" s="10" t="s">
        <v>54</v>
      </c>
      <c r="H7" s="88" t="s">
        <v>55</v>
      </c>
      <c r="I7" s="9"/>
      <c r="J7" s="9"/>
      <c r="K7" s="59"/>
      <c r="L7" s="67"/>
    </row>
    <row r="8" spans="1:12" x14ac:dyDescent="0.3">
      <c r="A8" s="247"/>
      <c r="B8" s="41">
        <v>131</v>
      </c>
      <c r="C8" s="7" t="s">
        <v>58</v>
      </c>
      <c r="D8" s="10" t="s">
        <v>61</v>
      </c>
      <c r="E8" s="10" t="s">
        <v>62</v>
      </c>
      <c r="F8" s="10" t="s">
        <v>53</v>
      </c>
      <c r="G8" s="10" t="s">
        <v>54</v>
      </c>
      <c r="H8" s="88" t="s">
        <v>55</v>
      </c>
      <c r="I8" s="9"/>
      <c r="J8" s="9"/>
      <c r="K8" s="59"/>
      <c r="L8" s="67"/>
    </row>
    <row r="9" spans="1:12" x14ac:dyDescent="0.3">
      <c r="A9" s="247"/>
      <c r="B9" s="41">
        <v>147</v>
      </c>
      <c r="C9" s="7" t="s">
        <v>58</v>
      </c>
      <c r="D9" s="10" t="s">
        <v>63</v>
      </c>
      <c r="E9" s="10" t="s">
        <v>64</v>
      </c>
      <c r="F9" s="10" t="s">
        <v>48</v>
      </c>
      <c r="G9" s="10" t="s">
        <v>54</v>
      </c>
      <c r="H9" s="88" t="s">
        <v>55</v>
      </c>
      <c r="I9" s="9"/>
      <c r="J9" s="9"/>
      <c r="K9" s="59"/>
      <c r="L9" s="67"/>
    </row>
    <row r="10" spans="1:12" x14ac:dyDescent="0.3">
      <c r="A10" s="247"/>
      <c r="B10" s="41">
        <v>123</v>
      </c>
      <c r="C10" s="7" t="s">
        <v>58</v>
      </c>
      <c r="D10" s="10" t="s">
        <v>65</v>
      </c>
      <c r="E10" s="10" t="s">
        <v>66</v>
      </c>
      <c r="F10" s="10" t="s">
        <v>44</v>
      </c>
      <c r="G10" s="10" t="s">
        <v>54</v>
      </c>
      <c r="H10" s="88" t="s">
        <v>55</v>
      </c>
      <c r="I10" s="9"/>
      <c r="J10" s="9"/>
      <c r="K10" s="59"/>
      <c r="L10" s="68"/>
    </row>
    <row r="11" spans="1:12" x14ac:dyDescent="0.3">
      <c r="A11" s="248">
        <v>2</v>
      </c>
      <c r="B11" s="38">
        <v>55</v>
      </c>
      <c r="C11" s="14" t="s">
        <v>67</v>
      </c>
      <c r="D11" s="4" t="s">
        <v>68</v>
      </c>
      <c r="E11" s="4" t="s">
        <v>69</v>
      </c>
      <c r="F11" s="4" t="s">
        <v>53</v>
      </c>
      <c r="G11" s="4" t="s">
        <v>462</v>
      </c>
      <c r="H11" s="154"/>
      <c r="I11" s="2" t="s">
        <v>70</v>
      </c>
      <c r="J11" s="11" t="s">
        <v>40</v>
      </c>
      <c r="K11" s="58" t="s">
        <v>40</v>
      </c>
      <c r="L11" s="69"/>
    </row>
    <row r="12" spans="1:12" x14ac:dyDescent="0.3">
      <c r="A12" s="248"/>
      <c r="B12" s="36">
        <v>55.1</v>
      </c>
      <c r="C12" s="14" t="s">
        <v>67</v>
      </c>
      <c r="D12" s="37" t="s">
        <v>71</v>
      </c>
      <c r="E12" s="4" t="s">
        <v>72</v>
      </c>
      <c r="F12" s="4" t="s">
        <v>44</v>
      </c>
      <c r="G12" s="4" t="s">
        <v>462</v>
      </c>
      <c r="H12" s="154"/>
      <c r="I12" s="2" t="s">
        <v>70</v>
      </c>
      <c r="J12" s="11" t="s">
        <v>40</v>
      </c>
      <c r="K12" s="58" t="s">
        <v>40</v>
      </c>
      <c r="L12" s="69"/>
    </row>
    <row r="13" spans="1:12" x14ac:dyDescent="0.3">
      <c r="A13" s="248"/>
      <c r="B13" s="38">
        <v>56</v>
      </c>
      <c r="C13" s="45" t="s">
        <v>67</v>
      </c>
      <c r="D13" s="56" t="s">
        <v>73</v>
      </c>
      <c r="E13" s="18" t="s">
        <v>74</v>
      </c>
      <c r="F13" s="18" t="s">
        <v>53</v>
      </c>
      <c r="G13" s="21" t="s">
        <v>463</v>
      </c>
      <c r="H13" s="99" t="s">
        <v>55</v>
      </c>
      <c r="I13" s="9"/>
      <c r="J13" s="9"/>
      <c r="K13" s="59"/>
      <c r="L13" s="69"/>
    </row>
    <row r="14" spans="1:12" x14ac:dyDescent="0.3">
      <c r="A14" s="248"/>
      <c r="B14" s="38">
        <v>56.1</v>
      </c>
      <c r="C14" s="45" t="s">
        <v>67</v>
      </c>
      <c r="D14" s="20" t="s">
        <v>75</v>
      </c>
      <c r="E14" s="13" t="s">
        <v>76</v>
      </c>
      <c r="F14" s="47" t="s">
        <v>53</v>
      </c>
      <c r="G14" s="21" t="s">
        <v>463</v>
      </c>
      <c r="H14" s="99" t="s">
        <v>55</v>
      </c>
      <c r="I14" s="9"/>
      <c r="J14" s="9"/>
      <c r="K14" s="59"/>
      <c r="L14" s="69"/>
    </row>
    <row r="15" spans="1:12" x14ac:dyDescent="0.3">
      <c r="A15" s="248"/>
      <c r="B15" s="38">
        <v>57</v>
      </c>
      <c r="C15" s="45" t="s">
        <v>67</v>
      </c>
      <c r="D15" s="56" t="s">
        <v>77</v>
      </c>
      <c r="E15" s="18" t="s">
        <v>78</v>
      </c>
      <c r="F15" s="18" t="s">
        <v>44</v>
      </c>
      <c r="G15" s="21" t="s">
        <v>463</v>
      </c>
      <c r="H15" s="99" t="s">
        <v>55</v>
      </c>
      <c r="I15" s="9"/>
      <c r="J15" s="9"/>
      <c r="K15" s="59"/>
      <c r="L15" s="69"/>
    </row>
    <row r="16" spans="1:12" x14ac:dyDescent="0.3">
      <c r="A16" s="248"/>
      <c r="B16" s="38">
        <v>57.1</v>
      </c>
      <c r="C16" s="45" t="s">
        <v>67</v>
      </c>
      <c r="D16" s="49" t="s">
        <v>79</v>
      </c>
      <c r="E16" s="18" t="s">
        <v>80</v>
      </c>
      <c r="F16" s="18"/>
      <c r="G16" s="21" t="s">
        <v>463</v>
      </c>
      <c r="H16" s="99" t="s">
        <v>55</v>
      </c>
      <c r="I16" s="9"/>
      <c r="J16" s="9"/>
      <c r="K16" s="59"/>
      <c r="L16" s="69"/>
    </row>
    <row r="17" spans="1:12" x14ac:dyDescent="0.3">
      <c r="A17" s="248"/>
      <c r="B17" s="38">
        <v>57.2</v>
      </c>
      <c r="C17" s="45" t="s">
        <v>67</v>
      </c>
      <c r="D17" s="82" t="s">
        <v>81</v>
      </c>
      <c r="E17" s="35" t="s">
        <v>82</v>
      </c>
      <c r="F17" s="35"/>
      <c r="G17" s="104" t="s">
        <v>463</v>
      </c>
      <c r="H17" s="99"/>
      <c r="I17" s="2" t="s">
        <v>70</v>
      </c>
      <c r="J17" s="11" t="s">
        <v>40</v>
      </c>
      <c r="K17" s="58" t="s">
        <v>40</v>
      </c>
      <c r="L17" s="70"/>
    </row>
    <row r="18" spans="1:12" x14ac:dyDescent="0.3">
      <c r="A18" s="252">
        <v>3</v>
      </c>
      <c r="B18" s="41">
        <v>53</v>
      </c>
      <c r="C18" s="7" t="s">
        <v>83</v>
      </c>
      <c r="D18" s="25" t="s">
        <v>84</v>
      </c>
      <c r="E18" s="25" t="s">
        <v>85</v>
      </c>
      <c r="F18" s="25" t="s">
        <v>86</v>
      </c>
      <c r="G18" s="25" t="s">
        <v>463</v>
      </c>
      <c r="H18" s="90"/>
      <c r="I18" s="75" t="s">
        <v>70</v>
      </c>
      <c r="J18" s="75" t="s">
        <v>41</v>
      </c>
      <c r="K18" s="79" t="s">
        <v>87</v>
      </c>
      <c r="L18" s="67"/>
    </row>
    <row r="19" spans="1:12" x14ac:dyDescent="0.3">
      <c r="A19" s="253"/>
      <c r="B19" s="41">
        <v>158</v>
      </c>
      <c r="C19" s="7" t="s">
        <v>403</v>
      </c>
      <c r="D19" s="6" t="s">
        <v>404</v>
      </c>
      <c r="E19" s="5" t="s">
        <v>405</v>
      </c>
      <c r="F19" s="5" t="s">
        <v>86</v>
      </c>
      <c r="G19" s="5"/>
      <c r="H19" s="91"/>
      <c r="I19" s="75" t="s">
        <v>49</v>
      </c>
      <c r="J19" s="75" t="s">
        <v>41</v>
      </c>
      <c r="K19" s="76" t="s">
        <v>87</v>
      </c>
      <c r="L19" s="67"/>
    </row>
    <row r="20" spans="1:12" x14ac:dyDescent="0.3">
      <c r="A20" s="254"/>
      <c r="B20" s="41">
        <v>159</v>
      </c>
      <c r="C20" s="7" t="s">
        <v>403</v>
      </c>
      <c r="D20" s="6" t="s">
        <v>406</v>
      </c>
      <c r="E20" s="5" t="s">
        <v>407</v>
      </c>
      <c r="F20" s="46" t="s">
        <v>48</v>
      </c>
      <c r="G20" s="46"/>
      <c r="H20" s="92"/>
      <c r="I20" s="75" t="s">
        <v>49</v>
      </c>
      <c r="J20" s="75" t="s">
        <v>41</v>
      </c>
      <c r="K20" s="76" t="s">
        <v>87</v>
      </c>
      <c r="L20" s="67"/>
    </row>
    <row r="21" spans="1:12" x14ac:dyDescent="0.3">
      <c r="A21" s="249">
        <v>4</v>
      </c>
      <c r="B21" s="38">
        <v>9</v>
      </c>
      <c r="C21" s="14" t="s">
        <v>90</v>
      </c>
      <c r="D21" s="4" t="s">
        <v>94</v>
      </c>
      <c r="E21" s="4" t="s">
        <v>95</v>
      </c>
      <c r="F21" s="81" t="s">
        <v>48</v>
      </c>
      <c r="G21" s="81" t="s">
        <v>106</v>
      </c>
      <c r="H21" s="93"/>
      <c r="I21" s="24" t="s">
        <v>39</v>
      </c>
      <c r="J21" s="3" t="s">
        <v>40</v>
      </c>
      <c r="K21" s="61" t="s">
        <v>40</v>
      </c>
      <c r="L21" s="65"/>
    </row>
    <row r="22" spans="1:12" x14ac:dyDescent="0.3">
      <c r="A22" s="250"/>
      <c r="B22" s="38">
        <v>9.1</v>
      </c>
      <c r="C22" s="14" t="s">
        <v>90</v>
      </c>
      <c r="D22" s="82" t="s">
        <v>96</v>
      </c>
      <c r="E22" s="32" t="s">
        <v>97</v>
      </c>
      <c r="F22" s="32" t="s">
        <v>98</v>
      </c>
      <c r="G22" s="81" t="s">
        <v>106</v>
      </c>
      <c r="H22" s="93"/>
      <c r="I22" s="24" t="s">
        <v>39</v>
      </c>
      <c r="J22" s="3" t="s">
        <v>40</v>
      </c>
      <c r="K22" s="61" t="s">
        <v>40</v>
      </c>
      <c r="L22" s="69"/>
    </row>
    <row r="23" spans="1:12" x14ac:dyDescent="0.3">
      <c r="A23" s="250"/>
      <c r="B23" s="38">
        <v>9.1999999999999993</v>
      </c>
      <c r="C23" s="14" t="s">
        <v>90</v>
      </c>
      <c r="D23" s="31" t="s">
        <v>99</v>
      </c>
      <c r="E23" s="48" t="s">
        <v>100</v>
      </c>
      <c r="F23" s="83" t="s">
        <v>53</v>
      </c>
      <c r="G23" s="81" t="s">
        <v>106</v>
      </c>
      <c r="H23" s="93"/>
      <c r="I23" s="24" t="s">
        <v>39</v>
      </c>
      <c r="J23" s="3" t="s">
        <v>40</v>
      </c>
      <c r="K23" s="61" t="s">
        <v>40</v>
      </c>
      <c r="L23" s="69"/>
    </row>
    <row r="24" spans="1:12" x14ac:dyDescent="0.3">
      <c r="A24" s="250"/>
      <c r="B24" s="38">
        <v>8</v>
      </c>
      <c r="C24" s="14" t="s">
        <v>90</v>
      </c>
      <c r="D24" s="4" t="s">
        <v>109</v>
      </c>
      <c r="E24" s="4" t="s">
        <v>110</v>
      </c>
      <c r="F24" s="81" t="s">
        <v>48</v>
      </c>
      <c r="G24" s="81" t="s">
        <v>106</v>
      </c>
      <c r="H24" s="93"/>
      <c r="I24" s="3" t="s">
        <v>70</v>
      </c>
      <c r="J24" s="3" t="s">
        <v>40</v>
      </c>
      <c r="K24" s="61" t="s">
        <v>40</v>
      </c>
      <c r="L24" s="69"/>
    </row>
    <row r="25" spans="1:12" x14ac:dyDescent="0.3">
      <c r="A25" s="251"/>
      <c r="B25" s="38">
        <v>8.1</v>
      </c>
      <c r="C25" s="14" t="s">
        <v>90</v>
      </c>
      <c r="D25" s="31" t="s">
        <v>111</v>
      </c>
      <c r="E25" s="48" t="s">
        <v>112</v>
      </c>
      <c r="F25" s="39" t="s">
        <v>48</v>
      </c>
      <c r="G25" s="81" t="s">
        <v>106</v>
      </c>
      <c r="H25" s="93"/>
      <c r="I25" s="3" t="s">
        <v>70</v>
      </c>
      <c r="J25" s="3" t="s">
        <v>40</v>
      </c>
      <c r="K25" s="61" t="s">
        <v>40</v>
      </c>
      <c r="L25" s="69"/>
    </row>
    <row r="26" spans="1:12" x14ac:dyDescent="0.3">
      <c r="A26" s="252">
        <v>5</v>
      </c>
      <c r="B26" s="41">
        <v>10</v>
      </c>
      <c r="C26" s="7" t="s">
        <v>90</v>
      </c>
      <c r="D26" s="8" t="s">
        <v>91</v>
      </c>
      <c r="E26" s="8" t="s">
        <v>92</v>
      </c>
      <c r="F26" s="8" t="s">
        <v>53</v>
      </c>
      <c r="G26" s="8" t="s">
        <v>93</v>
      </c>
      <c r="H26" s="153"/>
      <c r="I26" s="75" t="s">
        <v>70</v>
      </c>
      <c r="J26" s="75" t="s">
        <v>40</v>
      </c>
      <c r="K26" s="76" t="s">
        <v>40</v>
      </c>
      <c r="L26" s="66"/>
    </row>
    <row r="27" spans="1:12" x14ac:dyDescent="0.3">
      <c r="A27" s="253"/>
      <c r="B27" s="41">
        <v>11</v>
      </c>
      <c r="C27" s="7" t="s">
        <v>90</v>
      </c>
      <c r="D27" s="8" t="s">
        <v>464</v>
      </c>
      <c r="E27" s="8" t="s">
        <v>465</v>
      </c>
      <c r="F27" s="8" t="s">
        <v>48</v>
      </c>
      <c r="G27" s="8" t="s">
        <v>106</v>
      </c>
      <c r="H27" s="153"/>
      <c r="I27" s="75" t="s">
        <v>70</v>
      </c>
      <c r="J27" s="75" t="s">
        <v>40</v>
      </c>
      <c r="K27" s="76" t="s">
        <v>40</v>
      </c>
      <c r="L27" s="67"/>
    </row>
    <row r="28" spans="1:12" x14ac:dyDescent="0.3">
      <c r="A28" s="253"/>
      <c r="B28" s="41">
        <v>13</v>
      </c>
      <c r="C28" s="7" t="s">
        <v>90</v>
      </c>
      <c r="D28" s="8" t="s">
        <v>104</v>
      </c>
      <c r="E28" s="8" t="s">
        <v>105</v>
      </c>
      <c r="F28" s="51" t="s">
        <v>48</v>
      </c>
      <c r="G28" s="8" t="s">
        <v>106</v>
      </c>
      <c r="H28" s="153"/>
      <c r="I28" s="75" t="s">
        <v>70</v>
      </c>
      <c r="J28" s="75" t="s">
        <v>40</v>
      </c>
      <c r="K28" s="76" t="s">
        <v>40</v>
      </c>
      <c r="L28" s="67"/>
    </row>
    <row r="29" spans="1:12" x14ac:dyDescent="0.3">
      <c r="A29" s="254"/>
      <c r="B29" s="41">
        <v>14</v>
      </c>
      <c r="C29" s="7" t="s">
        <v>90</v>
      </c>
      <c r="D29" s="8" t="s">
        <v>107</v>
      </c>
      <c r="E29" s="8" t="s">
        <v>108</v>
      </c>
      <c r="F29" s="51" t="s">
        <v>53</v>
      </c>
      <c r="G29" s="8" t="s">
        <v>106</v>
      </c>
      <c r="H29" s="153"/>
      <c r="I29" s="75" t="s">
        <v>70</v>
      </c>
      <c r="J29" s="75" t="s">
        <v>40</v>
      </c>
      <c r="K29" s="76" t="s">
        <v>40</v>
      </c>
      <c r="L29" s="68"/>
    </row>
    <row r="30" spans="1:12" x14ac:dyDescent="0.3">
      <c r="A30" s="248">
        <v>6</v>
      </c>
      <c r="B30" s="38">
        <v>109</v>
      </c>
      <c r="C30" s="14" t="s">
        <v>113</v>
      </c>
      <c r="D30" s="4" t="s">
        <v>133</v>
      </c>
      <c r="E30" s="4" t="s">
        <v>134</v>
      </c>
      <c r="F30" s="4" t="s">
        <v>48</v>
      </c>
      <c r="G30" s="4"/>
      <c r="H30" s="154"/>
      <c r="I30" s="24" t="s">
        <v>39</v>
      </c>
      <c r="J30" s="3" t="s">
        <v>41</v>
      </c>
      <c r="K30" s="61" t="s">
        <v>41</v>
      </c>
      <c r="L30" s="69"/>
    </row>
    <row r="31" spans="1:12" x14ac:dyDescent="0.3">
      <c r="A31" s="248"/>
      <c r="B31" s="38">
        <v>109.1</v>
      </c>
      <c r="C31" s="14" t="s">
        <v>113</v>
      </c>
      <c r="D31" s="37" t="s">
        <v>135</v>
      </c>
      <c r="E31" s="4" t="s">
        <v>136</v>
      </c>
      <c r="F31" s="4" t="s">
        <v>44</v>
      </c>
      <c r="G31" s="4"/>
      <c r="H31" s="154"/>
      <c r="I31" s="24" t="s">
        <v>39</v>
      </c>
      <c r="J31" s="3" t="s">
        <v>41</v>
      </c>
      <c r="K31" s="61" t="s">
        <v>41</v>
      </c>
      <c r="L31" s="69"/>
    </row>
    <row r="32" spans="1:12" x14ac:dyDescent="0.3">
      <c r="A32" s="248"/>
      <c r="B32" s="38">
        <v>110</v>
      </c>
      <c r="C32" s="14" t="s">
        <v>113</v>
      </c>
      <c r="D32" s="42" t="s">
        <v>137</v>
      </c>
      <c r="E32" s="42" t="s">
        <v>138</v>
      </c>
      <c r="F32" s="4" t="s">
        <v>48</v>
      </c>
      <c r="G32" s="4"/>
      <c r="H32" s="154"/>
      <c r="I32" s="24" t="s">
        <v>39</v>
      </c>
      <c r="J32" s="3" t="s">
        <v>41</v>
      </c>
      <c r="K32" s="61" t="s">
        <v>41</v>
      </c>
      <c r="L32" s="70"/>
    </row>
    <row r="33" spans="1:12" x14ac:dyDescent="0.3">
      <c r="A33" s="247">
        <v>7</v>
      </c>
      <c r="B33" s="41">
        <v>97</v>
      </c>
      <c r="C33" s="7" t="s">
        <v>167</v>
      </c>
      <c r="D33" s="25" t="s">
        <v>397</v>
      </c>
      <c r="E33" s="8" t="s">
        <v>398</v>
      </c>
      <c r="F33" s="8" t="s">
        <v>48</v>
      </c>
      <c r="G33" s="8"/>
      <c r="H33" s="153"/>
      <c r="I33" s="78" t="s">
        <v>39</v>
      </c>
      <c r="J33" s="75" t="s">
        <v>41</v>
      </c>
      <c r="K33" s="76" t="s">
        <v>41</v>
      </c>
      <c r="L33" s="66"/>
    </row>
    <row r="34" spans="1:12" x14ac:dyDescent="0.3">
      <c r="A34" s="247"/>
      <c r="B34" s="41">
        <v>97.1</v>
      </c>
      <c r="C34" s="7" t="s">
        <v>167</v>
      </c>
      <c r="D34" s="28" t="s">
        <v>399</v>
      </c>
      <c r="E34" s="29" t="s">
        <v>400</v>
      </c>
      <c r="F34" s="29" t="s">
        <v>86</v>
      </c>
      <c r="G34" s="29"/>
      <c r="H34" s="94"/>
      <c r="I34" s="78" t="s">
        <v>39</v>
      </c>
      <c r="J34" s="75" t="s">
        <v>41</v>
      </c>
      <c r="K34" s="76" t="s">
        <v>41</v>
      </c>
      <c r="L34" s="67"/>
    </row>
    <row r="35" spans="1:12" x14ac:dyDescent="0.3">
      <c r="A35" s="247"/>
      <c r="B35" s="41">
        <v>97.2</v>
      </c>
      <c r="C35" s="7" t="s">
        <v>167</v>
      </c>
      <c r="D35" s="30" t="s">
        <v>402</v>
      </c>
      <c r="E35" s="8"/>
      <c r="F35" s="8" t="s">
        <v>53</v>
      </c>
      <c r="G35" s="8"/>
      <c r="H35" s="153"/>
      <c r="I35" s="78" t="s">
        <v>39</v>
      </c>
      <c r="J35" s="75" t="s">
        <v>41</v>
      </c>
      <c r="K35" s="76" t="s">
        <v>41</v>
      </c>
      <c r="L35" s="67"/>
    </row>
    <row r="36" spans="1:12" x14ac:dyDescent="0.3">
      <c r="A36" s="247"/>
      <c r="B36" s="41">
        <v>93</v>
      </c>
      <c r="C36" s="7" t="s">
        <v>167</v>
      </c>
      <c r="D36" s="8" t="s">
        <v>168</v>
      </c>
      <c r="E36" s="8" t="s">
        <v>169</v>
      </c>
      <c r="F36" s="8" t="s">
        <v>48</v>
      </c>
      <c r="G36" s="8"/>
      <c r="H36" s="153"/>
      <c r="I36" s="75" t="s">
        <v>49</v>
      </c>
      <c r="J36" s="80" t="s">
        <v>40</v>
      </c>
      <c r="K36" s="84" t="s">
        <v>40</v>
      </c>
      <c r="L36" s="67"/>
    </row>
    <row r="37" spans="1:12" x14ac:dyDescent="0.3">
      <c r="A37" s="247"/>
      <c r="B37" s="41">
        <v>94</v>
      </c>
      <c r="C37" s="7" t="s">
        <v>167</v>
      </c>
      <c r="D37" s="8" t="s">
        <v>170</v>
      </c>
      <c r="E37" s="8" t="s">
        <v>171</v>
      </c>
      <c r="F37" s="8" t="s">
        <v>53</v>
      </c>
      <c r="G37" s="8"/>
      <c r="H37" s="153"/>
      <c r="I37" s="75" t="s">
        <v>49</v>
      </c>
      <c r="J37" s="80" t="s">
        <v>40</v>
      </c>
      <c r="K37" s="84" t="s">
        <v>40</v>
      </c>
      <c r="L37" s="67"/>
    </row>
    <row r="38" spans="1:12" x14ac:dyDescent="0.3">
      <c r="A38" s="247"/>
      <c r="B38" s="41">
        <v>94.1</v>
      </c>
      <c r="C38" s="7" t="s">
        <v>167</v>
      </c>
      <c r="D38" s="28" t="s">
        <v>172</v>
      </c>
      <c r="E38" s="29" t="s">
        <v>173</v>
      </c>
      <c r="F38" s="46" t="s">
        <v>44</v>
      </c>
      <c r="G38" s="46"/>
      <c r="H38" s="92"/>
      <c r="I38" s="75" t="s">
        <v>49</v>
      </c>
      <c r="J38" s="80" t="s">
        <v>40</v>
      </c>
      <c r="K38" s="84" t="s">
        <v>40</v>
      </c>
      <c r="L38" s="67"/>
    </row>
    <row r="39" spans="1:12" x14ac:dyDescent="0.3">
      <c r="A39" s="247"/>
      <c r="B39" s="41">
        <v>94.2</v>
      </c>
      <c r="C39" s="7" t="s">
        <v>167</v>
      </c>
      <c r="D39" s="28" t="s">
        <v>174</v>
      </c>
      <c r="E39" s="5" t="s">
        <v>175</v>
      </c>
      <c r="F39" s="46" t="s">
        <v>44</v>
      </c>
      <c r="G39" s="46"/>
      <c r="H39" s="92"/>
      <c r="I39" s="75" t="s">
        <v>49</v>
      </c>
      <c r="J39" s="80" t="s">
        <v>40</v>
      </c>
      <c r="K39" s="84" t="s">
        <v>40</v>
      </c>
      <c r="L39" s="68"/>
    </row>
    <row r="40" spans="1:12" x14ac:dyDescent="0.3">
      <c r="A40" s="248">
        <v>8</v>
      </c>
      <c r="B40" s="38">
        <v>95</v>
      </c>
      <c r="C40" s="14" t="s">
        <v>167</v>
      </c>
      <c r="D40" s="4" t="s">
        <v>176</v>
      </c>
      <c r="E40" s="4" t="s">
        <v>177</v>
      </c>
      <c r="F40" s="4" t="s">
        <v>53</v>
      </c>
      <c r="G40" s="4"/>
      <c r="H40" s="154"/>
      <c r="I40" s="24" t="s">
        <v>39</v>
      </c>
      <c r="J40" s="11" t="s">
        <v>40</v>
      </c>
      <c r="K40" s="62" t="s">
        <v>41</v>
      </c>
      <c r="L40" s="65"/>
    </row>
    <row r="41" spans="1:12" x14ac:dyDescent="0.3">
      <c r="A41" s="248"/>
      <c r="B41" s="38">
        <v>95.1</v>
      </c>
      <c r="C41" s="14" t="s">
        <v>167</v>
      </c>
      <c r="D41" s="37" t="s">
        <v>178</v>
      </c>
      <c r="E41" s="4" t="s">
        <v>179</v>
      </c>
      <c r="F41" s="4" t="s">
        <v>44</v>
      </c>
      <c r="G41" s="4"/>
      <c r="H41" s="154"/>
      <c r="I41" s="24" t="s">
        <v>39</v>
      </c>
      <c r="J41" s="11" t="s">
        <v>40</v>
      </c>
      <c r="K41" s="62" t="s">
        <v>41</v>
      </c>
      <c r="L41" s="69"/>
    </row>
    <row r="42" spans="1:12" x14ac:dyDescent="0.3">
      <c r="A42" s="248"/>
      <c r="B42" s="38">
        <v>96</v>
      </c>
      <c r="C42" s="14" t="s">
        <v>167</v>
      </c>
      <c r="D42" s="4" t="s">
        <v>182</v>
      </c>
      <c r="E42" s="4" t="s">
        <v>183</v>
      </c>
      <c r="F42" s="4" t="s">
        <v>48</v>
      </c>
      <c r="G42" s="4"/>
      <c r="H42" s="154"/>
      <c r="I42" s="24" t="s">
        <v>39</v>
      </c>
      <c r="J42" s="11" t="s">
        <v>40</v>
      </c>
      <c r="K42" s="62" t="s">
        <v>41</v>
      </c>
      <c r="L42" s="69"/>
    </row>
    <row r="43" spans="1:12" x14ac:dyDescent="0.3">
      <c r="A43" s="248"/>
      <c r="B43" s="38">
        <v>98</v>
      </c>
      <c r="C43" s="14" t="s">
        <v>167</v>
      </c>
      <c r="D43" s="4" t="s">
        <v>184</v>
      </c>
      <c r="E43" s="4" t="s">
        <v>185</v>
      </c>
      <c r="F43" s="4" t="s">
        <v>53</v>
      </c>
      <c r="G43" s="4"/>
      <c r="H43" s="154"/>
      <c r="I43" s="24" t="s">
        <v>39</v>
      </c>
      <c r="J43" s="11" t="s">
        <v>40</v>
      </c>
      <c r="K43" s="58" t="s">
        <v>40</v>
      </c>
      <c r="L43" s="69"/>
    </row>
    <row r="44" spans="1:12" x14ac:dyDescent="0.3">
      <c r="A44" s="248"/>
      <c r="B44" s="38">
        <v>100</v>
      </c>
      <c r="C44" s="14" t="s">
        <v>167</v>
      </c>
      <c r="D44" s="4" t="s">
        <v>188</v>
      </c>
      <c r="E44" s="4" t="s">
        <v>189</v>
      </c>
      <c r="F44" s="4" t="s">
        <v>53</v>
      </c>
      <c r="G44" s="4"/>
      <c r="H44" s="154"/>
      <c r="I44" s="3" t="s">
        <v>49</v>
      </c>
      <c r="J44" s="11" t="s">
        <v>40</v>
      </c>
      <c r="K44" s="58" t="s">
        <v>40</v>
      </c>
      <c r="L44" s="69"/>
    </row>
    <row r="45" spans="1:12" x14ac:dyDescent="0.3">
      <c r="A45" s="248"/>
      <c r="B45" s="38">
        <v>100.1</v>
      </c>
      <c r="C45" s="14" t="s">
        <v>167</v>
      </c>
      <c r="D45" s="31" t="s">
        <v>190</v>
      </c>
      <c r="E45" s="32" t="s">
        <v>191</v>
      </c>
      <c r="F45" s="39" t="s">
        <v>53</v>
      </c>
      <c r="G45" s="39"/>
      <c r="H45" s="95"/>
      <c r="I45" s="3" t="s">
        <v>49</v>
      </c>
      <c r="J45" s="11" t="s">
        <v>40</v>
      </c>
      <c r="K45" s="58" t="s">
        <v>40</v>
      </c>
      <c r="L45" s="69"/>
    </row>
    <row r="46" spans="1:12" x14ac:dyDescent="0.3">
      <c r="A46" s="248"/>
      <c r="B46" s="38">
        <v>99</v>
      </c>
      <c r="C46" s="14" t="s">
        <v>167</v>
      </c>
      <c r="D46" s="4" t="s">
        <v>186</v>
      </c>
      <c r="E46" s="4" t="s">
        <v>187</v>
      </c>
      <c r="F46" s="4" t="s">
        <v>53</v>
      </c>
      <c r="G46" s="4"/>
      <c r="H46" s="154"/>
      <c r="I46" s="3" t="s">
        <v>49</v>
      </c>
      <c r="J46" s="11" t="s">
        <v>40</v>
      </c>
      <c r="K46" s="58" t="s">
        <v>40</v>
      </c>
      <c r="L46" s="70"/>
    </row>
    <row r="47" spans="1:12" x14ac:dyDescent="0.3">
      <c r="A47" s="247">
        <v>9</v>
      </c>
      <c r="B47" s="41">
        <v>17</v>
      </c>
      <c r="C47" s="7" t="s">
        <v>35</v>
      </c>
      <c r="D47" s="25" t="s">
        <v>139</v>
      </c>
      <c r="E47" s="8" t="s">
        <v>140</v>
      </c>
      <c r="F47" s="8" t="s">
        <v>86</v>
      </c>
      <c r="G47" s="8"/>
      <c r="H47" s="153"/>
      <c r="I47" s="12" t="s">
        <v>39</v>
      </c>
      <c r="J47" s="24" t="s">
        <v>41</v>
      </c>
      <c r="K47" s="62" t="s">
        <v>41</v>
      </c>
      <c r="L47" s="66"/>
    </row>
    <row r="48" spans="1:12" x14ac:dyDescent="0.3">
      <c r="A48" s="247"/>
      <c r="B48" s="41">
        <v>17.100000000000001</v>
      </c>
      <c r="C48" s="7" t="s">
        <v>35</v>
      </c>
      <c r="D48" s="30" t="s">
        <v>141</v>
      </c>
      <c r="E48" s="8" t="s">
        <v>142</v>
      </c>
      <c r="F48" s="8" t="s">
        <v>53</v>
      </c>
      <c r="G48" s="8"/>
      <c r="H48" s="153"/>
      <c r="I48" s="12" t="s">
        <v>39</v>
      </c>
      <c r="J48" s="24" t="s">
        <v>40</v>
      </c>
      <c r="K48" s="62" t="s">
        <v>40</v>
      </c>
      <c r="L48" s="67"/>
    </row>
    <row r="49" spans="1:12" x14ac:dyDescent="0.3">
      <c r="A49" s="247"/>
      <c r="B49" s="41">
        <v>17.2</v>
      </c>
      <c r="C49" s="7" t="s">
        <v>35</v>
      </c>
      <c r="D49" s="28" t="s">
        <v>143</v>
      </c>
      <c r="E49" s="5" t="s">
        <v>144</v>
      </c>
      <c r="F49" s="34" t="s">
        <v>53</v>
      </c>
      <c r="G49" s="34"/>
      <c r="H49" s="96"/>
      <c r="I49" s="12" t="s">
        <v>39</v>
      </c>
      <c r="J49" s="11" t="s">
        <v>40</v>
      </c>
      <c r="K49" s="58" t="s">
        <v>40</v>
      </c>
      <c r="L49" s="67"/>
    </row>
    <row r="50" spans="1:12" x14ac:dyDescent="0.3">
      <c r="A50" s="247"/>
      <c r="B50" s="41">
        <v>21</v>
      </c>
      <c r="C50" s="7" t="s">
        <v>35</v>
      </c>
      <c r="D50" s="8" t="s">
        <v>225</v>
      </c>
      <c r="E50" s="8" t="s">
        <v>226</v>
      </c>
      <c r="F50" s="8" t="s">
        <v>44</v>
      </c>
      <c r="G50" s="8"/>
      <c r="H50" s="153"/>
      <c r="I50" s="12" t="s">
        <v>39</v>
      </c>
      <c r="J50" s="3" t="s">
        <v>40</v>
      </c>
      <c r="K50" s="61" t="s">
        <v>40</v>
      </c>
      <c r="L50" s="67"/>
    </row>
    <row r="51" spans="1:12" x14ac:dyDescent="0.3">
      <c r="A51" s="247"/>
      <c r="B51" s="41">
        <v>80</v>
      </c>
      <c r="C51" s="7" t="s">
        <v>227</v>
      </c>
      <c r="D51" s="8" t="s">
        <v>228</v>
      </c>
      <c r="E51" s="8" t="s">
        <v>229</v>
      </c>
      <c r="F51" s="8" t="s">
        <v>48</v>
      </c>
      <c r="G51" s="8"/>
      <c r="H51" s="153"/>
      <c r="I51" s="12" t="s">
        <v>39</v>
      </c>
      <c r="J51" s="11" t="s">
        <v>40</v>
      </c>
      <c r="K51" s="62" t="s">
        <v>41</v>
      </c>
      <c r="L51" s="67"/>
    </row>
    <row r="52" spans="1:12" x14ac:dyDescent="0.3">
      <c r="A52" s="247"/>
      <c r="B52" s="41">
        <v>88</v>
      </c>
      <c r="C52" s="7" t="s">
        <v>227</v>
      </c>
      <c r="D52" s="25" t="s">
        <v>230</v>
      </c>
      <c r="E52" s="8" t="s">
        <v>231</v>
      </c>
      <c r="F52" s="8" t="s">
        <v>48</v>
      </c>
      <c r="G52" s="8"/>
      <c r="H52" s="153"/>
      <c r="I52" s="12" t="s">
        <v>39</v>
      </c>
      <c r="J52" s="11" t="s">
        <v>40</v>
      </c>
      <c r="K52" s="58" t="s">
        <v>40</v>
      </c>
      <c r="L52" s="68"/>
    </row>
    <row r="53" spans="1:12" x14ac:dyDescent="0.3">
      <c r="A53" s="248">
        <v>10</v>
      </c>
      <c r="B53" s="38">
        <v>44</v>
      </c>
      <c r="C53" s="14" t="s">
        <v>194</v>
      </c>
      <c r="D53" s="21" t="s">
        <v>201</v>
      </c>
      <c r="E53" s="35" t="s">
        <v>202</v>
      </c>
      <c r="F53" s="72" t="s">
        <v>203</v>
      </c>
      <c r="G53" s="21"/>
      <c r="H53" s="89"/>
      <c r="I53" s="12" t="s">
        <v>39</v>
      </c>
      <c r="J53" s="3" t="s">
        <v>41</v>
      </c>
      <c r="K53" s="60" t="s">
        <v>87</v>
      </c>
      <c r="L53" s="65"/>
    </row>
    <row r="54" spans="1:12" x14ac:dyDescent="0.3">
      <c r="A54" s="248"/>
      <c r="B54" s="38">
        <v>44.1</v>
      </c>
      <c r="C54" s="14" t="s">
        <v>194</v>
      </c>
      <c r="D54" s="33" t="s">
        <v>204</v>
      </c>
      <c r="E54" s="35"/>
      <c r="F54" s="21" t="s">
        <v>48</v>
      </c>
      <c r="G54" s="21"/>
      <c r="H54" s="89"/>
      <c r="I54" s="12" t="s">
        <v>39</v>
      </c>
      <c r="J54" s="3" t="s">
        <v>41</v>
      </c>
      <c r="K54" s="60" t="s">
        <v>87</v>
      </c>
      <c r="L54" s="69"/>
    </row>
    <row r="55" spans="1:12" x14ac:dyDescent="0.3">
      <c r="A55" s="248"/>
      <c r="B55" s="38">
        <v>44.2</v>
      </c>
      <c r="C55" s="14" t="s">
        <v>194</v>
      </c>
      <c r="D55" s="33" t="s">
        <v>205</v>
      </c>
      <c r="E55" s="35" t="s">
        <v>206</v>
      </c>
      <c r="F55" s="21" t="s">
        <v>44</v>
      </c>
      <c r="G55" s="21"/>
      <c r="H55" s="89"/>
      <c r="I55" s="12" t="s">
        <v>39</v>
      </c>
      <c r="J55" s="3" t="s">
        <v>41</v>
      </c>
      <c r="K55" s="60" t="s">
        <v>87</v>
      </c>
      <c r="L55" s="69"/>
    </row>
    <row r="56" spans="1:12" x14ac:dyDescent="0.3">
      <c r="A56" s="248"/>
      <c r="B56" s="38">
        <v>44.3</v>
      </c>
      <c r="C56" s="14" t="s">
        <v>194</v>
      </c>
      <c r="D56" s="33" t="s">
        <v>207</v>
      </c>
      <c r="E56" s="35" t="s">
        <v>208</v>
      </c>
      <c r="F56" s="21" t="s">
        <v>48</v>
      </c>
      <c r="G56" s="21"/>
      <c r="H56" s="89"/>
      <c r="I56" s="12" t="s">
        <v>39</v>
      </c>
      <c r="J56" s="3" t="s">
        <v>41</v>
      </c>
      <c r="K56" s="60" t="s">
        <v>87</v>
      </c>
      <c r="L56" s="69"/>
    </row>
    <row r="57" spans="1:12" x14ac:dyDescent="0.3">
      <c r="A57" s="248"/>
      <c r="B57" s="38">
        <v>44.4</v>
      </c>
      <c r="C57" s="14" t="s">
        <v>194</v>
      </c>
      <c r="D57" s="33" t="s">
        <v>209</v>
      </c>
      <c r="E57" s="32" t="s">
        <v>210</v>
      </c>
      <c r="F57" s="39" t="s">
        <v>44</v>
      </c>
      <c r="G57" s="39"/>
      <c r="H57" s="95"/>
      <c r="I57" s="12" t="s">
        <v>39</v>
      </c>
      <c r="J57" s="3" t="s">
        <v>41</v>
      </c>
      <c r="K57" s="60" t="s">
        <v>87</v>
      </c>
      <c r="L57" s="69"/>
    </row>
    <row r="58" spans="1:12" x14ac:dyDescent="0.3">
      <c r="A58" s="252">
        <v>11</v>
      </c>
      <c r="B58" s="41">
        <v>47</v>
      </c>
      <c r="C58" s="7" t="s">
        <v>194</v>
      </c>
      <c r="D58" s="8" t="s">
        <v>211</v>
      </c>
      <c r="E58" s="8" t="s">
        <v>212</v>
      </c>
      <c r="F58" s="8" t="s">
        <v>44</v>
      </c>
      <c r="G58" s="8"/>
      <c r="H58" s="153"/>
      <c r="I58" s="78" t="s">
        <v>39</v>
      </c>
      <c r="J58" s="75" t="s">
        <v>41</v>
      </c>
      <c r="K58" s="76" t="s">
        <v>87</v>
      </c>
      <c r="L58" s="66"/>
    </row>
    <row r="59" spans="1:12" x14ac:dyDescent="0.3">
      <c r="A59" s="253"/>
      <c r="B59" s="41">
        <v>43</v>
      </c>
      <c r="C59" s="7" t="s">
        <v>194</v>
      </c>
      <c r="D59" s="8" t="s">
        <v>213</v>
      </c>
      <c r="E59" s="6" t="s">
        <v>214</v>
      </c>
      <c r="F59" s="8" t="s">
        <v>53</v>
      </c>
      <c r="G59" s="8"/>
      <c r="H59" s="153"/>
      <c r="I59" s="78" t="s">
        <v>39</v>
      </c>
      <c r="J59" s="75" t="s">
        <v>41</v>
      </c>
      <c r="K59" s="76" t="s">
        <v>87</v>
      </c>
      <c r="L59" s="67"/>
    </row>
    <row r="60" spans="1:12" x14ac:dyDescent="0.3">
      <c r="A60" s="253"/>
      <c r="B60" s="41">
        <v>45</v>
      </c>
      <c r="C60" s="7" t="s">
        <v>194</v>
      </c>
      <c r="D60" s="25" t="s">
        <v>215</v>
      </c>
      <c r="E60" s="8" t="s">
        <v>216</v>
      </c>
      <c r="F60" s="25" t="s">
        <v>53</v>
      </c>
      <c r="G60" s="25"/>
      <c r="H60" s="90"/>
      <c r="I60" s="78" t="s">
        <v>41</v>
      </c>
      <c r="J60" s="75" t="s">
        <v>41</v>
      </c>
      <c r="K60" s="79" t="s">
        <v>87</v>
      </c>
      <c r="L60" s="67"/>
    </row>
    <row r="61" spans="1:12" x14ac:dyDescent="0.3">
      <c r="A61" s="253"/>
      <c r="B61" s="41">
        <v>46</v>
      </c>
      <c r="C61" s="7" t="s">
        <v>194</v>
      </c>
      <c r="D61" s="8" t="s">
        <v>217</v>
      </c>
      <c r="E61" s="8" t="s">
        <v>218</v>
      </c>
      <c r="F61" s="8" t="s">
        <v>44</v>
      </c>
      <c r="G61" s="8"/>
      <c r="H61" s="153"/>
      <c r="I61" s="78" t="s">
        <v>39</v>
      </c>
      <c r="J61" s="75" t="s">
        <v>41</v>
      </c>
      <c r="K61" s="76" t="s">
        <v>40</v>
      </c>
      <c r="L61" s="67"/>
    </row>
    <row r="62" spans="1:12" x14ac:dyDescent="0.3">
      <c r="A62" s="253"/>
      <c r="B62" s="41">
        <v>48</v>
      </c>
      <c r="C62" s="7" t="s">
        <v>194</v>
      </c>
      <c r="D62" s="8" t="s">
        <v>219</v>
      </c>
      <c r="E62" s="8" t="s">
        <v>220</v>
      </c>
      <c r="F62" s="8" t="s">
        <v>53</v>
      </c>
      <c r="G62" s="8"/>
      <c r="H62" s="153"/>
      <c r="I62" s="78" t="s">
        <v>39</v>
      </c>
      <c r="J62" s="80" t="s">
        <v>40</v>
      </c>
      <c r="K62" s="79" t="s">
        <v>41</v>
      </c>
      <c r="L62" s="67"/>
    </row>
    <row r="63" spans="1:12" x14ac:dyDescent="0.3">
      <c r="A63" s="253"/>
      <c r="B63" s="41">
        <v>49</v>
      </c>
      <c r="C63" s="7" t="s">
        <v>194</v>
      </c>
      <c r="D63" s="8" t="s">
        <v>221</v>
      </c>
      <c r="E63" s="8" t="s">
        <v>222</v>
      </c>
      <c r="F63" s="8" t="s">
        <v>53</v>
      </c>
      <c r="G63" s="8"/>
      <c r="H63" s="153"/>
      <c r="I63" s="78" t="s">
        <v>39</v>
      </c>
      <c r="J63" s="75" t="s">
        <v>41</v>
      </c>
      <c r="K63" s="76" t="s">
        <v>41</v>
      </c>
      <c r="L63" s="67"/>
    </row>
    <row r="64" spans="1:12" x14ac:dyDescent="0.3">
      <c r="A64" s="253"/>
      <c r="B64" s="41">
        <v>67</v>
      </c>
      <c r="C64" s="7" t="s">
        <v>199</v>
      </c>
      <c r="D64" s="8" t="s">
        <v>223</v>
      </c>
      <c r="E64" s="8" t="s">
        <v>224</v>
      </c>
      <c r="F64" s="8" t="s">
        <v>44</v>
      </c>
      <c r="G64" s="8"/>
      <c r="H64" s="153"/>
      <c r="I64" s="75" t="s">
        <v>40</v>
      </c>
      <c r="J64" s="75" t="s">
        <v>87</v>
      </c>
      <c r="K64" s="76" t="s">
        <v>40</v>
      </c>
      <c r="L64" s="67"/>
    </row>
    <row r="65" spans="1:12" x14ac:dyDescent="0.3">
      <c r="A65" s="254"/>
      <c r="B65" s="41">
        <v>40</v>
      </c>
      <c r="C65" s="7" t="s">
        <v>194</v>
      </c>
      <c r="D65" s="8" t="s">
        <v>232</v>
      </c>
      <c r="E65" s="6" t="s">
        <v>233</v>
      </c>
      <c r="F65" s="8" t="s">
        <v>86</v>
      </c>
      <c r="G65" s="8"/>
      <c r="H65" s="153"/>
      <c r="I65" s="78" t="s">
        <v>41</v>
      </c>
      <c r="J65" s="75" t="s">
        <v>87</v>
      </c>
      <c r="K65" s="76" t="s">
        <v>40</v>
      </c>
      <c r="L65" s="68"/>
    </row>
    <row r="66" spans="1:12" x14ac:dyDescent="0.3">
      <c r="A66" s="248">
        <v>12</v>
      </c>
      <c r="B66" s="38">
        <v>19</v>
      </c>
      <c r="C66" s="14" t="s">
        <v>35</v>
      </c>
      <c r="D66" s="4" t="s">
        <v>234</v>
      </c>
      <c r="E66" s="4" t="s">
        <v>235</v>
      </c>
      <c r="F66" s="4" t="s">
        <v>86</v>
      </c>
      <c r="G66" s="4"/>
      <c r="H66" s="154"/>
      <c r="I66" s="24" t="s">
        <v>39</v>
      </c>
      <c r="J66" s="3" t="s">
        <v>40</v>
      </c>
      <c r="K66" s="61" t="s">
        <v>40</v>
      </c>
      <c r="L66" s="69"/>
    </row>
    <row r="67" spans="1:12" x14ac:dyDescent="0.3">
      <c r="A67" s="248"/>
      <c r="B67" s="38">
        <v>20</v>
      </c>
      <c r="C67" s="14" t="s">
        <v>35</v>
      </c>
      <c r="D67" s="4" t="s">
        <v>236</v>
      </c>
      <c r="E67" s="4" t="s">
        <v>237</v>
      </c>
      <c r="F67" s="4" t="s">
        <v>86</v>
      </c>
      <c r="G67" s="4"/>
      <c r="H67" s="154"/>
      <c r="I67" s="24" t="s">
        <v>39</v>
      </c>
      <c r="J67" s="3" t="s">
        <v>40</v>
      </c>
      <c r="K67" s="61" t="s">
        <v>40</v>
      </c>
      <c r="L67" s="69"/>
    </row>
    <row r="68" spans="1:12" x14ac:dyDescent="0.3">
      <c r="A68" s="248"/>
      <c r="B68" s="38">
        <v>23</v>
      </c>
      <c r="C68" s="14" t="s">
        <v>35</v>
      </c>
      <c r="D68" s="4" t="s">
        <v>238</v>
      </c>
      <c r="E68" s="4" t="s">
        <v>239</v>
      </c>
      <c r="F68" s="4" t="s">
        <v>86</v>
      </c>
      <c r="G68" s="4"/>
      <c r="H68" s="154"/>
      <c r="I68" s="3" t="s">
        <v>40</v>
      </c>
      <c r="J68" s="24" t="s">
        <v>87</v>
      </c>
      <c r="K68" s="61" t="s">
        <v>40</v>
      </c>
      <c r="L68" s="70"/>
    </row>
    <row r="69" spans="1:12" x14ac:dyDescent="0.3">
      <c r="A69" s="247">
        <v>13</v>
      </c>
      <c r="B69" s="41">
        <v>16</v>
      </c>
      <c r="C69" s="7" t="s">
        <v>35</v>
      </c>
      <c r="D69" s="25" t="s">
        <v>240</v>
      </c>
      <c r="E69" s="8" t="s">
        <v>241</v>
      </c>
      <c r="F69" s="6" t="s">
        <v>203</v>
      </c>
      <c r="G69" s="8"/>
      <c r="H69" s="153"/>
      <c r="I69" s="78" t="s">
        <v>39</v>
      </c>
      <c r="J69" s="78" t="s">
        <v>41</v>
      </c>
      <c r="K69" s="79" t="s">
        <v>41</v>
      </c>
      <c r="L69" s="66"/>
    </row>
    <row r="70" spans="1:12" x14ac:dyDescent="0.3">
      <c r="A70" s="247"/>
      <c r="B70" s="41">
        <v>16.100000000000001</v>
      </c>
      <c r="C70" s="7" t="s">
        <v>35</v>
      </c>
      <c r="D70" s="28" t="s">
        <v>242</v>
      </c>
      <c r="E70" s="5" t="s">
        <v>243</v>
      </c>
      <c r="F70" s="46" t="s">
        <v>44</v>
      </c>
      <c r="G70" s="46"/>
      <c r="H70" s="92"/>
      <c r="I70" s="78" t="s">
        <v>39</v>
      </c>
      <c r="J70" s="80" t="s">
        <v>40</v>
      </c>
      <c r="K70" s="84" t="s">
        <v>40</v>
      </c>
      <c r="L70" s="67"/>
    </row>
    <row r="71" spans="1:12" x14ac:dyDescent="0.3">
      <c r="A71" s="247"/>
      <c r="B71" s="41">
        <v>16.2</v>
      </c>
      <c r="C71" s="7" t="s">
        <v>35</v>
      </c>
      <c r="D71" s="30" t="s">
        <v>244</v>
      </c>
      <c r="E71" s="8" t="s">
        <v>245</v>
      </c>
      <c r="F71" s="8" t="s">
        <v>53</v>
      </c>
      <c r="G71" s="8"/>
      <c r="H71" s="153"/>
      <c r="I71" s="78" t="s">
        <v>39</v>
      </c>
      <c r="J71" s="78" t="s">
        <v>41</v>
      </c>
      <c r="K71" s="79" t="s">
        <v>41</v>
      </c>
      <c r="L71" s="67"/>
    </row>
    <row r="72" spans="1:12" x14ac:dyDescent="0.3">
      <c r="A72" s="247"/>
      <c r="B72" s="41">
        <v>16.3</v>
      </c>
      <c r="C72" s="7" t="s">
        <v>35</v>
      </c>
      <c r="D72" s="30" t="s">
        <v>246</v>
      </c>
      <c r="E72" s="8" t="s">
        <v>247</v>
      </c>
      <c r="F72" s="8" t="s">
        <v>44</v>
      </c>
      <c r="G72" s="8"/>
      <c r="H72" s="153"/>
      <c r="I72" s="78" t="s">
        <v>39</v>
      </c>
      <c r="J72" s="78" t="s">
        <v>40</v>
      </c>
      <c r="K72" s="84" t="s">
        <v>41</v>
      </c>
      <c r="L72" s="67"/>
    </row>
    <row r="73" spans="1:12" x14ac:dyDescent="0.3">
      <c r="A73" s="247"/>
      <c r="B73" s="41">
        <v>16.399999999999999</v>
      </c>
      <c r="C73" s="7" t="s">
        <v>35</v>
      </c>
      <c r="D73" s="30" t="s">
        <v>248</v>
      </c>
      <c r="E73" s="8" t="s">
        <v>249</v>
      </c>
      <c r="F73" s="8" t="s">
        <v>44</v>
      </c>
      <c r="G73" s="8"/>
      <c r="H73" s="153"/>
      <c r="I73" s="78" t="s">
        <v>39</v>
      </c>
      <c r="J73" s="78" t="s">
        <v>40</v>
      </c>
      <c r="K73" s="84" t="s">
        <v>41</v>
      </c>
      <c r="L73" s="67"/>
    </row>
    <row r="74" spans="1:12" x14ac:dyDescent="0.3">
      <c r="A74" s="247"/>
      <c r="B74" s="41">
        <v>16.5</v>
      </c>
      <c r="C74" s="7" t="s">
        <v>35</v>
      </c>
      <c r="D74" s="30" t="s">
        <v>250</v>
      </c>
      <c r="E74" s="8" t="s">
        <v>251</v>
      </c>
      <c r="F74" s="8" t="s">
        <v>44</v>
      </c>
      <c r="G74" s="8"/>
      <c r="H74" s="153"/>
      <c r="I74" s="78" t="s">
        <v>39</v>
      </c>
      <c r="J74" s="78" t="s">
        <v>40</v>
      </c>
      <c r="K74" s="84" t="s">
        <v>40</v>
      </c>
      <c r="L74" s="67"/>
    </row>
    <row r="75" spans="1:12" x14ac:dyDescent="0.3">
      <c r="A75" s="247"/>
      <c r="B75" s="41">
        <v>24</v>
      </c>
      <c r="C75" s="7" t="s">
        <v>35</v>
      </c>
      <c r="D75" s="8" t="s">
        <v>252</v>
      </c>
      <c r="E75" s="8" t="s">
        <v>253</v>
      </c>
      <c r="F75" s="8" t="s">
        <v>48</v>
      </c>
      <c r="G75" s="8"/>
      <c r="H75" s="153"/>
      <c r="I75" s="78" t="s">
        <v>39</v>
      </c>
      <c r="J75" s="75" t="s">
        <v>40</v>
      </c>
      <c r="K75" s="76" t="s">
        <v>40</v>
      </c>
      <c r="L75" s="68"/>
    </row>
    <row r="76" spans="1:12" x14ac:dyDescent="0.3">
      <c r="A76" s="248">
        <v>14</v>
      </c>
      <c r="B76" s="38">
        <v>150</v>
      </c>
      <c r="C76" s="14" t="s">
        <v>145</v>
      </c>
      <c r="D76" s="4" t="s">
        <v>146</v>
      </c>
      <c r="E76" s="4" t="s">
        <v>147</v>
      </c>
      <c r="F76" s="4" t="s">
        <v>48</v>
      </c>
      <c r="G76" s="4"/>
      <c r="H76" s="154"/>
      <c r="I76" s="12" t="s">
        <v>39</v>
      </c>
      <c r="J76" s="3" t="s">
        <v>40</v>
      </c>
      <c r="K76" s="58" t="s">
        <v>40</v>
      </c>
      <c r="L76" s="65"/>
    </row>
    <row r="77" spans="1:12" x14ac:dyDescent="0.3">
      <c r="A77" s="248"/>
      <c r="B77" s="38">
        <v>151</v>
      </c>
      <c r="C77" s="14" t="s">
        <v>145</v>
      </c>
      <c r="D77" s="4" t="s">
        <v>148</v>
      </c>
      <c r="E77" s="4" t="s">
        <v>149</v>
      </c>
      <c r="F77" s="4" t="s">
        <v>53</v>
      </c>
      <c r="G77" s="4"/>
      <c r="H77" s="154"/>
      <c r="I77" s="12" t="s">
        <v>39</v>
      </c>
      <c r="J77" s="3" t="s">
        <v>40</v>
      </c>
      <c r="K77" s="58" t="s">
        <v>40</v>
      </c>
      <c r="L77" s="69"/>
    </row>
    <row r="78" spans="1:12" x14ac:dyDescent="0.3">
      <c r="A78" s="248"/>
      <c r="B78" s="38">
        <v>152</v>
      </c>
      <c r="C78" s="14" t="s">
        <v>145</v>
      </c>
      <c r="D78" s="4" t="s">
        <v>150</v>
      </c>
      <c r="E78" s="4" t="s">
        <v>151</v>
      </c>
      <c r="F78" s="4" t="s">
        <v>48</v>
      </c>
      <c r="G78" s="4"/>
      <c r="H78" s="154"/>
      <c r="I78" s="12" t="s">
        <v>39</v>
      </c>
      <c r="J78" s="3" t="s">
        <v>40</v>
      </c>
      <c r="K78" s="58" t="s">
        <v>40</v>
      </c>
      <c r="L78" s="69"/>
    </row>
    <row r="79" spans="1:12" x14ac:dyDescent="0.3">
      <c r="A79" s="248"/>
      <c r="B79" s="38">
        <v>154</v>
      </c>
      <c r="C79" s="14" t="s">
        <v>145</v>
      </c>
      <c r="D79" s="4" t="s">
        <v>157</v>
      </c>
      <c r="E79" s="4" t="s">
        <v>158</v>
      </c>
      <c r="F79" s="4" t="s">
        <v>48</v>
      </c>
      <c r="G79" s="4"/>
      <c r="H79" s="154"/>
      <c r="I79" s="12" t="s">
        <v>39</v>
      </c>
      <c r="J79" s="3" t="s">
        <v>40</v>
      </c>
      <c r="K79" s="58" t="s">
        <v>40</v>
      </c>
      <c r="L79" s="69"/>
    </row>
    <row r="80" spans="1:12" x14ac:dyDescent="0.3">
      <c r="A80" s="248"/>
      <c r="B80" s="38">
        <v>153</v>
      </c>
      <c r="C80" s="45" t="s">
        <v>145</v>
      </c>
      <c r="D80" s="18" t="s">
        <v>159</v>
      </c>
      <c r="E80" s="4" t="s">
        <v>160</v>
      </c>
      <c r="F80" s="4" t="s">
        <v>48</v>
      </c>
      <c r="G80" s="4"/>
      <c r="H80" s="99" t="s">
        <v>55</v>
      </c>
      <c r="I80" s="9"/>
      <c r="J80" s="9"/>
      <c r="K80" s="59"/>
      <c r="L80" s="69"/>
    </row>
    <row r="81" spans="1:12" x14ac:dyDescent="0.3">
      <c r="A81" s="248"/>
      <c r="B81" s="38">
        <v>155</v>
      </c>
      <c r="C81" s="45" t="s">
        <v>145</v>
      </c>
      <c r="D81" s="18" t="s">
        <v>161</v>
      </c>
      <c r="E81" s="4" t="s">
        <v>162</v>
      </c>
      <c r="F81" s="4" t="s">
        <v>53</v>
      </c>
      <c r="G81" s="4"/>
      <c r="H81" s="99" t="s">
        <v>55</v>
      </c>
      <c r="I81" s="9"/>
      <c r="J81" s="9"/>
      <c r="K81" s="59"/>
      <c r="L81" s="69"/>
    </row>
    <row r="82" spans="1:12" x14ac:dyDescent="0.3">
      <c r="A82" s="252">
        <v>15</v>
      </c>
      <c r="B82" s="41">
        <v>41</v>
      </c>
      <c r="C82" s="7" t="s">
        <v>194</v>
      </c>
      <c r="D82" s="25" t="s">
        <v>195</v>
      </c>
      <c r="E82" s="6" t="s">
        <v>196</v>
      </c>
      <c r="F82" s="8" t="s">
        <v>86</v>
      </c>
      <c r="G82" s="8"/>
      <c r="H82" s="153"/>
      <c r="I82" s="78" t="s">
        <v>39</v>
      </c>
      <c r="J82" s="78" t="s">
        <v>87</v>
      </c>
      <c r="K82" s="79" t="s">
        <v>87</v>
      </c>
      <c r="L82" s="66"/>
    </row>
    <row r="83" spans="1:12" x14ac:dyDescent="0.3">
      <c r="A83" s="253"/>
      <c r="B83" s="41">
        <v>41.1</v>
      </c>
      <c r="C83" s="7" t="s">
        <v>194</v>
      </c>
      <c r="D83" s="30" t="s">
        <v>197</v>
      </c>
      <c r="E83" s="6" t="s">
        <v>198</v>
      </c>
      <c r="F83" s="8" t="s">
        <v>53</v>
      </c>
      <c r="G83" s="8"/>
      <c r="H83" s="153"/>
      <c r="I83" s="78" t="s">
        <v>39</v>
      </c>
      <c r="J83" s="78" t="s">
        <v>87</v>
      </c>
      <c r="K83" s="79" t="s">
        <v>87</v>
      </c>
      <c r="L83" s="67"/>
    </row>
    <row r="84" spans="1:12" x14ac:dyDescent="0.3">
      <c r="A84" s="253"/>
      <c r="B84" s="41">
        <v>58</v>
      </c>
      <c r="C84" s="7" t="s">
        <v>199</v>
      </c>
      <c r="D84" s="23" t="s">
        <v>200</v>
      </c>
      <c r="E84" s="23" t="s">
        <v>196</v>
      </c>
      <c r="F84" s="8" t="s">
        <v>86</v>
      </c>
      <c r="G84" s="8"/>
      <c r="H84" s="153"/>
      <c r="I84" s="75" t="s">
        <v>40</v>
      </c>
      <c r="J84" s="75" t="s">
        <v>87</v>
      </c>
      <c r="K84" s="76" t="s">
        <v>40</v>
      </c>
      <c r="L84" s="67"/>
    </row>
    <row r="85" spans="1:12" x14ac:dyDescent="0.3">
      <c r="A85" s="253"/>
      <c r="B85" s="41">
        <v>61</v>
      </c>
      <c r="C85" s="7" t="s">
        <v>199</v>
      </c>
      <c r="D85" s="25" t="s">
        <v>256</v>
      </c>
      <c r="E85" s="25" t="s">
        <v>257</v>
      </c>
      <c r="F85" s="25" t="s">
        <v>48</v>
      </c>
      <c r="G85" s="25"/>
      <c r="H85" s="90"/>
      <c r="I85" s="75" t="s">
        <v>40</v>
      </c>
      <c r="J85" s="75" t="s">
        <v>87</v>
      </c>
      <c r="K85" s="76" t="s">
        <v>40</v>
      </c>
      <c r="L85" s="67"/>
    </row>
    <row r="86" spans="1:12" x14ac:dyDescent="0.3">
      <c r="A86" s="253"/>
      <c r="B86" s="41">
        <v>61.1</v>
      </c>
      <c r="C86" s="7" t="s">
        <v>199</v>
      </c>
      <c r="D86" s="30" t="s">
        <v>258</v>
      </c>
      <c r="E86" s="25" t="s">
        <v>259</v>
      </c>
      <c r="F86" s="25" t="s">
        <v>44</v>
      </c>
      <c r="G86" s="25"/>
      <c r="H86" s="90"/>
      <c r="I86" s="75" t="s">
        <v>40</v>
      </c>
      <c r="J86" s="75" t="s">
        <v>87</v>
      </c>
      <c r="K86" s="76" t="s">
        <v>40</v>
      </c>
      <c r="L86" s="67"/>
    </row>
    <row r="87" spans="1:12" x14ac:dyDescent="0.3">
      <c r="A87" s="253"/>
      <c r="B87" s="41">
        <v>61.2</v>
      </c>
      <c r="C87" s="7" t="s">
        <v>199</v>
      </c>
      <c r="D87" s="28" t="s">
        <v>260</v>
      </c>
      <c r="E87" s="5" t="s">
        <v>261</v>
      </c>
      <c r="F87" s="25" t="s">
        <v>44</v>
      </c>
      <c r="G87" s="25"/>
      <c r="H87" s="90"/>
      <c r="I87" s="75" t="s">
        <v>40</v>
      </c>
      <c r="J87" s="75" t="s">
        <v>87</v>
      </c>
      <c r="K87" s="76" t="s">
        <v>40</v>
      </c>
      <c r="L87" s="67"/>
    </row>
    <row r="88" spans="1:12" x14ac:dyDescent="0.3">
      <c r="A88" s="253"/>
      <c r="B88" s="41">
        <v>62</v>
      </c>
      <c r="C88" s="7" t="s">
        <v>199</v>
      </c>
      <c r="D88" s="23" t="s">
        <v>262</v>
      </c>
      <c r="E88" s="77" t="s">
        <v>263</v>
      </c>
      <c r="F88" s="8" t="s">
        <v>48</v>
      </c>
      <c r="G88" s="8"/>
      <c r="H88" s="153"/>
      <c r="I88" s="75" t="s">
        <v>40</v>
      </c>
      <c r="J88" s="75" t="s">
        <v>87</v>
      </c>
      <c r="K88" s="76" t="s">
        <v>40</v>
      </c>
      <c r="L88" s="67"/>
    </row>
    <row r="89" spans="1:12" x14ac:dyDescent="0.3">
      <c r="A89" s="253"/>
      <c r="B89" s="41">
        <v>59</v>
      </c>
      <c r="C89" s="7" t="s">
        <v>199</v>
      </c>
      <c r="D89" s="8" t="s">
        <v>254</v>
      </c>
      <c r="E89" s="8" t="s">
        <v>255</v>
      </c>
      <c r="F89" s="8" t="s">
        <v>48</v>
      </c>
      <c r="G89" s="8"/>
      <c r="H89" s="153"/>
      <c r="I89" s="75" t="s">
        <v>40</v>
      </c>
      <c r="J89" s="75" t="s">
        <v>87</v>
      </c>
      <c r="K89" s="76" t="s">
        <v>40</v>
      </c>
      <c r="L89" s="67"/>
    </row>
    <row r="90" spans="1:12" x14ac:dyDescent="0.3">
      <c r="A90" s="253"/>
      <c r="B90" s="41">
        <v>64</v>
      </c>
      <c r="C90" s="7" t="s">
        <v>199</v>
      </c>
      <c r="D90" s="8" t="s">
        <v>266</v>
      </c>
      <c r="E90" s="8" t="s">
        <v>267</v>
      </c>
      <c r="F90" s="8" t="s">
        <v>48</v>
      </c>
      <c r="G90" s="8"/>
      <c r="H90" s="153"/>
      <c r="I90" s="3" t="s">
        <v>40</v>
      </c>
      <c r="J90" s="2" t="s">
        <v>87</v>
      </c>
      <c r="K90" s="63" t="s">
        <v>87</v>
      </c>
      <c r="L90" s="67"/>
    </row>
    <row r="91" spans="1:12" x14ac:dyDescent="0.3">
      <c r="A91" s="253"/>
      <c r="B91" s="41">
        <v>64.099999999999994</v>
      </c>
      <c r="C91" s="7" t="s">
        <v>199</v>
      </c>
      <c r="D91" s="40" t="s">
        <v>268</v>
      </c>
      <c r="E91" s="8" t="s">
        <v>268</v>
      </c>
      <c r="F91" s="8" t="s">
        <v>53</v>
      </c>
      <c r="G91" s="8"/>
      <c r="H91" s="153"/>
      <c r="I91" s="3" t="s">
        <v>40</v>
      </c>
      <c r="J91" s="2" t="s">
        <v>87</v>
      </c>
      <c r="K91" s="61" t="s">
        <v>40</v>
      </c>
      <c r="L91" s="67"/>
    </row>
    <row r="92" spans="1:12" x14ac:dyDescent="0.3">
      <c r="A92" s="253"/>
      <c r="B92" s="41">
        <v>65</v>
      </c>
      <c r="C92" s="7" t="s">
        <v>199</v>
      </c>
      <c r="D92" s="8" t="s">
        <v>269</v>
      </c>
      <c r="E92" s="8" t="s">
        <v>270</v>
      </c>
      <c r="F92" s="8" t="s">
        <v>53</v>
      </c>
      <c r="G92" s="8"/>
      <c r="H92" s="153"/>
      <c r="I92" s="3" t="s">
        <v>40</v>
      </c>
      <c r="J92" s="2" t="s">
        <v>87</v>
      </c>
      <c r="K92" s="61" t="s">
        <v>40</v>
      </c>
      <c r="L92" s="67"/>
    </row>
    <row r="93" spans="1:12" x14ac:dyDescent="0.3">
      <c r="A93" s="253"/>
      <c r="B93" s="41">
        <v>66</v>
      </c>
      <c r="C93" s="7" t="s">
        <v>199</v>
      </c>
      <c r="D93" s="8" t="s">
        <v>271</v>
      </c>
      <c r="E93" s="8" t="s">
        <v>272</v>
      </c>
      <c r="F93" s="8" t="s">
        <v>48</v>
      </c>
      <c r="G93" s="8"/>
      <c r="H93" s="153"/>
      <c r="I93" s="3" t="s">
        <v>40</v>
      </c>
      <c r="J93" s="2" t="s">
        <v>87</v>
      </c>
      <c r="K93" s="61" t="s">
        <v>40</v>
      </c>
      <c r="L93" s="67"/>
    </row>
    <row r="94" spans="1:12" x14ac:dyDescent="0.3">
      <c r="A94" s="254"/>
      <c r="B94" s="41">
        <v>66.099999999999994</v>
      </c>
      <c r="C94" s="7" t="s">
        <v>199</v>
      </c>
      <c r="D94" s="28" t="s">
        <v>273</v>
      </c>
      <c r="E94" s="5" t="s">
        <v>273</v>
      </c>
      <c r="F94" s="43" t="s">
        <v>44</v>
      </c>
      <c r="G94" s="43"/>
      <c r="H94" s="97"/>
      <c r="I94" s="3" t="s">
        <v>40</v>
      </c>
      <c r="J94" s="2" t="s">
        <v>87</v>
      </c>
      <c r="K94" s="61" t="s">
        <v>40</v>
      </c>
      <c r="L94" s="68"/>
    </row>
    <row r="95" spans="1:12" x14ac:dyDescent="0.3">
      <c r="A95" s="248">
        <v>16</v>
      </c>
      <c r="B95" s="38">
        <v>63</v>
      </c>
      <c r="C95" s="14" t="s">
        <v>199</v>
      </c>
      <c r="D95" s="4" t="s">
        <v>347</v>
      </c>
      <c r="E95" s="4" t="s">
        <v>348</v>
      </c>
      <c r="F95" s="4" t="s">
        <v>86</v>
      </c>
      <c r="G95" s="4"/>
      <c r="H95" s="154"/>
      <c r="I95" s="3" t="s">
        <v>40</v>
      </c>
      <c r="J95" s="2" t="s">
        <v>87</v>
      </c>
      <c r="K95" s="61" t="s">
        <v>41</v>
      </c>
      <c r="L95" s="69"/>
    </row>
    <row r="96" spans="1:12" x14ac:dyDescent="0.3">
      <c r="A96" s="248"/>
      <c r="B96" s="38">
        <v>68</v>
      </c>
      <c r="C96" s="14" t="s">
        <v>199</v>
      </c>
      <c r="D96" s="4" t="s">
        <v>345</v>
      </c>
      <c r="E96" s="4" t="s">
        <v>346</v>
      </c>
      <c r="F96" s="4" t="s">
        <v>48</v>
      </c>
      <c r="G96" s="4"/>
      <c r="H96" s="154"/>
      <c r="I96" s="3" t="s">
        <v>40</v>
      </c>
      <c r="J96" s="2" t="s">
        <v>87</v>
      </c>
      <c r="K96" s="61" t="s">
        <v>40</v>
      </c>
      <c r="L96" s="69"/>
    </row>
    <row r="97" spans="1:12" x14ac:dyDescent="0.3">
      <c r="A97" s="248"/>
      <c r="B97" s="38">
        <v>139</v>
      </c>
      <c r="C97" s="14" t="s">
        <v>58</v>
      </c>
      <c r="D97" s="4" t="s">
        <v>314</v>
      </c>
      <c r="E97" s="4" t="s">
        <v>315</v>
      </c>
      <c r="F97" s="4" t="s">
        <v>48</v>
      </c>
      <c r="G97" s="4"/>
      <c r="H97" s="154"/>
      <c r="I97" s="3" t="s">
        <v>40</v>
      </c>
      <c r="J97" s="2" t="s">
        <v>87</v>
      </c>
      <c r="K97" s="58" t="s">
        <v>40</v>
      </c>
      <c r="L97" s="69"/>
    </row>
    <row r="98" spans="1:12" x14ac:dyDescent="0.3">
      <c r="A98" s="248"/>
      <c r="B98" s="38">
        <v>143</v>
      </c>
      <c r="C98" s="14" t="s">
        <v>58</v>
      </c>
      <c r="D98" s="4" t="s">
        <v>286</v>
      </c>
      <c r="E98" s="4" t="s">
        <v>287</v>
      </c>
      <c r="F98" s="4" t="s">
        <v>44</v>
      </c>
      <c r="G98" s="4"/>
      <c r="H98" s="154"/>
      <c r="I98" s="3" t="s">
        <v>40</v>
      </c>
      <c r="J98" s="2" t="s">
        <v>87</v>
      </c>
      <c r="K98" s="58" t="s">
        <v>40</v>
      </c>
      <c r="L98" s="70"/>
    </row>
    <row r="99" spans="1:12" x14ac:dyDescent="0.3">
      <c r="A99" s="252">
        <v>17</v>
      </c>
      <c r="B99" s="41">
        <v>27</v>
      </c>
      <c r="C99" s="7" t="s">
        <v>324</v>
      </c>
      <c r="D99" s="8" t="s">
        <v>375</v>
      </c>
      <c r="E99" s="8" t="s">
        <v>376</v>
      </c>
      <c r="F99" s="73" t="s">
        <v>203</v>
      </c>
      <c r="G99" s="8"/>
      <c r="H99" s="153"/>
      <c r="I99" s="3" t="s">
        <v>40</v>
      </c>
      <c r="J99" s="3" t="s">
        <v>40</v>
      </c>
      <c r="K99" s="63" t="s">
        <v>87</v>
      </c>
      <c r="L99" s="66"/>
    </row>
    <row r="100" spans="1:12" x14ac:dyDescent="0.3">
      <c r="A100" s="254"/>
      <c r="B100" s="41">
        <v>32</v>
      </c>
      <c r="C100" s="7" t="s">
        <v>324</v>
      </c>
      <c r="D100" s="8" t="s">
        <v>325</v>
      </c>
      <c r="E100" s="8" t="s">
        <v>326</v>
      </c>
      <c r="F100" s="8" t="s">
        <v>53</v>
      </c>
      <c r="G100" s="8"/>
      <c r="H100" s="153"/>
      <c r="I100" s="3" t="s">
        <v>40</v>
      </c>
      <c r="J100" s="3" t="s">
        <v>40</v>
      </c>
      <c r="K100" s="63" t="s">
        <v>87</v>
      </c>
      <c r="L100" s="67"/>
    </row>
    <row r="101" spans="1:12" x14ac:dyDescent="0.3">
      <c r="A101" s="248">
        <v>18</v>
      </c>
      <c r="B101" s="38">
        <v>102</v>
      </c>
      <c r="C101" s="14" t="s">
        <v>113</v>
      </c>
      <c r="D101" s="4" t="s">
        <v>114</v>
      </c>
      <c r="E101" s="4" t="s">
        <v>115</v>
      </c>
      <c r="F101" s="4" t="s">
        <v>48</v>
      </c>
      <c r="G101" s="4"/>
      <c r="H101" s="154"/>
      <c r="I101" s="24" t="s">
        <v>39</v>
      </c>
      <c r="J101" s="11" t="s">
        <v>40</v>
      </c>
      <c r="K101" s="58" t="s">
        <v>40</v>
      </c>
      <c r="L101" s="65"/>
    </row>
    <row r="102" spans="1:12" x14ac:dyDescent="0.3">
      <c r="A102" s="248"/>
      <c r="B102" s="38">
        <v>103</v>
      </c>
      <c r="C102" s="14" t="s">
        <v>113</v>
      </c>
      <c r="D102" s="4" t="s">
        <v>120</v>
      </c>
      <c r="E102" s="4" t="s">
        <v>121</v>
      </c>
      <c r="F102" s="4" t="s">
        <v>48</v>
      </c>
      <c r="G102" s="4"/>
      <c r="H102" s="154"/>
      <c r="I102" s="24" t="s">
        <v>39</v>
      </c>
      <c r="J102" s="11" t="s">
        <v>40</v>
      </c>
      <c r="K102" s="58" t="s">
        <v>40</v>
      </c>
      <c r="L102" s="69"/>
    </row>
    <row r="103" spans="1:12" x14ac:dyDescent="0.3">
      <c r="A103" s="248"/>
      <c r="B103" s="38">
        <v>104</v>
      </c>
      <c r="C103" s="14" t="s">
        <v>113</v>
      </c>
      <c r="D103" s="4" t="s">
        <v>116</v>
      </c>
      <c r="E103" s="4" t="s">
        <v>117</v>
      </c>
      <c r="F103" s="4" t="s">
        <v>48</v>
      </c>
      <c r="G103" s="4"/>
      <c r="H103" s="154"/>
      <c r="I103" s="24" t="s">
        <v>39</v>
      </c>
      <c r="J103" s="11" t="s">
        <v>40</v>
      </c>
      <c r="K103" s="58" t="s">
        <v>40</v>
      </c>
      <c r="L103" s="69"/>
    </row>
    <row r="104" spans="1:12" x14ac:dyDescent="0.3">
      <c r="A104" s="248"/>
      <c r="B104" s="38">
        <v>111</v>
      </c>
      <c r="C104" s="14" t="s">
        <v>113</v>
      </c>
      <c r="D104" s="4" t="s">
        <v>118</v>
      </c>
      <c r="E104" s="4" t="s">
        <v>119</v>
      </c>
      <c r="F104" s="4" t="s">
        <v>48</v>
      </c>
      <c r="G104" s="4"/>
      <c r="H104" s="154"/>
      <c r="I104" s="3" t="s">
        <v>40</v>
      </c>
      <c r="J104" s="3" t="s">
        <v>87</v>
      </c>
      <c r="K104" s="58" t="s">
        <v>40</v>
      </c>
      <c r="L104" s="70"/>
    </row>
    <row r="105" spans="1:12" x14ac:dyDescent="0.3">
      <c r="A105" s="247">
        <v>19</v>
      </c>
      <c r="B105" s="41">
        <v>105</v>
      </c>
      <c r="C105" s="7" t="s">
        <v>113</v>
      </c>
      <c r="D105" s="8" t="s">
        <v>122</v>
      </c>
      <c r="E105" s="8" t="s">
        <v>123</v>
      </c>
      <c r="F105" s="8" t="s">
        <v>53</v>
      </c>
      <c r="G105" s="8"/>
      <c r="H105" s="153"/>
      <c r="I105" s="78" t="s">
        <v>39</v>
      </c>
      <c r="J105" s="80" t="s">
        <v>40</v>
      </c>
      <c r="K105" s="84" t="s">
        <v>40</v>
      </c>
      <c r="L105" s="66"/>
    </row>
    <row r="106" spans="1:12" x14ac:dyDescent="0.3">
      <c r="A106" s="247"/>
      <c r="B106" s="41">
        <v>105.1</v>
      </c>
      <c r="C106" s="7" t="s">
        <v>113</v>
      </c>
      <c r="D106" s="40" t="s">
        <v>124</v>
      </c>
      <c r="E106" s="8" t="s">
        <v>125</v>
      </c>
      <c r="F106" s="8" t="s">
        <v>44</v>
      </c>
      <c r="G106" s="8"/>
      <c r="H106" s="153"/>
      <c r="I106" s="78" t="s">
        <v>39</v>
      </c>
      <c r="J106" s="80" t="s">
        <v>40</v>
      </c>
      <c r="K106" s="84" t="s">
        <v>40</v>
      </c>
      <c r="L106" s="67"/>
    </row>
    <row r="107" spans="1:12" x14ac:dyDescent="0.3">
      <c r="A107" s="247"/>
      <c r="B107" s="41">
        <v>106</v>
      </c>
      <c r="C107" s="7" t="s">
        <v>113</v>
      </c>
      <c r="D107" s="8" t="s">
        <v>126</v>
      </c>
      <c r="E107" s="8" t="s">
        <v>127</v>
      </c>
      <c r="F107" s="8" t="s">
        <v>53</v>
      </c>
      <c r="G107" s="8"/>
      <c r="H107" s="153"/>
      <c r="I107" s="78" t="s">
        <v>39</v>
      </c>
      <c r="J107" s="80" t="s">
        <v>40</v>
      </c>
      <c r="K107" s="84" t="s">
        <v>40</v>
      </c>
      <c r="L107" s="67"/>
    </row>
    <row r="108" spans="1:12" x14ac:dyDescent="0.3">
      <c r="A108" s="247"/>
      <c r="B108" s="41">
        <v>107</v>
      </c>
      <c r="C108" s="7" t="s">
        <v>113</v>
      </c>
      <c r="D108" s="8" t="s">
        <v>128</v>
      </c>
      <c r="E108" s="8" t="s">
        <v>129</v>
      </c>
      <c r="F108" s="8" t="s">
        <v>44</v>
      </c>
      <c r="G108" s="8"/>
      <c r="H108" s="153"/>
      <c r="I108" s="78" t="s">
        <v>39</v>
      </c>
      <c r="J108" s="80" t="s">
        <v>40</v>
      </c>
      <c r="K108" s="84" t="s">
        <v>40</v>
      </c>
      <c r="L108" s="67"/>
    </row>
    <row r="109" spans="1:12" x14ac:dyDescent="0.3">
      <c r="A109" s="247"/>
      <c r="B109" s="41">
        <v>108</v>
      </c>
      <c r="C109" s="7" t="s">
        <v>113</v>
      </c>
      <c r="D109" s="8" t="s">
        <v>131</v>
      </c>
      <c r="E109" s="8" t="s">
        <v>132</v>
      </c>
      <c r="F109" s="8" t="s">
        <v>53</v>
      </c>
      <c r="G109" s="8"/>
      <c r="H109" s="153"/>
      <c r="I109" s="78" t="s">
        <v>39</v>
      </c>
      <c r="J109" s="80" t="s">
        <v>40</v>
      </c>
      <c r="K109" s="84" t="s">
        <v>40</v>
      </c>
      <c r="L109" s="68"/>
    </row>
    <row r="110" spans="1:12" x14ac:dyDescent="0.3">
      <c r="A110" s="248">
        <v>20</v>
      </c>
      <c r="B110" s="38">
        <v>69</v>
      </c>
      <c r="C110" s="19" t="s">
        <v>152</v>
      </c>
      <c r="D110" s="4" t="s">
        <v>334</v>
      </c>
      <c r="E110" s="21" t="s">
        <v>335</v>
      </c>
      <c r="F110" s="4" t="s">
        <v>86</v>
      </c>
      <c r="G110" s="4"/>
      <c r="H110" s="154"/>
      <c r="I110" s="3" t="s">
        <v>40</v>
      </c>
      <c r="J110" s="3" t="s">
        <v>87</v>
      </c>
      <c r="K110" s="61" t="s">
        <v>40</v>
      </c>
      <c r="L110" s="65"/>
    </row>
    <row r="111" spans="1:12" x14ac:dyDescent="0.3">
      <c r="A111" s="248"/>
      <c r="B111" s="38">
        <v>70</v>
      </c>
      <c r="C111" s="19" t="s">
        <v>152</v>
      </c>
      <c r="D111" s="4" t="s">
        <v>192</v>
      </c>
      <c r="E111" s="21" t="s">
        <v>193</v>
      </c>
      <c r="F111" s="4" t="s">
        <v>53</v>
      </c>
      <c r="G111" s="4"/>
      <c r="H111" s="154"/>
      <c r="I111" s="3" t="s">
        <v>40</v>
      </c>
      <c r="J111" s="3" t="s">
        <v>87</v>
      </c>
      <c r="K111" s="61" t="s">
        <v>40</v>
      </c>
      <c r="L111" s="69"/>
    </row>
    <row r="112" spans="1:12" x14ac:dyDescent="0.3">
      <c r="A112" s="248"/>
      <c r="B112" s="38">
        <v>71</v>
      </c>
      <c r="C112" s="19" t="s">
        <v>152</v>
      </c>
      <c r="D112" s="4" t="s">
        <v>264</v>
      </c>
      <c r="E112" s="21" t="s">
        <v>265</v>
      </c>
      <c r="F112" s="4" t="s">
        <v>48</v>
      </c>
      <c r="G112" s="4"/>
      <c r="H112" s="154"/>
      <c r="I112" s="3" t="s">
        <v>40</v>
      </c>
      <c r="J112" s="3" t="s">
        <v>87</v>
      </c>
      <c r="K112" s="61" t="s">
        <v>40</v>
      </c>
      <c r="L112" s="69"/>
    </row>
    <row r="113" spans="1:12" x14ac:dyDescent="0.3">
      <c r="A113" s="248"/>
      <c r="B113" s="38">
        <v>72</v>
      </c>
      <c r="C113" s="19" t="s">
        <v>152</v>
      </c>
      <c r="D113" s="4" t="s">
        <v>153</v>
      </c>
      <c r="E113" s="21" t="s">
        <v>154</v>
      </c>
      <c r="F113" s="4" t="s">
        <v>44</v>
      </c>
      <c r="G113" s="4"/>
      <c r="H113" s="154"/>
      <c r="I113" s="3" t="s">
        <v>40</v>
      </c>
      <c r="J113" s="3" t="s">
        <v>87</v>
      </c>
      <c r="K113" s="61" t="s">
        <v>40</v>
      </c>
      <c r="L113" s="69"/>
    </row>
    <row r="114" spans="1:12" x14ac:dyDescent="0.3">
      <c r="A114" s="248"/>
      <c r="B114" s="38">
        <v>73</v>
      </c>
      <c r="C114" s="19" t="s">
        <v>152</v>
      </c>
      <c r="D114" s="4" t="s">
        <v>180</v>
      </c>
      <c r="E114" s="21" t="s">
        <v>181</v>
      </c>
      <c r="F114" s="4" t="s">
        <v>53</v>
      </c>
      <c r="G114" s="4"/>
      <c r="H114" s="154"/>
      <c r="I114" s="3" t="s">
        <v>40</v>
      </c>
      <c r="J114" s="3" t="s">
        <v>87</v>
      </c>
      <c r="K114" s="61" t="s">
        <v>40</v>
      </c>
      <c r="L114" s="69"/>
    </row>
    <row r="115" spans="1:12" x14ac:dyDescent="0.3">
      <c r="A115" s="248"/>
      <c r="B115" s="38">
        <v>74</v>
      </c>
      <c r="C115" s="19" t="s">
        <v>152</v>
      </c>
      <c r="D115" s="4" t="s">
        <v>163</v>
      </c>
      <c r="E115" s="21" t="s">
        <v>164</v>
      </c>
      <c r="F115" s="4" t="s">
        <v>53</v>
      </c>
      <c r="G115" s="4"/>
      <c r="H115" s="154"/>
      <c r="I115" s="3" t="s">
        <v>40</v>
      </c>
      <c r="J115" s="3" t="s">
        <v>87</v>
      </c>
      <c r="K115" s="61" t="s">
        <v>40</v>
      </c>
      <c r="L115" s="70"/>
    </row>
    <row r="116" spans="1:12" x14ac:dyDescent="0.3">
      <c r="A116" s="247">
        <v>21</v>
      </c>
      <c r="B116" s="41">
        <v>75</v>
      </c>
      <c r="C116" s="16" t="s">
        <v>152</v>
      </c>
      <c r="D116" s="8" t="s">
        <v>165</v>
      </c>
      <c r="E116" s="25" t="s">
        <v>166</v>
      </c>
      <c r="F116" s="8" t="s">
        <v>53</v>
      </c>
      <c r="G116" s="8"/>
      <c r="H116" s="153"/>
      <c r="I116" s="75" t="s">
        <v>40</v>
      </c>
      <c r="J116" s="75" t="s">
        <v>87</v>
      </c>
      <c r="K116" s="76" t="s">
        <v>40</v>
      </c>
      <c r="L116" s="66"/>
    </row>
    <row r="117" spans="1:12" x14ac:dyDescent="0.3">
      <c r="A117" s="247"/>
      <c r="B117" s="41">
        <v>76</v>
      </c>
      <c r="C117" s="16" t="s">
        <v>152</v>
      </c>
      <c r="D117" s="8" t="s">
        <v>274</v>
      </c>
      <c r="E117" s="25" t="s">
        <v>275</v>
      </c>
      <c r="F117" s="8" t="s">
        <v>53</v>
      </c>
      <c r="G117" s="8"/>
      <c r="H117" s="153"/>
      <c r="I117" s="75" t="s">
        <v>40</v>
      </c>
      <c r="J117" s="75" t="s">
        <v>87</v>
      </c>
      <c r="K117" s="76" t="s">
        <v>40</v>
      </c>
      <c r="L117" s="67"/>
    </row>
    <row r="118" spans="1:12" x14ac:dyDescent="0.3">
      <c r="A118" s="247"/>
      <c r="B118" s="41">
        <v>77</v>
      </c>
      <c r="C118" s="16" t="s">
        <v>152</v>
      </c>
      <c r="D118" s="8" t="s">
        <v>155</v>
      </c>
      <c r="E118" s="25" t="s">
        <v>156</v>
      </c>
      <c r="F118" s="8" t="s">
        <v>44</v>
      </c>
      <c r="G118" s="8"/>
      <c r="H118" s="153"/>
      <c r="I118" s="75" t="s">
        <v>40</v>
      </c>
      <c r="J118" s="75" t="s">
        <v>87</v>
      </c>
      <c r="K118" s="76" t="s">
        <v>40</v>
      </c>
      <c r="L118" s="67"/>
    </row>
    <row r="119" spans="1:12" x14ac:dyDescent="0.3">
      <c r="A119" s="247"/>
      <c r="B119" s="41">
        <v>78</v>
      </c>
      <c r="C119" s="16" t="s">
        <v>152</v>
      </c>
      <c r="D119" s="8" t="s">
        <v>294</v>
      </c>
      <c r="E119" s="25" t="s">
        <v>295</v>
      </c>
      <c r="F119" s="8" t="s">
        <v>53</v>
      </c>
      <c r="G119" s="8"/>
      <c r="H119" s="153"/>
      <c r="I119" s="75" t="s">
        <v>40</v>
      </c>
      <c r="J119" s="75" t="s">
        <v>87</v>
      </c>
      <c r="K119" s="76" t="s">
        <v>40</v>
      </c>
      <c r="L119" s="67"/>
    </row>
    <row r="120" spans="1:12" x14ac:dyDescent="0.3">
      <c r="A120" s="247"/>
      <c r="B120" s="41">
        <v>79</v>
      </c>
      <c r="C120" s="16" t="s">
        <v>152</v>
      </c>
      <c r="D120" s="8" t="s">
        <v>304</v>
      </c>
      <c r="E120" s="25" t="s">
        <v>305</v>
      </c>
      <c r="F120" s="8" t="s">
        <v>44</v>
      </c>
      <c r="G120" s="8"/>
      <c r="H120" s="153"/>
      <c r="I120" s="75" t="s">
        <v>40</v>
      </c>
      <c r="J120" s="75" t="s">
        <v>87</v>
      </c>
      <c r="K120" s="76" t="s">
        <v>40</v>
      </c>
      <c r="L120" s="68"/>
    </row>
    <row r="121" spans="1:12" x14ac:dyDescent="0.3">
      <c r="A121" s="248">
        <v>22</v>
      </c>
      <c r="B121" s="38">
        <v>82</v>
      </c>
      <c r="C121" s="14" t="s">
        <v>227</v>
      </c>
      <c r="D121" s="4" t="s">
        <v>276</v>
      </c>
      <c r="E121" s="4" t="s">
        <v>277</v>
      </c>
      <c r="F121" s="4" t="s">
        <v>44</v>
      </c>
      <c r="G121" s="4"/>
      <c r="H121" s="154"/>
      <c r="I121" s="3" t="s">
        <v>49</v>
      </c>
      <c r="J121" s="11" t="s">
        <v>40</v>
      </c>
      <c r="K121" s="58" t="s">
        <v>40</v>
      </c>
      <c r="L121" s="65"/>
    </row>
    <row r="122" spans="1:12" x14ac:dyDescent="0.3">
      <c r="A122" s="248"/>
      <c r="B122" s="38">
        <v>83</v>
      </c>
      <c r="C122" s="14" t="s">
        <v>227</v>
      </c>
      <c r="D122" s="4" t="s">
        <v>278</v>
      </c>
      <c r="E122" s="4" t="s">
        <v>279</v>
      </c>
      <c r="F122" s="4" t="s">
        <v>53</v>
      </c>
      <c r="G122" s="4"/>
      <c r="H122" s="154"/>
      <c r="I122" s="3" t="s">
        <v>49</v>
      </c>
      <c r="J122" s="11" t="s">
        <v>40</v>
      </c>
      <c r="K122" s="58" t="s">
        <v>40</v>
      </c>
      <c r="L122" s="69"/>
    </row>
    <row r="123" spans="1:12" x14ac:dyDescent="0.3">
      <c r="A123" s="248"/>
      <c r="B123" s="38">
        <v>84</v>
      </c>
      <c r="C123" s="14" t="s">
        <v>227</v>
      </c>
      <c r="D123" s="4" t="s">
        <v>280</v>
      </c>
      <c r="E123" s="4" t="s">
        <v>281</v>
      </c>
      <c r="F123" s="4" t="s">
        <v>48</v>
      </c>
      <c r="G123" s="4"/>
      <c r="H123" s="154"/>
      <c r="I123" s="3" t="s">
        <v>49</v>
      </c>
      <c r="J123" s="11" t="s">
        <v>40</v>
      </c>
      <c r="K123" s="58" t="s">
        <v>40</v>
      </c>
      <c r="L123" s="69"/>
    </row>
    <row r="124" spans="1:12" x14ac:dyDescent="0.3">
      <c r="A124" s="248"/>
      <c r="B124" s="38">
        <v>85</v>
      </c>
      <c r="C124" s="14" t="s">
        <v>227</v>
      </c>
      <c r="D124" s="4" t="s">
        <v>282</v>
      </c>
      <c r="E124" s="4" t="s">
        <v>283</v>
      </c>
      <c r="F124" s="4" t="s">
        <v>86</v>
      </c>
      <c r="G124" s="4"/>
      <c r="H124" s="154"/>
      <c r="I124" s="3" t="s">
        <v>49</v>
      </c>
      <c r="J124" s="11" t="s">
        <v>40</v>
      </c>
      <c r="K124" s="58" t="s">
        <v>40</v>
      </c>
      <c r="L124" s="69"/>
    </row>
    <row r="125" spans="1:12" x14ac:dyDescent="0.3">
      <c r="A125" s="248"/>
      <c r="B125" s="38">
        <v>86</v>
      </c>
      <c r="C125" s="14" t="s">
        <v>227</v>
      </c>
      <c r="D125" s="4" t="s">
        <v>284</v>
      </c>
      <c r="E125" s="4" t="s">
        <v>285</v>
      </c>
      <c r="F125" s="4" t="s">
        <v>44</v>
      </c>
      <c r="G125" s="4"/>
      <c r="H125" s="154"/>
      <c r="I125" s="3" t="s">
        <v>49</v>
      </c>
      <c r="J125" s="11" t="s">
        <v>40</v>
      </c>
      <c r="K125" s="58" t="s">
        <v>40</v>
      </c>
      <c r="L125" s="70"/>
    </row>
    <row r="126" spans="1:12" x14ac:dyDescent="0.3">
      <c r="A126" s="247">
        <v>23</v>
      </c>
      <c r="B126" s="41">
        <v>87</v>
      </c>
      <c r="C126" s="7" t="s">
        <v>227</v>
      </c>
      <c r="D126" s="8" t="s">
        <v>288</v>
      </c>
      <c r="E126" s="8" t="s">
        <v>289</v>
      </c>
      <c r="F126" s="8" t="s">
        <v>38</v>
      </c>
      <c r="G126" s="8"/>
      <c r="H126" s="153"/>
      <c r="I126" s="75" t="s">
        <v>49</v>
      </c>
      <c r="J126" s="80" t="s">
        <v>40</v>
      </c>
      <c r="K126" s="84" t="s">
        <v>40</v>
      </c>
      <c r="L126" s="66"/>
    </row>
    <row r="127" spans="1:12" x14ac:dyDescent="0.3">
      <c r="A127" s="247"/>
      <c r="B127" s="41">
        <v>87.1</v>
      </c>
      <c r="C127" s="7" t="s">
        <v>227</v>
      </c>
      <c r="D127" s="28" t="s">
        <v>290</v>
      </c>
      <c r="E127" s="5" t="s">
        <v>291</v>
      </c>
      <c r="F127" s="46" t="s">
        <v>53</v>
      </c>
      <c r="G127" s="46"/>
      <c r="H127" s="92"/>
      <c r="I127" s="75" t="s">
        <v>49</v>
      </c>
      <c r="J127" s="80" t="s">
        <v>40</v>
      </c>
      <c r="K127" s="84" t="s">
        <v>40</v>
      </c>
      <c r="L127" s="67"/>
    </row>
    <row r="128" spans="1:12" x14ac:dyDescent="0.3">
      <c r="A128" s="247"/>
      <c r="B128" s="41">
        <v>89</v>
      </c>
      <c r="C128" s="7" t="s">
        <v>45</v>
      </c>
      <c r="D128" s="8" t="s">
        <v>296</v>
      </c>
      <c r="E128" s="8" t="s">
        <v>297</v>
      </c>
      <c r="F128" s="8" t="s">
        <v>48</v>
      </c>
      <c r="G128" s="8"/>
      <c r="H128" s="153"/>
      <c r="I128" s="75" t="s">
        <v>49</v>
      </c>
      <c r="J128" s="80" t="s">
        <v>40</v>
      </c>
      <c r="K128" s="84" t="s">
        <v>40</v>
      </c>
      <c r="L128" s="67"/>
    </row>
    <row r="129" spans="1:12" x14ac:dyDescent="0.3">
      <c r="A129" s="247"/>
      <c r="B129" s="41">
        <v>91</v>
      </c>
      <c r="C129" s="7" t="s">
        <v>45</v>
      </c>
      <c r="D129" s="8" t="s">
        <v>298</v>
      </c>
      <c r="E129" s="8" t="s">
        <v>299</v>
      </c>
      <c r="F129" s="8" t="s">
        <v>53</v>
      </c>
      <c r="G129" s="8"/>
      <c r="H129" s="153"/>
      <c r="I129" s="75" t="s">
        <v>49</v>
      </c>
      <c r="J129" s="80" t="s">
        <v>40</v>
      </c>
      <c r="K129" s="84" t="s">
        <v>40</v>
      </c>
      <c r="L129" s="67"/>
    </row>
    <row r="130" spans="1:12" x14ac:dyDescent="0.3">
      <c r="A130" s="247"/>
      <c r="B130" s="41">
        <v>92</v>
      </c>
      <c r="C130" s="7" t="s">
        <v>45</v>
      </c>
      <c r="D130" s="8" t="s">
        <v>300</v>
      </c>
      <c r="E130" s="8" t="s">
        <v>301</v>
      </c>
      <c r="F130" s="8" t="s">
        <v>86</v>
      </c>
      <c r="G130" s="8"/>
      <c r="H130" s="153"/>
      <c r="I130" s="75" t="s">
        <v>49</v>
      </c>
      <c r="J130" s="80" t="s">
        <v>40</v>
      </c>
      <c r="K130" s="84" t="s">
        <v>40</v>
      </c>
      <c r="L130" s="67"/>
    </row>
    <row r="131" spans="1:12" x14ac:dyDescent="0.3">
      <c r="A131" s="247"/>
      <c r="B131" s="41">
        <v>92.1</v>
      </c>
      <c r="C131" s="7" t="s">
        <v>45</v>
      </c>
      <c r="D131" s="40" t="s">
        <v>302</v>
      </c>
      <c r="E131" s="8" t="s">
        <v>303</v>
      </c>
      <c r="F131" s="8" t="s">
        <v>53</v>
      </c>
      <c r="G131" s="8"/>
      <c r="H131" s="153"/>
      <c r="I131" s="75" t="s">
        <v>49</v>
      </c>
      <c r="J131" s="80" t="s">
        <v>40</v>
      </c>
      <c r="K131" s="84" t="s">
        <v>40</v>
      </c>
      <c r="L131" s="67"/>
    </row>
    <row r="132" spans="1:12" x14ac:dyDescent="0.3">
      <c r="A132" s="247"/>
      <c r="B132" s="41">
        <v>3</v>
      </c>
      <c r="C132" s="7" t="s">
        <v>50</v>
      </c>
      <c r="D132" s="8" t="s">
        <v>292</v>
      </c>
      <c r="E132" s="8" t="s">
        <v>293</v>
      </c>
      <c r="F132" s="8" t="s">
        <v>86</v>
      </c>
      <c r="G132" s="8"/>
      <c r="H132" s="153"/>
      <c r="I132" s="75" t="s">
        <v>49</v>
      </c>
      <c r="J132" s="75" t="s">
        <v>40</v>
      </c>
      <c r="K132" s="76" t="s">
        <v>40</v>
      </c>
      <c r="L132" s="68"/>
    </row>
    <row r="133" spans="1:12" x14ac:dyDescent="0.3">
      <c r="A133" s="248">
        <v>24</v>
      </c>
      <c r="B133" s="38">
        <v>115</v>
      </c>
      <c r="C133" s="19" t="s">
        <v>364</v>
      </c>
      <c r="D133" s="4" t="s">
        <v>365</v>
      </c>
      <c r="E133" s="21" t="s">
        <v>366</v>
      </c>
      <c r="F133" s="4" t="s">
        <v>44</v>
      </c>
      <c r="G133" s="4"/>
      <c r="H133" s="154"/>
      <c r="I133" s="3" t="s">
        <v>49</v>
      </c>
      <c r="J133" s="3" t="s">
        <v>41</v>
      </c>
      <c r="K133" s="61" t="s">
        <v>40</v>
      </c>
      <c r="L133" s="65"/>
    </row>
    <row r="134" spans="1:12" x14ac:dyDescent="0.3">
      <c r="A134" s="248"/>
      <c r="B134" s="38">
        <v>116</v>
      </c>
      <c r="C134" s="19" t="s">
        <v>364</v>
      </c>
      <c r="D134" s="4" t="s">
        <v>367</v>
      </c>
      <c r="E134" s="21" t="s">
        <v>368</v>
      </c>
      <c r="F134" s="4" t="s">
        <v>53</v>
      </c>
      <c r="G134" s="4"/>
      <c r="H134" s="154"/>
      <c r="I134" s="3" t="s">
        <v>49</v>
      </c>
      <c r="J134" s="3" t="s">
        <v>41</v>
      </c>
      <c r="K134" s="61" t="s">
        <v>40</v>
      </c>
      <c r="L134" s="69"/>
    </row>
    <row r="135" spans="1:12" x14ac:dyDescent="0.3">
      <c r="A135" s="248"/>
      <c r="B135" s="38">
        <v>116.1</v>
      </c>
      <c r="C135" s="19" t="s">
        <v>364</v>
      </c>
      <c r="D135" s="37" t="s">
        <v>369</v>
      </c>
      <c r="E135" s="21" t="s">
        <v>370</v>
      </c>
      <c r="F135" s="4" t="s">
        <v>44</v>
      </c>
      <c r="G135" s="4"/>
      <c r="H135" s="154"/>
      <c r="I135" s="3" t="s">
        <v>49</v>
      </c>
      <c r="J135" s="3" t="s">
        <v>41</v>
      </c>
      <c r="K135" s="61" t="s">
        <v>40</v>
      </c>
      <c r="L135" s="69"/>
    </row>
    <row r="136" spans="1:12" x14ac:dyDescent="0.3">
      <c r="A136" s="248"/>
      <c r="B136" s="38">
        <v>117</v>
      </c>
      <c r="C136" s="19" t="s">
        <v>364</v>
      </c>
      <c r="D136" s="4" t="s">
        <v>371</v>
      </c>
      <c r="E136" s="21" t="s">
        <v>372</v>
      </c>
      <c r="F136" s="4" t="s">
        <v>53</v>
      </c>
      <c r="G136" s="4"/>
      <c r="H136" s="154"/>
      <c r="I136" s="3" t="s">
        <v>49</v>
      </c>
      <c r="J136" s="3" t="s">
        <v>41</v>
      </c>
      <c r="K136" s="61" t="s">
        <v>40</v>
      </c>
      <c r="L136" s="69"/>
    </row>
    <row r="137" spans="1:12" ht="15" customHeight="1" x14ac:dyDescent="0.3">
      <c r="A137" s="248"/>
      <c r="B137" s="38">
        <v>117.1</v>
      </c>
      <c r="C137" s="19" t="s">
        <v>364</v>
      </c>
      <c r="D137" s="31" t="s">
        <v>373</v>
      </c>
      <c r="E137" s="32" t="s">
        <v>374</v>
      </c>
      <c r="F137" s="39" t="s">
        <v>44</v>
      </c>
      <c r="G137" s="39"/>
      <c r="H137" s="95"/>
      <c r="I137" s="3" t="s">
        <v>49</v>
      </c>
      <c r="J137" s="3" t="s">
        <v>41</v>
      </c>
      <c r="K137" s="61" t="s">
        <v>40</v>
      </c>
      <c r="L137" s="69"/>
    </row>
    <row r="138" spans="1:12" x14ac:dyDescent="0.3">
      <c r="A138" s="248"/>
      <c r="B138" s="38">
        <v>126</v>
      </c>
      <c r="C138" s="14" t="s">
        <v>58</v>
      </c>
      <c r="D138" s="4" t="s">
        <v>306</v>
      </c>
      <c r="E138" s="4" t="s">
        <v>307</v>
      </c>
      <c r="F138" s="4" t="s">
        <v>86</v>
      </c>
      <c r="G138" s="4"/>
      <c r="H138" s="154"/>
      <c r="I138" s="3" t="s">
        <v>49</v>
      </c>
      <c r="J138" s="11" t="s">
        <v>40</v>
      </c>
      <c r="K138" s="58" t="s">
        <v>40</v>
      </c>
      <c r="L138" s="70"/>
    </row>
    <row r="139" spans="1:12" x14ac:dyDescent="0.3">
      <c r="A139" s="247">
        <v>25</v>
      </c>
      <c r="B139" s="41">
        <v>135</v>
      </c>
      <c r="C139" s="7" t="s">
        <v>58</v>
      </c>
      <c r="D139" s="10" t="s">
        <v>318</v>
      </c>
      <c r="E139" s="10" t="s">
        <v>319</v>
      </c>
      <c r="F139" s="10" t="s">
        <v>86</v>
      </c>
      <c r="G139" s="10"/>
      <c r="H139" s="88" t="s">
        <v>55</v>
      </c>
      <c r="I139" s="9"/>
      <c r="J139" s="9"/>
      <c r="K139" s="59"/>
      <c r="L139" s="66"/>
    </row>
    <row r="140" spans="1:12" x14ac:dyDescent="0.3">
      <c r="A140" s="247"/>
      <c r="B140" s="41">
        <v>135.1</v>
      </c>
      <c r="C140" s="7" t="s">
        <v>58</v>
      </c>
      <c r="D140" s="85" t="s">
        <v>320</v>
      </c>
      <c r="E140" s="86" t="s">
        <v>320</v>
      </c>
      <c r="F140" s="87" t="s">
        <v>44</v>
      </c>
      <c r="G140" s="87"/>
      <c r="H140" s="88" t="s">
        <v>55</v>
      </c>
      <c r="I140" s="9"/>
      <c r="J140" s="9"/>
      <c r="K140" s="59"/>
      <c r="L140" s="67"/>
    </row>
    <row r="141" spans="1:12" x14ac:dyDescent="0.3">
      <c r="A141" s="247"/>
      <c r="B141" s="41">
        <v>135.19999999999999</v>
      </c>
      <c r="C141" s="7" t="s">
        <v>58</v>
      </c>
      <c r="D141" s="85" t="s">
        <v>321</v>
      </c>
      <c r="E141" s="86" t="s">
        <v>321</v>
      </c>
      <c r="F141" s="87" t="s">
        <v>44</v>
      </c>
      <c r="G141" s="87"/>
      <c r="H141" s="88" t="s">
        <v>55</v>
      </c>
      <c r="I141" s="9"/>
      <c r="J141" s="9"/>
      <c r="K141" s="59"/>
      <c r="L141" s="67"/>
    </row>
    <row r="142" spans="1:12" x14ac:dyDescent="0.3">
      <c r="A142" s="247"/>
      <c r="B142" s="41">
        <v>132</v>
      </c>
      <c r="C142" s="7" t="s">
        <v>58</v>
      </c>
      <c r="D142" s="8" t="s">
        <v>308</v>
      </c>
      <c r="E142" s="8" t="s">
        <v>309</v>
      </c>
      <c r="F142" s="8" t="s">
        <v>53</v>
      </c>
      <c r="G142" s="8"/>
      <c r="H142" s="153"/>
      <c r="I142" s="75" t="s">
        <v>49</v>
      </c>
      <c r="J142" s="80" t="s">
        <v>40</v>
      </c>
      <c r="K142" s="84" t="s">
        <v>40</v>
      </c>
      <c r="L142" s="67"/>
    </row>
    <row r="143" spans="1:12" x14ac:dyDescent="0.3">
      <c r="A143" s="247"/>
      <c r="B143" s="41">
        <v>133</v>
      </c>
      <c r="C143" s="7" t="s">
        <v>58</v>
      </c>
      <c r="D143" s="8" t="s">
        <v>310</v>
      </c>
      <c r="E143" s="8" t="s">
        <v>311</v>
      </c>
      <c r="F143" s="8" t="s">
        <v>86</v>
      </c>
      <c r="G143" s="8"/>
      <c r="H143" s="153"/>
      <c r="I143" s="75" t="s">
        <v>49</v>
      </c>
      <c r="J143" s="80" t="s">
        <v>40</v>
      </c>
      <c r="K143" s="84" t="s">
        <v>40</v>
      </c>
      <c r="L143" s="67"/>
    </row>
    <row r="144" spans="1:12" x14ac:dyDescent="0.3">
      <c r="A144" s="247"/>
      <c r="B144" s="41">
        <v>133.1</v>
      </c>
      <c r="C144" s="7" t="s">
        <v>58</v>
      </c>
      <c r="D144" s="28" t="s">
        <v>312</v>
      </c>
      <c r="E144" s="5" t="s">
        <v>313</v>
      </c>
      <c r="F144" s="46" t="s">
        <v>44</v>
      </c>
      <c r="G144" s="46"/>
      <c r="H144" s="92"/>
      <c r="I144" s="75" t="s">
        <v>49</v>
      </c>
      <c r="J144" s="80" t="s">
        <v>40</v>
      </c>
      <c r="K144" s="84" t="s">
        <v>40</v>
      </c>
      <c r="L144" s="67"/>
    </row>
    <row r="145" spans="1:12" x14ac:dyDescent="0.3">
      <c r="A145" s="247"/>
      <c r="B145" s="41">
        <v>134</v>
      </c>
      <c r="C145" s="7" t="s">
        <v>58</v>
      </c>
      <c r="D145" s="8" t="s">
        <v>316</v>
      </c>
      <c r="E145" s="8" t="s">
        <v>317</v>
      </c>
      <c r="F145" s="8" t="s">
        <v>48</v>
      </c>
      <c r="G145" s="8"/>
      <c r="H145" s="153"/>
      <c r="I145" s="75" t="s">
        <v>49</v>
      </c>
      <c r="J145" s="80" t="s">
        <v>40</v>
      </c>
      <c r="K145" s="84" t="s">
        <v>40</v>
      </c>
      <c r="L145" s="67"/>
    </row>
    <row r="146" spans="1:12" x14ac:dyDescent="0.3">
      <c r="A146" s="247"/>
      <c r="B146" s="41">
        <v>136</v>
      </c>
      <c r="C146" s="7" t="s">
        <v>58</v>
      </c>
      <c r="D146" s="8" t="s">
        <v>322</v>
      </c>
      <c r="E146" s="8" t="s">
        <v>323</v>
      </c>
      <c r="F146" s="8" t="s">
        <v>44</v>
      </c>
      <c r="G146" s="8"/>
      <c r="H146" s="153"/>
      <c r="I146" s="75" t="s">
        <v>49</v>
      </c>
      <c r="J146" s="80" t="s">
        <v>40</v>
      </c>
      <c r="K146" s="84" t="s">
        <v>40</v>
      </c>
      <c r="L146" s="68"/>
    </row>
    <row r="147" spans="1:12" ht="15" customHeight="1" x14ac:dyDescent="0.3">
      <c r="A147" s="248">
        <v>26</v>
      </c>
      <c r="B147" s="38">
        <v>15</v>
      </c>
      <c r="C147" s="14" t="s">
        <v>35</v>
      </c>
      <c r="D147" s="4" t="s">
        <v>351</v>
      </c>
      <c r="E147" s="4" t="s">
        <v>352</v>
      </c>
      <c r="F147" s="4" t="s">
        <v>53</v>
      </c>
      <c r="G147" s="4"/>
      <c r="H147" s="154"/>
      <c r="I147" s="3" t="s">
        <v>49</v>
      </c>
      <c r="J147" s="3" t="s">
        <v>40</v>
      </c>
      <c r="K147" s="61" t="s">
        <v>40</v>
      </c>
      <c r="L147" s="65"/>
    </row>
    <row r="148" spans="1:12" ht="15" customHeight="1" x14ac:dyDescent="0.3">
      <c r="A148" s="248"/>
      <c r="B148" s="38">
        <v>18</v>
      </c>
      <c r="C148" s="14" t="s">
        <v>35</v>
      </c>
      <c r="D148" s="4" t="s">
        <v>353</v>
      </c>
      <c r="E148" s="4" t="s">
        <v>354</v>
      </c>
      <c r="F148" s="4" t="s">
        <v>53</v>
      </c>
      <c r="G148" s="4"/>
      <c r="H148" s="154"/>
      <c r="I148" s="3" t="s">
        <v>49</v>
      </c>
      <c r="J148" s="3" t="s">
        <v>41</v>
      </c>
      <c r="K148" s="61" t="s">
        <v>41</v>
      </c>
      <c r="L148" s="69"/>
    </row>
    <row r="149" spans="1:12" x14ac:dyDescent="0.3">
      <c r="A149" s="248"/>
      <c r="B149" s="38">
        <v>22</v>
      </c>
      <c r="C149" s="14" t="s">
        <v>35</v>
      </c>
      <c r="D149" s="4" t="s">
        <v>355</v>
      </c>
      <c r="E149" s="4" t="s">
        <v>356</v>
      </c>
      <c r="F149" s="4" t="s">
        <v>53</v>
      </c>
      <c r="G149" s="4"/>
      <c r="H149" s="154"/>
      <c r="I149" s="3" t="s">
        <v>70</v>
      </c>
      <c r="J149" s="3" t="s">
        <v>40</v>
      </c>
      <c r="K149" s="61" t="s">
        <v>40</v>
      </c>
      <c r="L149" s="69"/>
    </row>
    <row r="150" spans="1:12" x14ac:dyDescent="0.3">
      <c r="A150" s="252">
        <v>27</v>
      </c>
      <c r="B150" s="41">
        <v>113.1</v>
      </c>
      <c r="C150" s="7" t="s">
        <v>327</v>
      </c>
      <c r="D150" s="22" t="s">
        <v>328</v>
      </c>
      <c r="E150" s="8" t="s">
        <v>329</v>
      </c>
      <c r="F150" s="8" t="s">
        <v>48</v>
      </c>
      <c r="G150" s="8"/>
      <c r="H150" s="153"/>
      <c r="I150" s="78" t="s">
        <v>39</v>
      </c>
      <c r="J150" s="80" t="s">
        <v>40</v>
      </c>
      <c r="K150" s="76" t="s">
        <v>87</v>
      </c>
      <c r="L150" s="66"/>
    </row>
    <row r="151" spans="1:12" x14ac:dyDescent="0.3">
      <c r="A151" s="253"/>
      <c r="B151" s="41">
        <v>114</v>
      </c>
      <c r="C151" s="7" t="s">
        <v>327</v>
      </c>
      <c r="D151" s="44" t="s">
        <v>330</v>
      </c>
      <c r="E151" s="8" t="s">
        <v>331</v>
      </c>
      <c r="F151" s="8" t="s">
        <v>86</v>
      </c>
      <c r="G151" s="8"/>
      <c r="H151" s="153"/>
      <c r="I151" s="78" t="s">
        <v>39</v>
      </c>
      <c r="J151" s="80" t="s">
        <v>40</v>
      </c>
      <c r="K151" s="84" t="s">
        <v>40</v>
      </c>
      <c r="L151" s="67"/>
    </row>
    <row r="152" spans="1:12" x14ac:dyDescent="0.3">
      <c r="A152" s="253"/>
      <c r="B152" s="41">
        <v>113.6</v>
      </c>
      <c r="C152" s="7" t="s">
        <v>327</v>
      </c>
      <c r="D152" s="22" t="s">
        <v>332</v>
      </c>
      <c r="E152" s="8" t="s">
        <v>333</v>
      </c>
      <c r="F152" s="8" t="s">
        <v>48</v>
      </c>
      <c r="G152" s="8"/>
      <c r="H152" s="153"/>
      <c r="I152" s="75" t="s">
        <v>70</v>
      </c>
      <c r="J152" s="80" t="s">
        <v>40</v>
      </c>
      <c r="K152" s="84" t="s">
        <v>40</v>
      </c>
      <c r="L152" s="67"/>
    </row>
    <row r="153" spans="1:12" x14ac:dyDescent="0.3">
      <c r="A153" s="253"/>
      <c r="B153" s="41">
        <v>113.2</v>
      </c>
      <c r="C153" s="7" t="s">
        <v>327</v>
      </c>
      <c r="D153" s="22" t="s">
        <v>338</v>
      </c>
      <c r="E153" s="8" t="s">
        <v>339</v>
      </c>
      <c r="F153" s="8" t="s">
        <v>48</v>
      </c>
      <c r="G153" s="8"/>
      <c r="H153" s="153"/>
      <c r="I153" s="75" t="s">
        <v>40</v>
      </c>
      <c r="J153" s="78" t="s">
        <v>87</v>
      </c>
      <c r="K153" s="84" t="s">
        <v>40</v>
      </c>
      <c r="L153" s="67"/>
    </row>
    <row r="154" spans="1:12" x14ac:dyDescent="0.3">
      <c r="A154" s="253"/>
      <c r="B154" s="41">
        <v>113.3</v>
      </c>
      <c r="C154" s="7" t="s">
        <v>327</v>
      </c>
      <c r="D154" s="22" t="s">
        <v>340</v>
      </c>
      <c r="E154" s="8" t="s">
        <v>339</v>
      </c>
      <c r="F154" s="8" t="s">
        <v>48</v>
      </c>
      <c r="G154" s="8"/>
      <c r="H154" s="153"/>
      <c r="I154" s="75" t="s">
        <v>40</v>
      </c>
      <c r="J154" s="78" t="s">
        <v>87</v>
      </c>
      <c r="K154" s="84" t="s">
        <v>40</v>
      </c>
      <c r="L154" s="67"/>
    </row>
    <row r="155" spans="1:12" x14ac:dyDescent="0.3">
      <c r="A155" s="253"/>
      <c r="B155" s="41">
        <v>113.4</v>
      </c>
      <c r="C155" s="7" t="s">
        <v>327</v>
      </c>
      <c r="D155" s="22" t="s">
        <v>341</v>
      </c>
      <c r="E155" s="8" t="s">
        <v>339</v>
      </c>
      <c r="F155" s="8" t="s">
        <v>48</v>
      </c>
      <c r="G155" s="8"/>
      <c r="H155" s="153"/>
      <c r="I155" s="75" t="s">
        <v>40</v>
      </c>
      <c r="J155" s="78" t="s">
        <v>87</v>
      </c>
      <c r="K155" s="84" t="s">
        <v>40</v>
      </c>
      <c r="L155" s="67"/>
    </row>
    <row r="156" spans="1:12" x14ac:dyDescent="0.3">
      <c r="A156" s="253"/>
      <c r="B156" s="41">
        <v>113.5</v>
      </c>
      <c r="C156" s="7" t="s">
        <v>327</v>
      </c>
      <c r="D156" s="22" t="s">
        <v>342</v>
      </c>
      <c r="E156" s="8" t="s">
        <v>339</v>
      </c>
      <c r="F156" s="8" t="s">
        <v>48</v>
      </c>
      <c r="G156" s="8"/>
      <c r="H156" s="153"/>
      <c r="I156" s="75" t="s">
        <v>40</v>
      </c>
      <c r="J156" s="78" t="s">
        <v>87</v>
      </c>
      <c r="K156" s="84" t="s">
        <v>40</v>
      </c>
      <c r="L156" s="67"/>
    </row>
    <row r="157" spans="1:12" x14ac:dyDescent="0.3">
      <c r="A157" s="253"/>
      <c r="B157" s="41">
        <v>113.7</v>
      </c>
      <c r="C157" s="7" t="s">
        <v>327</v>
      </c>
      <c r="D157" s="22" t="s">
        <v>343</v>
      </c>
      <c r="E157" s="8" t="s">
        <v>339</v>
      </c>
      <c r="F157" s="8" t="s">
        <v>48</v>
      </c>
      <c r="G157" s="8"/>
      <c r="H157" s="153"/>
      <c r="I157" s="75" t="s">
        <v>41</v>
      </c>
      <c r="J157" s="78" t="s">
        <v>87</v>
      </c>
      <c r="K157" s="84" t="s">
        <v>40</v>
      </c>
      <c r="L157" s="67"/>
    </row>
    <row r="158" spans="1:12" x14ac:dyDescent="0.3">
      <c r="A158" s="253"/>
      <c r="B158" s="41">
        <v>113.8</v>
      </c>
      <c r="C158" s="7" t="s">
        <v>327</v>
      </c>
      <c r="D158" s="22" t="s">
        <v>344</v>
      </c>
      <c r="E158" s="8" t="s">
        <v>339</v>
      </c>
      <c r="F158" s="8" t="s">
        <v>48</v>
      </c>
      <c r="G158" s="8"/>
      <c r="H158" s="153"/>
      <c r="I158" s="75" t="s">
        <v>41</v>
      </c>
      <c r="J158" s="78" t="s">
        <v>87</v>
      </c>
      <c r="K158" s="84" t="s">
        <v>40</v>
      </c>
      <c r="L158" s="67"/>
    </row>
    <row r="159" spans="1:12" x14ac:dyDescent="0.3">
      <c r="A159" s="254"/>
      <c r="B159" s="41">
        <v>112</v>
      </c>
      <c r="C159" s="7" t="s">
        <v>327</v>
      </c>
      <c r="D159" s="44" t="s">
        <v>336</v>
      </c>
      <c r="E159" s="8" t="s">
        <v>337</v>
      </c>
      <c r="F159" s="8" t="s">
        <v>48</v>
      </c>
      <c r="G159" s="8"/>
      <c r="H159" s="153"/>
      <c r="I159" s="75" t="s">
        <v>40</v>
      </c>
      <c r="J159" s="75" t="s">
        <v>87</v>
      </c>
      <c r="K159" s="84" t="s">
        <v>40</v>
      </c>
      <c r="L159" s="68"/>
    </row>
    <row r="160" spans="1:12" ht="15" customHeight="1" x14ac:dyDescent="0.3">
      <c r="A160" s="248">
        <v>28</v>
      </c>
      <c r="B160" s="38">
        <v>26</v>
      </c>
      <c r="C160" s="14" t="s">
        <v>324</v>
      </c>
      <c r="D160" s="4" t="s">
        <v>349</v>
      </c>
      <c r="E160" s="4" t="s">
        <v>350</v>
      </c>
      <c r="F160" s="4" t="s">
        <v>53</v>
      </c>
      <c r="G160" s="4"/>
      <c r="H160" s="154"/>
      <c r="I160" s="3" t="s">
        <v>40</v>
      </c>
      <c r="J160" s="3" t="s">
        <v>40</v>
      </c>
      <c r="K160" s="63" t="s">
        <v>87</v>
      </c>
      <c r="L160" s="69"/>
    </row>
    <row r="161" spans="1:12" x14ac:dyDescent="0.3">
      <c r="A161" s="248"/>
      <c r="B161" s="38">
        <v>28</v>
      </c>
      <c r="C161" s="14" t="s">
        <v>324</v>
      </c>
      <c r="D161" s="4" t="s">
        <v>357</v>
      </c>
      <c r="E161" s="4" t="s">
        <v>358</v>
      </c>
      <c r="F161" s="4" t="s">
        <v>48</v>
      </c>
      <c r="G161" s="4"/>
      <c r="H161" s="154"/>
      <c r="I161" s="3" t="s">
        <v>40</v>
      </c>
      <c r="J161" s="3" t="s">
        <v>40</v>
      </c>
      <c r="K161" s="63" t="s">
        <v>87</v>
      </c>
      <c r="L161" s="69" t="s">
        <v>359</v>
      </c>
    </row>
    <row r="162" spans="1:12" x14ac:dyDescent="0.3">
      <c r="A162" s="248"/>
      <c r="B162" s="38">
        <v>29</v>
      </c>
      <c r="C162" s="14" t="s">
        <v>324</v>
      </c>
      <c r="D162" s="4" t="s">
        <v>360</v>
      </c>
      <c r="E162" s="4" t="s">
        <v>361</v>
      </c>
      <c r="F162" s="4" t="s">
        <v>48</v>
      </c>
      <c r="G162" s="4"/>
      <c r="H162" s="154"/>
      <c r="I162" s="3" t="s">
        <v>40</v>
      </c>
      <c r="J162" s="3" t="s">
        <v>40</v>
      </c>
      <c r="K162" s="63" t="s">
        <v>87</v>
      </c>
      <c r="L162" s="70" t="s">
        <v>359</v>
      </c>
    </row>
    <row r="163" spans="1:12" x14ac:dyDescent="0.3">
      <c r="A163" s="247">
        <v>29</v>
      </c>
      <c r="B163" s="41">
        <v>33</v>
      </c>
      <c r="C163" s="7" t="s">
        <v>324</v>
      </c>
      <c r="D163" s="8" t="s">
        <v>381</v>
      </c>
      <c r="E163" s="8" t="s">
        <v>382</v>
      </c>
      <c r="F163" s="8" t="s">
        <v>38</v>
      </c>
      <c r="G163" s="8"/>
      <c r="H163" s="153"/>
      <c r="I163" s="3" t="s">
        <v>40</v>
      </c>
      <c r="J163" s="3" t="s">
        <v>40</v>
      </c>
      <c r="K163" s="63" t="s">
        <v>87</v>
      </c>
      <c r="L163" s="66" t="s">
        <v>359</v>
      </c>
    </row>
    <row r="164" spans="1:12" x14ac:dyDescent="0.3">
      <c r="A164" s="247"/>
      <c r="B164" s="41">
        <v>34</v>
      </c>
      <c r="C164" s="7" t="s">
        <v>324</v>
      </c>
      <c r="D164" s="8" t="s">
        <v>383</v>
      </c>
      <c r="E164" s="8" t="s">
        <v>384</v>
      </c>
      <c r="F164" s="8" t="s">
        <v>86</v>
      </c>
      <c r="G164" s="8"/>
      <c r="H164" s="153"/>
      <c r="I164" s="3" t="s">
        <v>40</v>
      </c>
      <c r="J164" s="3" t="s">
        <v>40</v>
      </c>
      <c r="K164" s="63" t="s">
        <v>87</v>
      </c>
      <c r="L164" s="67" t="s">
        <v>359</v>
      </c>
    </row>
    <row r="165" spans="1:12" x14ac:dyDescent="0.3">
      <c r="A165" s="247"/>
      <c r="B165" s="41">
        <v>34.1</v>
      </c>
      <c r="C165" s="7" t="s">
        <v>324</v>
      </c>
      <c r="D165" s="40" t="s">
        <v>385</v>
      </c>
      <c r="E165" s="8" t="s">
        <v>386</v>
      </c>
      <c r="F165" s="8" t="s">
        <v>44</v>
      </c>
      <c r="G165" s="8"/>
      <c r="H165" s="153"/>
      <c r="I165" s="3" t="s">
        <v>40</v>
      </c>
      <c r="J165" s="3" t="s">
        <v>40</v>
      </c>
      <c r="K165" s="63" t="s">
        <v>87</v>
      </c>
      <c r="L165" s="67" t="s">
        <v>359</v>
      </c>
    </row>
    <row r="166" spans="1:12" x14ac:dyDescent="0.3">
      <c r="A166" s="247"/>
      <c r="B166" s="41">
        <v>34.200000000000003</v>
      </c>
      <c r="C166" s="7" t="s">
        <v>324</v>
      </c>
      <c r="D166" s="40" t="s">
        <v>387</v>
      </c>
      <c r="E166" s="8" t="s">
        <v>388</v>
      </c>
      <c r="F166" s="8" t="s">
        <v>44</v>
      </c>
      <c r="G166" s="8"/>
      <c r="H166" s="153"/>
      <c r="I166" s="3" t="s">
        <v>40</v>
      </c>
      <c r="J166" s="3" t="s">
        <v>40</v>
      </c>
      <c r="K166" s="63" t="s">
        <v>87</v>
      </c>
      <c r="L166" s="67" t="s">
        <v>359</v>
      </c>
    </row>
    <row r="167" spans="1:12" x14ac:dyDescent="0.3">
      <c r="A167" s="247"/>
      <c r="B167" s="41">
        <v>35</v>
      </c>
      <c r="C167" s="7" t="s">
        <v>324</v>
      </c>
      <c r="D167" s="8" t="s">
        <v>389</v>
      </c>
      <c r="E167" s="8" t="s">
        <v>390</v>
      </c>
      <c r="F167" s="8" t="s">
        <v>38</v>
      </c>
      <c r="G167" s="8"/>
      <c r="H167" s="153"/>
      <c r="I167" s="3" t="s">
        <v>40</v>
      </c>
      <c r="J167" s="3" t="s">
        <v>40</v>
      </c>
      <c r="K167" s="63" t="s">
        <v>87</v>
      </c>
      <c r="L167" s="67" t="s">
        <v>359</v>
      </c>
    </row>
    <row r="168" spans="1:12" x14ac:dyDescent="0.3">
      <c r="A168" s="247"/>
      <c r="B168" s="41">
        <v>36</v>
      </c>
      <c r="C168" s="7" t="s">
        <v>324</v>
      </c>
      <c r="D168" s="8" t="s">
        <v>391</v>
      </c>
      <c r="E168" s="8" t="s">
        <v>392</v>
      </c>
      <c r="F168" s="8" t="s">
        <v>86</v>
      </c>
      <c r="G168" s="8"/>
      <c r="H168" s="153"/>
      <c r="I168" s="3" t="s">
        <v>40</v>
      </c>
      <c r="J168" s="3" t="s">
        <v>40</v>
      </c>
      <c r="K168" s="63" t="s">
        <v>87</v>
      </c>
      <c r="L168" s="67" t="s">
        <v>359</v>
      </c>
    </row>
    <row r="169" spans="1:12" x14ac:dyDescent="0.3">
      <c r="A169" s="247"/>
      <c r="B169" s="41">
        <v>36.1</v>
      </c>
      <c r="C169" s="7" t="s">
        <v>324</v>
      </c>
      <c r="D169" s="40" t="s">
        <v>393</v>
      </c>
      <c r="E169" s="6" t="s">
        <v>394</v>
      </c>
      <c r="F169" s="8" t="s">
        <v>44</v>
      </c>
      <c r="G169" s="8"/>
      <c r="H169" s="153"/>
      <c r="I169" s="3" t="s">
        <v>40</v>
      </c>
      <c r="J169" s="3" t="s">
        <v>40</v>
      </c>
      <c r="K169" s="63" t="s">
        <v>87</v>
      </c>
      <c r="L169" s="67" t="s">
        <v>359</v>
      </c>
    </row>
    <row r="170" spans="1:12" x14ac:dyDescent="0.3">
      <c r="A170" s="247"/>
      <c r="B170" s="41">
        <v>36.200000000000003</v>
      </c>
      <c r="C170" s="7" t="s">
        <v>324</v>
      </c>
      <c r="D170" s="40" t="s">
        <v>395</v>
      </c>
      <c r="E170" s="5" t="s">
        <v>396</v>
      </c>
      <c r="F170" s="46" t="s">
        <v>44</v>
      </c>
      <c r="G170" s="46"/>
      <c r="H170" s="92"/>
      <c r="I170" s="3" t="s">
        <v>40</v>
      </c>
      <c r="J170" s="3" t="s">
        <v>40</v>
      </c>
      <c r="K170" s="63" t="s">
        <v>87</v>
      </c>
      <c r="L170" s="68" t="s">
        <v>359</v>
      </c>
    </row>
    <row r="171" spans="1:12" x14ac:dyDescent="0.3">
      <c r="A171" s="248">
        <v>30</v>
      </c>
      <c r="B171" s="38">
        <v>38</v>
      </c>
      <c r="C171" s="14" t="s">
        <v>324</v>
      </c>
      <c r="D171" s="4" t="s">
        <v>377</v>
      </c>
      <c r="E171" s="35" t="s">
        <v>378</v>
      </c>
      <c r="F171" s="4" t="s">
        <v>53</v>
      </c>
      <c r="G171" s="4"/>
      <c r="H171" s="154"/>
      <c r="I171" s="3" t="s">
        <v>40</v>
      </c>
      <c r="J171" s="3" t="s">
        <v>40</v>
      </c>
      <c r="K171" s="63" t="s">
        <v>87</v>
      </c>
      <c r="L171" s="65" t="s">
        <v>359</v>
      </c>
    </row>
    <row r="172" spans="1:12" x14ac:dyDescent="0.3">
      <c r="A172" s="248"/>
      <c r="B172" s="38">
        <v>37</v>
      </c>
      <c r="C172" s="14" t="s">
        <v>324</v>
      </c>
      <c r="D172" s="4" t="s">
        <v>379</v>
      </c>
      <c r="E172" s="35" t="s">
        <v>380</v>
      </c>
      <c r="F172" s="4" t="s">
        <v>38</v>
      </c>
      <c r="G172" s="4"/>
      <c r="H172" s="154"/>
      <c r="I172" s="3" t="s">
        <v>40</v>
      </c>
      <c r="J172" s="3" t="s">
        <v>40</v>
      </c>
      <c r="K172" s="63" t="s">
        <v>87</v>
      </c>
      <c r="L172" s="69"/>
    </row>
    <row r="173" spans="1:12" x14ac:dyDescent="0.3">
      <c r="A173" s="248"/>
      <c r="B173" s="38">
        <v>81</v>
      </c>
      <c r="C173" s="14" t="s">
        <v>227</v>
      </c>
      <c r="D173" s="4" t="s">
        <v>362</v>
      </c>
      <c r="E173" s="4" t="s">
        <v>363</v>
      </c>
      <c r="F173" s="4" t="s">
        <v>53</v>
      </c>
      <c r="G173" s="4"/>
      <c r="H173" s="154"/>
      <c r="I173" s="3" t="s">
        <v>40</v>
      </c>
      <c r="J173" s="2" t="s">
        <v>87</v>
      </c>
      <c r="K173" s="58" t="s">
        <v>40</v>
      </c>
      <c r="L173" s="70" t="s">
        <v>359</v>
      </c>
    </row>
    <row r="174" spans="1:12" x14ac:dyDescent="0.3">
      <c r="A174" s="247">
        <v>31</v>
      </c>
      <c r="B174" s="41">
        <v>50</v>
      </c>
      <c r="C174" s="7" t="s">
        <v>83</v>
      </c>
      <c r="D174" s="25" t="s">
        <v>408</v>
      </c>
      <c r="E174" s="25" t="s">
        <v>409</v>
      </c>
      <c r="F174" s="72" t="s">
        <v>203</v>
      </c>
      <c r="G174" s="25"/>
      <c r="H174" s="90"/>
      <c r="I174" s="2" t="s">
        <v>70</v>
      </c>
      <c r="J174" s="3" t="s">
        <v>41</v>
      </c>
      <c r="K174" s="60" t="s">
        <v>87</v>
      </c>
      <c r="L174" s="66"/>
    </row>
    <row r="175" spans="1:12" x14ac:dyDescent="0.3">
      <c r="A175" s="247"/>
      <c r="B175" s="41">
        <v>50.1</v>
      </c>
      <c r="C175" s="7" t="s">
        <v>83</v>
      </c>
      <c r="D175" s="30" t="s">
        <v>410</v>
      </c>
      <c r="E175" s="25" t="s">
        <v>411</v>
      </c>
      <c r="F175" s="25" t="s">
        <v>53</v>
      </c>
      <c r="G175" s="25"/>
      <c r="H175" s="90"/>
      <c r="I175" s="2" t="s">
        <v>70</v>
      </c>
      <c r="J175" s="3" t="s">
        <v>41</v>
      </c>
      <c r="K175" s="60" t="s">
        <v>87</v>
      </c>
      <c r="L175" s="67"/>
    </row>
    <row r="176" spans="1:12" x14ac:dyDescent="0.3">
      <c r="A176" s="247"/>
      <c r="B176" s="41">
        <v>50.2</v>
      </c>
      <c r="C176" s="7" t="s">
        <v>83</v>
      </c>
      <c r="D176" s="30" t="s">
        <v>412</v>
      </c>
      <c r="E176" s="25" t="s">
        <v>413</v>
      </c>
      <c r="F176" s="25" t="s">
        <v>48</v>
      </c>
      <c r="G176" s="25"/>
      <c r="H176" s="90"/>
      <c r="I176" s="2" t="s">
        <v>70</v>
      </c>
      <c r="J176" s="11" t="s">
        <v>40</v>
      </c>
      <c r="K176" s="60" t="s">
        <v>87</v>
      </c>
      <c r="L176" s="67"/>
    </row>
    <row r="177" spans="1:12" x14ac:dyDescent="0.3">
      <c r="A177" s="247"/>
      <c r="B177" s="41">
        <v>50.3</v>
      </c>
      <c r="C177" s="7" t="s">
        <v>83</v>
      </c>
      <c r="D177" s="30" t="s">
        <v>414</v>
      </c>
      <c r="E177" s="25" t="s">
        <v>415</v>
      </c>
      <c r="F177" s="25" t="s">
        <v>53</v>
      </c>
      <c r="G177" s="25"/>
      <c r="H177" s="90"/>
      <c r="I177" s="2" t="s">
        <v>70</v>
      </c>
      <c r="J177" s="3" t="s">
        <v>41</v>
      </c>
      <c r="K177" s="60" t="s">
        <v>87</v>
      </c>
      <c r="L177" s="67"/>
    </row>
    <row r="178" spans="1:12" x14ac:dyDescent="0.3">
      <c r="A178" s="247"/>
      <c r="B178" s="41">
        <v>50.4</v>
      </c>
      <c r="C178" s="7" t="s">
        <v>83</v>
      </c>
      <c r="D178" s="30" t="s">
        <v>416</v>
      </c>
      <c r="E178" s="25" t="s">
        <v>417</v>
      </c>
      <c r="F178" s="25" t="s">
        <v>53</v>
      </c>
      <c r="G178" s="25"/>
      <c r="H178" s="90"/>
      <c r="I178" s="2" t="s">
        <v>70</v>
      </c>
      <c r="J178" s="3" t="s">
        <v>41</v>
      </c>
      <c r="K178" s="60" t="s">
        <v>87</v>
      </c>
      <c r="L178" s="67"/>
    </row>
    <row r="179" spans="1:12" x14ac:dyDescent="0.3">
      <c r="A179" s="247"/>
      <c r="B179" s="41">
        <v>50.5</v>
      </c>
      <c r="C179" s="7" t="s">
        <v>83</v>
      </c>
      <c r="D179" s="30" t="s">
        <v>418</v>
      </c>
      <c r="E179" s="25" t="s">
        <v>419</v>
      </c>
      <c r="F179" s="25" t="s">
        <v>44</v>
      </c>
      <c r="G179" s="25"/>
      <c r="H179" s="90"/>
      <c r="I179" s="2" t="s">
        <v>70</v>
      </c>
      <c r="J179" s="3" t="s">
        <v>41</v>
      </c>
      <c r="K179" s="60" t="s">
        <v>87</v>
      </c>
      <c r="L179" s="67"/>
    </row>
    <row r="180" spans="1:12" x14ac:dyDescent="0.3">
      <c r="A180" s="247"/>
      <c r="B180" s="41">
        <v>50.6</v>
      </c>
      <c r="C180" s="7" t="s">
        <v>83</v>
      </c>
      <c r="D180" s="30" t="s">
        <v>420</v>
      </c>
      <c r="E180" s="25" t="s">
        <v>421</v>
      </c>
      <c r="F180" s="25" t="s">
        <v>53</v>
      </c>
      <c r="G180" s="25"/>
      <c r="H180" s="90"/>
      <c r="I180" s="2" t="s">
        <v>70</v>
      </c>
      <c r="J180" s="3" t="s">
        <v>41</v>
      </c>
      <c r="K180" s="60" t="s">
        <v>87</v>
      </c>
      <c r="L180" s="67"/>
    </row>
    <row r="181" spans="1:12" x14ac:dyDescent="0.3">
      <c r="A181" s="247"/>
      <c r="B181" s="41">
        <v>53.1</v>
      </c>
      <c r="C181" s="7" t="s">
        <v>83</v>
      </c>
      <c r="D181" s="30" t="s">
        <v>422</v>
      </c>
      <c r="E181" s="25"/>
      <c r="F181" s="72" t="s">
        <v>203</v>
      </c>
      <c r="G181" s="25"/>
      <c r="H181" s="90"/>
      <c r="I181" s="2" t="s">
        <v>70</v>
      </c>
      <c r="J181" s="3" t="s">
        <v>41</v>
      </c>
      <c r="K181" s="61" t="s">
        <v>41</v>
      </c>
      <c r="L181" s="67"/>
    </row>
    <row r="182" spans="1:12" x14ac:dyDescent="0.3">
      <c r="A182" s="247"/>
      <c r="B182" s="41">
        <v>53.2</v>
      </c>
      <c r="C182" s="7" t="s">
        <v>83</v>
      </c>
      <c r="D182" s="30" t="s">
        <v>102</v>
      </c>
      <c r="E182" s="25" t="s">
        <v>103</v>
      </c>
      <c r="F182" s="25" t="s">
        <v>53</v>
      </c>
      <c r="G182" s="25"/>
      <c r="H182" s="90"/>
      <c r="I182" s="2" t="s">
        <v>70</v>
      </c>
      <c r="J182" s="3" t="s">
        <v>41</v>
      </c>
      <c r="K182" s="60" t="s">
        <v>87</v>
      </c>
      <c r="L182" s="67"/>
    </row>
    <row r="183" spans="1:12" x14ac:dyDescent="0.3">
      <c r="A183" s="247"/>
      <c r="B183" s="41">
        <v>53.3</v>
      </c>
      <c r="C183" s="7" t="s">
        <v>83</v>
      </c>
      <c r="D183" s="28" t="s">
        <v>88</v>
      </c>
      <c r="E183" s="5" t="s">
        <v>89</v>
      </c>
      <c r="F183" s="46" t="s">
        <v>53</v>
      </c>
      <c r="G183" s="46"/>
      <c r="H183" s="92"/>
      <c r="I183" s="2" t="s">
        <v>70</v>
      </c>
      <c r="J183" s="11" t="s">
        <v>40</v>
      </c>
      <c r="K183" s="62" t="s">
        <v>41</v>
      </c>
      <c r="L183" s="68"/>
    </row>
    <row r="184" spans="1:12" x14ac:dyDescent="0.3">
      <c r="A184" s="248">
        <v>32</v>
      </c>
      <c r="B184" s="38">
        <v>54</v>
      </c>
      <c r="C184" s="14" t="s">
        <v>83</v>
      </c>
      <c r="D184" s="4" t="s">
        <v>423</v>
      </c>
      <c r="E184" s="4" t="s">
        <v>424</v>
      </c>
      <c r="F184" s="73" t="s">
        <v>203</v>
      </c>
      <c r="G184" s="4"/>
      <c r="H184" s="154"/>
      <c r="I184" s="2" t="s">
        <v>70</v>
      </c>
      <c r="J184" s="11" t="s">
        <v>40</v>
      </c>
      <c r="K184" s="58" t="s">
        <v>40</v>
      </c>
      <c r="L184" s="65"/>
    </row>
    <row r="185" spans="1:12" x14ac:dyDescent="0.3">
      <c r="A185" s="248"/>
      <c r="B185" s="38">
        <v>54.1</v>
      </c>
      <c r="C185" s="14" t="s">
        <v>83</v>
      </c>
      <c r="D185" s="31" t="s">
        <v>427</v>
      </c>
      <c r="E185" s="48" t="s">
        <v>428</v>
      </c>
      <c r="F185" s="39" t="s">
        <v>48</v>
      </c>
      <c r="G185" s="39"/>
      <c r="H185" s="95"/>
      <c r="I185" s="2" t="s">
        <v>70</v>
      </c>
      <c r="J185" s="11" t="s">
        <v>40</v>
      </c>
      <c r="K185" s="58" t="s">
        <v>40</v>
      </c>
      <c r="L185" s="69"/>
    </row>
    <row r="186" spans="1:12" x14ac:dyDescent="0.3">
      <c r="A186" s="248"/>
      <c r="B186" s="38">
        <v>54.2</v>
      </c>
      <c r="C186" s="14" t="s">
        <v>83</v>
      </c>
      <c r="D186" s="31" t="s">
        <v>425</v>
      </c>
      <c r="E186" s="48" t="s">
        <v>426</v>
      </c>
      <c r="F186" s="74" t="s">
        <v>203</v>
      </c>
      <c r="G186" s="39"/>
      <c r="H186" s="95"/>
      <c r="I186" s="2" t="s">
        <v>70</v>
      </c>
      <c r="J186" s="11" t="s">
        <v>40</v>
      </c>
      <c r="K186" s="58" t="s">
        <v>40</v>
      </c>
      <c r="L186" s="69"/>
    </row>
    <row r="187" spans="1:12" x14ac:dyDescent="0.3">
      <c r="A187" s="248"/>
      <c r="B187" s="38">
        <v>130.1</v>
      </c>
      <c r="C187" s="14" t="s">
        <v>58</v>
      </c>
      <c r="D187" s="49" t="s">
        <v>429</v>
      </c>
      <c r="E187" s="13" t="s">
        <v>430</v>
      </c>
      <c r="F187" s="47" t="s">
        <v>48</v>
      </c>
      <c r="G187" s="47"/>
      <c r="H187" s="99" t="s">
        <v>55</v>
      </c>
      <c r="I187" s="9"/>
      <c r="J187" s="9"/>
      <c r="K187" s="59"/>
      <c r="L187" s="70"/>
    </row>
    <row r="188" spans="1:12" x14ac:dyDescent="0.3">
      <c r="A188" s="247">
        <v>33</v>
      </c>
      <c r="B188" s="41">
        <v>121</v>
      </c>
      <c r="C188" s="16" t="s">
        <v>433</v>
      </c>
      <c r="D188" s="10" t="s">
        <v>434</v>
      </c>
      <c r="E188" s="15" t="s">
        <v>432</v>
      </c>
      <c r="F188" s="10" t="s">
        <v>86</v>
      </c>
      <c r="G188" s="10"/>
      <c r="H188" s="88" t="s">
        <v>55</v>
      </c>
      <c r="I188" s="9"/>
      <c r="J188" s="9"/>
      <c r="K188" s="59"/>
      <c r="L188" s="66"/>
    </row>
    <row r="189" spans="1:12" x14ac:dyDescent="0.3">
      <c r="A189" s="247"/>
      <c r="B189" s="41">
        <v>101</v>
      </c>
      <c r="C189" s="7" t="s">
        <v>167</v>
      </c>
      <c r="D189" s="8" t="s">
        <v>431</v>
      </c>
      <c r="E189" s="8" t="s">
        <v>432</v>
      </c>
      <c r="F189" s="8" t="s">
        <v>86</v>
      </c>
      <c r="G189" s="8"/>
      <c r="H189" s="153"/>
      <c r="I189" s="2" t="s">
        <v>49</v>
      </c>
      <c r="J189" s="11" t="s">
        <v>40</v>
      </c>
      <c r="K189" s="58" t="s">
        <v>40</v>
      </c>
      <c r="L189" s="67"/>
    </row>
    <row r="190" spans="1:12" x14ac:dyDescent="0.3">
      <c r="A190" s="247"/>
      <c r="B190" s="41">
        <v>5</v>
      </c>
      <c r="C190" s="7" t="s">
        <v>50</v>
      </c>
      <c r="D190" s="10" t="s">
        <v>435</v>
      </c>
      <c r="E190" s="10" t="s">
        <v>436</v>
      </c>
      <c r="F190" s="50" t="s">
        <v>53</v>
      </c>
      <c r="G190" s="50"/>
      <c r="H190" s="88" t="s">
        <v>55</v>
      </c>
      <c r="I190" s="9"/>
      <c r="J190" s="9"/>
      <c r="K190" s="59"/>
      <c r="L190" s="67"/>
    </row>
    <row r="191" spans="1:12" x14ac:dyDescent="0.3">
      <c r="A191" s="247"/>
      <c r="B191" s="41">
        <v>7</v>
      </c>
      <c r="C191" s="7" t="s">
        <v>50</v>
      </c>
      <c r="D191" s="10" t="s">
        <v>437</v>
      </c>
      <c r="E191" s="10" t="s">
        <v>438</v>
      </c>
      <c r="F191" s="10" t="s">
        <v>53</v>
      </c>
      <c r="G191" s="10"/>
      <c r="H191" s="88" t="s">
        <v>55</v>
      </c>
      <c r="I191" s="9"/>
      <c r="J191" s="9"/>
      <c r="K191" s="59"/>
      <c r="L191" s="68"/>
    </row>
    <row r="192" spans="1:12" x14ac:dyDescent="0.3">
      <c r="A192" s="248">
        <v>34</v>
      </c>
      <c r="B192" s="38">
        <v>118</v>
      </c>
      <c r="C192" s="19" t="s">
        <v>433</v>
      </c>
      <c r="D192" s="18" t="s">
        <v>439</v>
      </c>
      <c r="E192" s="17" t="s">
        <v>440</v>
      </c>
      <c r="F192" s="18" t="s">
        <v>48</v>
      </c>
      <c r="G192" s="18"/>
      <c r="H192" s="99" t="s">
        <v>55</v>
      </c>
      <c r="I192" s="9"/>
      <c r="J192" s="9"/>
      <c r="K192" s="59"/>
      <c r="L192" s="65"/>
    </row>
    <row r="193" spans="1:12" x14ac:dyDescent="0.3">
      <c r="A193" s="248"/>
      <c r="B193" s="38">
        <v>119</v>
      </c>
      <c r="C193" s="19" t="s">
        <v>433</v>
      </c>
      <c r="D193" s="18" t="s">
        <v>441</v>
      </c>
      <c r="E193" s="17" t="s">
        <v>442</v>
      </c>
      <c r="F193" s="18" t="s">
        <v>48</v>
      </c>
      <c r="G193" s="18"/>
      <c r="H193" s="99" t="s">
        <v>55</v>
      </c>
      <c r="I193" s="9"/>
      <c r="J193" s="9"/>
      <c r="K193" s="59"/>
      <c r="L193" s="69"/>
    </row>
    <row r="194" spans="1:12" x14ac:dyDescent="0.3">
      <c r="A194" s="248"/>
      <c r="B194" s="38">
        <v>119.1</v>
      </c>
      <c r="C194" s="19" t="s">
        <v>433</v>
      </c>
      <c r="D194" s="20" t="s">
        <v>443</v>
      </c>
      <c r="E194" s="13" t="s">
        <v>444</v>
      </c>
      <c r="F194" s="47" t="s">
        <v>44</v>
      </c>
      <c r="G194" s="47"/>
      <c r="H194" s="99" t="s">
        <v>55</v>
      </c>
      <c r="I194" s="9"/>
      <c r="J194" s="9"/>
      <c r="K194" s="59"/>
      <c r="L194" s="69"/>
    </row>
    <row r="195" spans="1:12" x14ac:dyDescent="0.3">
      <c r="A195" s="248"/>
      <c r="B195" s="38">
        <v>120</v>
      </c>
      <c r="C195" s="19" t="s">
        <v>433</v>
      </c>
      <c r="D195" s="18" t="s">
        <v>445</v>
      </c>
      <c r="E195" s="17" t="s">
        <v>446</v>
      </c>
      <c r="F195" s="18" t="s">
        <v>48</v>
      </c>
      <c r="G195" s="18"/>
      <c r="H195" s="99" t="s">
        <v>55</v>
      </c>
      <c r="I195" s="9"/>
      <c r="J195" s="9"/>
      <c r="K195" s="59"/>
      <c r="L195" s="70"/>
    </row>
    <row r="196" spans="1:12" x14ac:dyDescent="0.3">
      <c r="A196" s="247">
        <v>35</v>
      </c>
      <c r="B196" s="41">
        <v>127</v>
      </c>
      <c r="C196" s="7" t="s">
        <v>58</v>
      </c>
      <c r="D196" s="10" t="s">
        <v>447</v>
      </c>
      <c r="E196" s="10" t="s">
        <v>448</v>
      </c>
      <c r="F196" s="10" t="s">
        <v>53</v>
      </c>
      <c r="G196" s="10"/>
      <c r="H196" s="88" t="s">
        <v>55</v>
      </c>
      <c r="I196" s="9"/>
      <c r="J196" s="9"/>
      <c r="K196" s="59"/>
      <c r="L196" s="66"/>
    </row>
    <row r="197" spans="1:12" x14ac:dyDescent="0.3">
      <c r="A197" s="247"/>
      <c r="B197" s="41">
        <v>140</v>
      </c>
      <c r="C197" s="7" t="s">
        <v>58</v>
      </c>
      <c r="D197" s="10" t="s">
        <v>449</v>
      </c>
      <c r="E197" s="10" t="s">
        <v>450</v>
      </c>
      <c r="F197" s="10" t="s">
        <v>53</v>
      </c>
      <c r="G197" s="10"/>
      <c r="H197" s="88" t="s">
        <v>55</v>
      </c>
      <c r="I197" s="9"/>
      <c r="J197" s="9"/>
      <c r="K197" s="59"/>
      <c r="L197" s="67"/>
    </row>
    <row r="198" spans="1:12" x14ac:dyDescent="0.3">
      <c r="A198" s="247"/>
      <c r="B198" s="41">
        <v>142</v>
      </c>
      <c r="C198" s="7" t="s">
        <v>58</v>
      </c>
      <c r="D198" s="10" t="s">
        <v>451</v>
      </c>
      <c r="E198" s="10" t="s">
        <v>452</v>
      </c>
      <c r="F198" s="10" t="s">
        <v>53</v>
      </c>
      <c r="G198" s="10"/>
      <c r="H198" s="88" t="s">
        <v>55</v>
      </c>
      <c r="I198" s="9"/>
      <c r="J198" s="9"/>
      <c r="K198" s="59"/>
      <c r="L198" s="67"/>
    </row>
    <row r="199" spans="1:12" x14ac:dyDescent="0.3">
      <c r="A199" s="247"/>
      <c r="B199" s="41">
        <v>156</v>
      </c>
      <c r="C199" s="7" t="s">
        <v>403</v>
      </c>
      <c r="D199" s="8" t="s">
        <v>453</v>
      </c>
      <c r="E199" s="153"/>
      <c r="F199" s="8" t="s">
        <v>86</v>
      </c>
      <c r="G199" s="8"/>
      <c r="H199" s="153"/>
      <c r="I199" s="2" t="s">
        <v>49</v>
      </c>
      <c r="J199" s="3" t="s">
        <v>41</v>
      </c>
      <c r="K199" s="63" t="s">
        <v>87</v>
      </c>
      <c r="L199" s="67"/>
    </row>
    <row r="200" spans="1:12" x14ac:dyDescent="0.3">
      <c r="A200" s="247"/>
      <c r="B200" s="41">
        <v>157</v>
      </c>
      <c r="C200" s="7" t="s">
        <v>403</v>
      </c>
      <c r="D200" s="8" t="s">
        <v>454</v>
      </c>
      <c r="E200" s="153"/>
      <c r="F200" s="8" t="s">
        <v>48</v>
      </c>
      <c r="G200" s="8"/>
      <c r="H200" s="153"/>
      <c r="I200" s="2" t="s">
        <v>49</v>
      </c>
      <c r="J200" s="3" t="s">
        <v>41</v>
      </c>
      <c r="K200" s="63" t="s">
        <v>87</v>
      </c>
      <c r="L200" s="68"/>
    </row>
  </sheetData>
  <autoFilter ref="A1:L200" xr:uid="{64C2B486-27DE-411A-A0CE-3A49FAE98F2A}"/>
  <mergeCells count="35">
    <mergeCell ref="A196:A200"/>
    <mergeCell ref="A33:A39"/>
    <mergeCell ref="A40:A46"/>
    <mergeCell ref="A160:A162"/>
    <mergeCell ref="A163:A170"/>
    <mergeCell ref="A171:A173"/>
    <mergeCell ref="A174:A183"/>
    <mergeCell ref="A184:A187"/>
    <mergeCell ref="A188:A191"/>
    <mergeCell ref="A116:A120"/>
    <mergeCell ref="A121:A125"/>
    <mergeCell ref="A126:A132"/>
    <mergeCell ref="A133:A138"/>
    <mergeCell ref="A139:A146"/>
    <mergeCell ref="A147:A149"/>
    <mergeCell ref="A150:A159"/>
    <mergeCell ref="A101:A104"/>
    <mergeCell ref="A105:A109"/>
    <mergeCell ref="A192:A195"/>
    <mergeCell ref="A66:A68"/>
    <mergeCell ref="A69:A75"/>
    <mergeCell ref="A110:A115"/>
    <mergeCell ref="A82:A94"/>
    <mergeCell ref="A47:A52"/>
    <mergeCell ref="A95:A98"/>
    <mergeCell ref="A99:A100"/>
    <mergeCell ref="A53:A57"/>
    <mergeCell ref="A76:A81"/>
    <mergeCell ref="A58:A65"/>
    <mergeCell ref="A2:A10"/>
    <mergeCell ref="A11:A17"/>
    <mergeCell ref="A30:A32"/>
    <mergeCell ref="A21:A25"/>
    <mergeCell ref="A26:A29"/>
    <mergeCell ref="A18:A20"/>
  </mergeCells>
  <conditionalFormatting sqref="D3">
    <cfRule type="duplicateValues" dxfId="85" priority="264"/>
  </conditionalFormatting>
  <conditionalFormatting sqref="D8">
    <cfRule type="duplicateValues" dxfId="84" priority="256"/>
  </conditionalFormatting>
  <conditionalFormatting sqref="D10">
    <cfRule type="duplicateValues" dxfId="83" priority="380"/>
  </conditionalFormatting>
  <conditionalFormatting sqref="D17 D21:D24">
    <cfRule type="duplicateValues" dxfId="82" priority="411"/>
  </conditionalFormatting>
  <conditionalFormatting sqref="D18">
    <cfRule type="duplicateValues" dxfId="81" priority="473"/>
  </conditionalFormatting>
  <conditionalFormatting sqref="D26:D27">
    <cfRule type="duplicateValues" dxfId="80" priority="219"/>
  </conditionalFormatting>
  <conditionalFormatting sqref="D43">
    <cfRule type="duplicateValues" dxfId="79" priority="203"/>
  </conditionalFormatting>
  <conditionalFormatting sqref="D44 D39">
    <cfRule type="duplicateValues" dxfId="78" priority="377"/>
  </conditionalFormatting>
  <conditionalFormatting sqref="D48:D49">
    <cfRule type="duplicateValues" dxfId="77" priority="151"/>
  </conditionalFormatting>
  <conditionalFormatting sqref="D51:D52">
    <cfRule type="duplicateValues" dxfId="76" priority="124"/>
  </conditionalFormatting>
  <conditionalFormatting sqref="D54:D55">
    <cfRule type="duplicateValues" dxfId="75" priority="196"/>
  </conditionalFormatting>
  <conditionalFormatting sqref="D59:D62">
    <cfRule type="duplicateValues" dxfId="74" priority="183"/>
  </conditionalFormatting>
  <conditionalFormatting sqref="D69:D74">
    <cfRule type="duplicateValues" dxfId="73" priority="167"/>
  </conditionalFormatting>
  <conditionalFormatting sqref="D82">
    <cfRule type="duplicateValues" dxfId="72" priority="188"/>
  </conditionalFormatting>
  <conditionalFormatting sqref="D87">
    <cfRule type="duplicateValues" dxfId="71" priority="108"/>
  </conditionalFormatting>
  <conditionalFormatting sqref="D89:D90">
    <cfRule type="duplicateValues" dxfId="70" priority="106"/>
  </conditionalFormatting>
  <conditionalFormatting sqref="D91:D93 D2 D4:D7 D9 D11:D16 D25 D28:D38 D40:D42 D45:D46 D53 D19:D20 D56:D58 D63:D68 D96:D98 D75:D81 D83:D84 D100:D107 D109:D113 D115:D116 D119 D121:D122 D125:D127 D129:D133 D135:D138 D140:D150 D152:D165 D167:D176">
    <cfRule type="duplicateValues" dxfId="69" priority="475"/>
  </conditionalFormatting>
  <conditionalFormatting sqref="D99">
    <cfRule type="duplicateValues" dxfId="68" priority="101"/>
  </conditionalFormatting>
  <conditionalFormatting sqref="D108">
    <cfRule type="duplicateValues" dxfId="67" priority="66"/>
  </conditionalFormatting>
  <conditionalFormatting sqref="D114">
    <cfRule type="duplicateValues" dxfId="66" priority="61"/>
  </conditionalFormatting>
  <conditionalFormatting sqref="D117:D118">
    <cfRule type="duplicateValues" dxfId="65" priority="45"/>
  </conditionalFormatting>
  <conditionalFormatting sqref="D120">
    <cfRule type="duplicateValues" dxfId="64" priority="43"/>
  </conditionalFormatting>
  <conditionalFormatting sqref="D123:D124">
    <cfRule type="duplicateValues" dxfId="63" priority="41"/>
  </conditionalFormatting>
  <conditionalFormatting sqref="D128">
    <cfRule type="duplicateValues" dxfId="62" priority="40"/>
  </conditionalFormatting>
  <conditionalFormatting sqref="D134">
    <cfRule type="duplicateValues" dxfId="61" priority="39"/>
  </conditionalFormatting>
  <conditionalFormatting sqref="D139">
    <cfRule type="duplicateValues" dxfId="60" priority="35"/>
  </conditionalFormatting>
  <conditionalFormatting sqref="D151">
    <cfRule type="duplicateValues" dxfId="59" priority="99"/>
  </conditionalFormatting>
  <conditionalFormatting sqref="D166">
    <cfRule type="duplicateValues" dxfId="58" priority="19"/>
  </conditionalFormatting>
  <conditionalFormatting sqref="D178:D179 D181">
    <cfRule type="duplicateValues" dxfId="57" priority="304"/>
  </conditionalFormatting>
  <conditionalFormatting sqref="D180">
    <cfRule type="duplicateValues" dxfId="56" priority="17"/>
  </conditionalFormatting>
  <conditionalFormatting sqref="D182:D184 D186:D187">
    <cfRule type="duplicateValues" dxfId="55" priority="288"/>
  </conditionalFormatting>
  <conditionalFormatting sqref="D185">
    <cfRule type="duplicateValues" dxfId="54" priority="261"/>
  </conditionalFormatting>
  <conditionalFormatting sqref="D188:D198">
    <cfRule type="duplicateValues" dxfId="53" priority="272"/>
  </conditionalFormatting>
  <conditionalFormatting sqref="D199">
    <cfRule type="duplicateValues" dxfId="52" priority="270"/>
  </conditionalFormatting>
  <conditionalFormatting sqref="D200">
    <cfRule type="duplicateValues" dxfId="51" priority="268"/>
  </conditionalFormatting>
  <conditionalFormatting sqref="E3">
    <cfRule type="duplicateValues" dxfId="50" priority="263"/>
  </conditionalFormatting>
  <conditionalFormatting sqref="E8">
    <cfRule type="duplicateValues" dxfId="49" priority="257"/>
  </conditionalFormatting>
  <conditionalFormatting sqref="E10">
    <cfRule type="duplicateValues" dxfId="48" priority="410"/>
  </conditionalFormatting>
  <conditionalFormatting sqref="E17 E21:E24">
    <cfRule type="duplicateValues" dxfId="47" priority="440"/>
  </conditionalFormatting>
  <conditionalFormatting sqref="E18">
    <cfRule type="duplicateValues" dxfId="46" priority="474"/>
  </conditionalFormatting>
  <conditionalFormatting sqref="E26:E27">
    <cfRule type="duplicateValues" dxfId="45" priority="220"/>
  </conditionalFormatting>
  <conditionalFormatting sqref="E43">
    <cfRule type="duplicateValues" dxfId="44" priority="204"/>
  </conditionalFormatting>
  <conditionalFormatting sqref="E44 E39">
    <cfRule type="duplicateValues" dxfId="43" priority="379"/>
  </conditionalFormatting>
  <conditionalFormatting sqref="E48:E49">
    <cfRule type="duplicateValues" dxfId="42" priority="152"/>
  </conditionalFormatting>
  <conditionalFormatting sqref="E51:E52">
    <cfRule type="duplicateValues" dxfId="41" priority="125"/>
  </conditionalFormatting>
  <conditionalFormatting sqref="E54:E55">
    <cfRule type="duplicateValues" dxfId="40" priority="197"/>
  </conditionalFormatting>
  <conditionalFormatting sqref="E59:E62">
    <cfRule type="duplicateValues" dxfId="39" priority="184"/>
  </conditionalFormatting>
  <conditionalFormatting sqref="E69:E74">
    <cfRule type="duplicateValues" dxfId="38" priority="168"/>
  </conditionalFormatting>
  <conditionalFormatting sqref="E82">
    <cfRule type="duplicateValues" dxfId="37" priority="189"/>
  </conditionalFormatting>
  <conditionalFormatting sqref="E87">
    <cfRule type="duplicateValues" dxfId="36" priority="109"/>
  </conditionalFormatting>
  <conditionalFormatting sqref="E89:E90">
    <cfRule type="duplicateValues" dxfId="35" priority="107"/>
  </conditionalFormatting>
  <conditionalFormatting sqref="E99">
    <cfRule type="duplicateValues" dxfId="34" priority="102"/>
  </conditionalFormatting>
  <conditionalFormatting sqref="E108">
    <cfRule type="duplicateValues" dxfId="33" priority="67"/>
  </conditionalFormatting>
  <conditionalFormatting sqref="E114">
    <cfRule type="duplicateValues" dxfId="32" priority="62"/>
  </conditionalFormatting>
  <conditionalFormatting sqref="E117:E118">
    <cfRule type="duplicateValues" dxfId="31" priority="46"/>
  </conditionalFormatting>
  <conditionalFormatting sqref="E120">
    <cfRule type="duplicateValues" dxfId="30" priority="44"/>
  </conditionalFormatting>
  <conditionalFormatting sqref="E123:E124">
    <cfRule type="duplicateValues" dxfId="29" priority="42"/>
  </conditionalFormatting>
  <conditionalFormatting sqref="E151">
    <cfRule type="duplicateValues" dxfId="28" priority="100"/>
  </conditionalFormatting>
  <conditionalFormatting sqref="E152 E91:E93 E67:E68 E1:E2 E4:E7 E9 E11:E16 E25 E40:E42 E28:E38 E46 E53 E19:E20 E56:E58 E63:E65 E96:E98 E147:E150 E109:E113 E115:E116 E119 E167:E176 E75:E81 E83:E84 E100:E107 E159:E165">
    <cfRule type="duplicateValues" dxfId="27" priority="374"/>
  </conditionalFormatting>
  <conditionalFormatting sqref="E166">
    <cfRule type="duplicateValues" dxfId="26" priority="20"/>
  </conditionalFormatting>
  <conditionalFormatting sqref="E177:E179 E181">
    <cfRule type="duplicateValues" dxfId="25" priority="305"/>
  </conditionalFormatting>
  <conditionalFormatting sqref="E180">
    <cfRule type="duplicateValues" dxfId="24" priority="18"/>
  </conditionalFormatting>
  <conditionalFormatting sqref="E182:E184 E186:E187">
    <cfRule type="duplicateValues" dxfId="23" priority="289"/>
  </conditionalFormatting>
  <conditionalFormatting sqref="E185">
    <cfRule type="duplicateValues" dxfId="22" priority="262"/>
  </conditionalFormatting>
  <conditionalFormatting sqref="E190:E198">
    <cfRule type="duplicateValues" dxfId="21" priority="273"/>
  </conditionalFormatting>
  <conditionalFormatting sqref="E199">
    <cfRule type="duplicateValues" dxfId="20" priority="271"/>
  </conditionalFormatting>
  <conditionalFormatting sqref="E200">
    <cfRule type="duplicateValues" dxfId="19" priority="269"/>
  </conditionalFormatting>
  <conditionalFormatting sqref="I2:K189">
    <cfRule type="containsText" dxfId="18" priority="207" operator="containsText" text="R">
      <formula>NOT(ISERROR(SEARCH("R",I2)))</formula>
    </cfRule>
    <cfRule type="containsText" dxfId="17" priority="208" operator="containsText" text="C">
      <formula>NOT(ISERROR(SEARCH("C",I2)))</formula>
    </cfRule>
    <cfRule type="containsText" dxfId="16" priority="209" operator="containsText" text="I">
      <formula>NOT(ISERROR(SEARCH("I",I2)))</formula>
    </cfRule>
  </conditionalFormatting>
  <conditionalFormatting sqref="I43:K45">
    <cfRule type="containsText" dxfId="15" priority="200" operator="containsText" text="R">
      <formula>NOT(ISERROR(SEARCH("R",I43)))</formula>
    </cfRule>
    <cfRule type="containsText" dxfId="14" priority="201" operator="containsText" text="C">
      <formula>NOT(ISERROR(SEARCH("C",I43)))</formula>
    </cfRule>
    <cfRule type="containsText" dxfId="13" priority="202" operator="containsText" text="I">
      <formula>NOT(ISERROR(SEARCH("I",I43)))</formula>
    </cfRule>
  </conditionalFormatting>
  <conditionalFormatting sqref="I188:K200">
    <cfRule type="containsText" dxfId="12" priority="265" operator="containsText" text="R">
      <formula>NOT(ISERROR(SEARCH("R",I188)))</formula>
    </cfRule>
    <cfRule type="containsText" dxfId="11" priority="266" operator="containsText" text="C">
      <formula>NOT(ISERROR(SEARCH("C",I188)))</formula>
    </cfRule>
    <cfRule type="containsText" dxfId="10" priority="267" operator="containsText" text="I">
      <formula>NOT(ISERROR(SEARCH("I",I188)))</formula>
    </cfRule>
  </conditionalFormatting>
  <conditionalFormatting sqref="L2 L9:L10">
    <cfRule type="containsText" dxfId="9" priority="306" operator="containsText" text="SIGN-OFF">
      <formula>NOT(ISERROR(SEARCH("SIGN-OFF",L2)))</formula>
    </cfRule>
    <cfRule type="containsText" dxfId="8" priority="307" operator="containsText" text="RETURNED TO CTS">
      <formula>NOT(ISERROR(SEARCH("RETURNED TO CTS",L2)))</formula>
    </cfRule>
    <cfRule type="containsText" dxfId="7" priority="308" operator="containsText" text="UAT">
      <formula>NOT(ISERROR(SEARCH("UAT",L2)))</formula>
    </cfRule>
    <cfRule type="containsText" dxfId="6" priority="309" operator="containsText" text="1-WEEK">
      <formula>NOT(ISERROR(SEARCH("1-WEEK",L2)))</formula>
    </cfRule>
    <cfRule type="containsText" dxfId="5" priority="310" operator="containsText" text="2-WEEK">
      <formula>NOT(ISERROR(SEARCH("2-WEEK",L2)))</formula>
    </cfRule>
    <cfRule type="containsText" dxfId="4" priority="311" operator="containsText" text="ON DECK">
      <formula>NOT(ISERROR(SEARCH("ON DECK",L2)))</formula>
    </cfRule>
    <cfRule type="containsText" dxfId="3" priority="312" operator="containsText" text="CTS IN DEV">
      <formula>NOT(ISERROR(SEARCH("CTS IN DEV",L2)))</formula>
    </cfRule>
    <cfRule type="containsText" dxfId="2" priority="313" operator="containsText" text="IN QA">
      <formula>NOT(ISERROR(SEARCH("IN QA",L2)))</formula>
    </cfRule>
    <cfRule type="containsText" dxfId="1" priority="314" operator="containsText" text="DISABLED">
      <formula>NOT(ISERROR(SEARCH("DISABLED",L2)))</formula>
    </cfRule>
    <cfRule type="containsText" dxfId="0" priority="315" operator="containsText" text="DEPLOYED">
      <formula>NOT(ISERROR(SEARCH("DEPLOYED",L2)))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5B81500CF7E3342BB627D73BF202A2F" ma:contentTypeVersion="20" ma:contentTypeDescription="Create a new document." ma:contentTypeScope="" ma:versionID="3e2c570eb0946adac5aa6eeca2ff0bbb">
  <xsd:schema xmlns:xsd="http://www.w3.org/2001/XMLSchema" xmlns:xs="http://www.w3.org/2001/XMLSchema" xmlns:p="http://schemas.microsoft.com/office/2006/metadata/properties" xmlns:ns2="3d05c41d-42c7-4345-8236-8005f0c89855" xmlns:ns3="29065daa-3ce8-4783-94b0-fa366394ba57" targetNamespace="http://schemas.microsoft.com/office/2006/metadata/properties" ma:root="true" ma:fieldsID="2fff10ba4333f073fbb358ab87328e47" ns2:_="" ns3:_="">
    <xsd:import namespace="3d05c41d-42c7-4345-8236-8005f0c89855"/>
    <xsd:import namespace="29065daa-3ce8-4783-94b0-fa366394ba5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3:SharedWithUsers" minOccurs="0"/>
                <xsd:element ref="ns3:SharedWithDetails" minOccurs="0"/>
                <xsd:element ref="ns2:_x0023_" minOccurs="0"/>
                <xsd:element ref="ns2:xvqq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Not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05c41d-42c7-4345-8236-8005f0c8985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_x0023_" ma:index="14" nillable="true" ma:displayName="#" ma:format="Dropdown" ma:internalName="_x0023_" ma:percentage="FALSE">
      <xsd:simpleType>
        <xsd:restriction base="dms:Number"/>
      </xsd:simpleType>
    </xsd:element>
    <xsd:element name="xvqq" ma:index="15" nillable="true" ma:displayName="Number" ma:format="Dropdown" ma:indexed="true" ma:internalName="xvqq" ma:percentage="FALSE">
      <xsd:simpleType>
        <xsd:restriction base="dms:Number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04ec475d-60a2-43c9-b028-7bc66b519fb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1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Notes" ma:index="24" nillable="true" ma:displayName="Notes" ma:format="Dropdown" ma:internalName="Notes">
      <xsd:simpleType>
        <xsd:restriction base="dms:Note"/>
      </xsd:simpleType>
    </xsd:element>
    <xsd:element name="MediaLengthInSeconds" ma:index="2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9065daa-3ce8-4783-94b0-fa366394ba57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8" nillable="true" ma:displayName="Taxonomy Catch All Column" ma:hidden="true" ma:list="{44015a18-bcff-4be0-ac30-705c07765b3f}" ma:internalName="TaxCatchAll" ma:showField="CatchAllData" ma:web="29065daa-3ce8-4783-94b0-fa366394ba5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9065daa-3ce8-4783-94b0-fa366394ba57" xsi:nil="true"/>
    <_x0023_ xmlns="3d05c41d-42c7-4345-8236-8005f0c89855" xsi:nil="true"/>
    <xvqq xmlns="3d05c41d-42c7-4345-8236-8005f0c89855" xsi:nil="true"/>
    <Notes xmlns="3d05c41d-42c7-4345-8236-8005f0c89855" xsi:nil="true"/>
    <lcf76f155ced4ddcb4097134ff3c332f xmlns="3d05c41d-42c7-4345-8236-8005f0c8985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9DC3D28-DB3B-4F04-8232-044C0A8639F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A1E749A-7CF1-4C64-BF0E-D660264FE5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d05c41d-42c7-4345-8236-8005f0c89855"/>
    <ds:schemaRef ds:uri="29065daa-3ce8-4783-94b0-fa366394ba5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F09E122-69B1-4CCD-8B62-E05C43826CC4}">
  <ds:schemaRefs>
    <ds:schemaRef ds:uri="http://purl.org/dc/terms/"/>
    <ds:schemaRef ds:uri="http://schemas.microsoft.com/office/2006/metadata/properties"/>
    <ds:schemaRef ds:uri="http://schemas.microsoft.com/office/2006/documentManagement/types"/>
    <ds:schemaRef ds:uri="http://schemas.openxmlformats.org/package/2006/metadata/core-properties"/>
    <ds:schemaRef ds:uri="http://www.w3.org/XML/1998/namespace"/>
    <ds:schemaRef ds:uri="http://purl.org/dc/elements/1.1/"/>
    <ds:schemaRef ds:uri="http://schemas.microsoft.com/office/infopath/2007/PartnerControls"/>
    <ds:schemaRef ds:uri="29065daa-3ce8-4783-94b0-fa366394ba57"/>
    <ds:schemaRef ds:uri="3d05c41d-42c7-4345-8236-8005f0c89855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Pipeline with LOE </vt:lpstr>
      <vt:lpstr>Complexity LOE</vt:lpstr>
      <vt:lpstr>Pipeline - OPS</vt:lpstr>
      <vt:lpstr>ComplexityLOE</vt:lpstr>
    </vt:vector>
  </TitlesOfParts>
  <Manager/>
  <Company>Orange County Superior Court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Melanie Uyehara</dc:creator>
  <cp:keywords/>
  <dc:description/>
  <cp:lastModifiedBy>Chris Chang</cp:lastModifiedBy>
  <cp:revision/>
  <dcterms:created xsi:type="dcterms:W3CDTF">2026-09-09T18:19:06Z</dcterms:created>
  <dcterms:modified xsi:type="dcterms:W3CDTF">2026-10-15T16:02:55Z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0x01010055B81500CF7E3342BB627D73BF202A2F</vt:lpwstr>
  </property>
  <property fmtid="{D5CDD505-2E9C-101B-9397-08002B2CF9AE}" pid="3" name="MediaServiceImageTags">
    <vt:lpwstr/>
  </property>
</Properties>
</file>