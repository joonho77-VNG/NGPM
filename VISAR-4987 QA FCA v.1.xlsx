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defaultThemeVersion="166925"/>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
    </mc:Choice>
  </mc:AlternateContent>
  <xr:revisionPtr revIDLastSave="2335" documentId="8_{4776F167-19EF-49DA-88B9-CDE5F9904B44}" xr6:coauthVersionLast="47" xr6:coauthVersionMax="47" xr10:uidLastSave="{B2D4AE4F-4FB0-4AD2-A8C8-8579C3B856CD}"/>
  <bookViews>
    <workbookView xWindow="17955" yWindow="-16365" windowWidth="29040" windowHeight="15720" firstSheet="3" activeTab="2" xr2:uid="{0399CECF-E130-46F3-8424-88B49325C427}"/>
  </bookViews>
  <sheets>
    <sheet name="FCA - BY" sheetId="1" r:id="rId1"/>
    <sheet name="FCA - CL" sheetId="4" r:id="rId2"/>
    <sheet name="FCA - Defects" sheetId="2" r:id="rId3"/>
    <sheet name="FCA - Consolidated" sheetId="5" r:id="rId4"/>
  </sheets>
  <definedNames>
    <definedName name="_xlnm._FilterDatabase" localSheetId="1" hidden="1">'FCA - CL'!$A$1:$J$161</definedName>
    <definedName name="_xlnm._FilterDatabase" localSheetId="3" hidden="1">'FCA - Consolidated'!$A$1:$M$23</definedName>
    <definedName name="_xlnm._FilterDatabase" localSheetId="0" hidden="1">'FCA - BY'!$A$1:$J$161</definedName>
    <definedName name="_xlnm._FilterDatabase" localSheetId="2" hidden="1">'FCA - Defects'!$A$1:$L$101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5" l="1"/>
  <c r="A22" i="5"/>
  <c r="A12" i="5"/>
  <c r="A27" i="5"/>
  <c r="A21" i="5"/>
  <c r="A11" i="5"/>
  <c r="A10" i="5"/>
  <c r="A9" i="5"/>
  <c r="A8" i="5"/>
  <c r="A7" i="5"/>
  <c r="A20" i="5"/>
  <c r="A19" i="5"/>
  <c r="A18" i="5"/>
  <c r="A17" i="5"/>
  <c r="A6" i="5"/>
  <c r="A24" i="5"/>
  <c r="A23" i="5"/>
  <c r="A5" i="5"/>
  <c r="A4" i="5"/>
  <c r="A25" i="5"/>
  <c r="A16" i="5"/>
  <c r="A14" i="5"/>
  <c r="A26" i="5"/>
  <c r="A3" i="5"/>
  <c r="A2" i="5"/>
  <c r="A15" i="5"/>
  <c r="A67" i="1"/>
  <c r="A81" i="2"/>
  <c r="A82" i="2"/>
  <c r="A83" i="2"/>
  <c r="A84" i="2"/>
  <c r="A85" i="2"/>
  <c r="A86" i="2"/>
  <c r="A87" i="2"/>
  <c r="A88" i="2"/>
  <c r="A89" i="2"/>
  <c r="A90" i="2"/>
  <c r="A91" i="2"/>
  <c r="A92" i="2"/>
  <c r="A93" i="2"/>
  <c r="A94" i="2"/>
  <c r="A95" i="2"/>
  <c r="A96" i="2"/>
  <c r="A97" i="2"/>
  <c r="A98" i="2"/>
  <c r="A99" i="2"/>
  <c r="A100" i="2"/>
  <c r="A101" i="2"/>
  <c r="A80" i="2"/>
  <c r="A64" i="2"/>
  <c r="A65" i="2"/>
  <c r="A66" i="2"/>
  <c r="A67" i="2"/>
  <c r="A68" i="2"/>
  <c r="A69" i="2"/>
  <c r="A70" i="2"/>
  <c r="A71" i="2"/>
  <c r="A72" i="2"/>
  <c r="A73" i="2"/>
  <c r="A74" i="2"/>
  <c r="A75" i="2"/>
  <c r="A76" i="2"/>
  <c r="A77" i="2"/>
  <c r="A78" i="2"/>
  <c r="A79" i="2"/>
  <c r="A42" i="2"/>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54" i="1"/>
  <c r="A55" i="1"/>
  <c r="A49" i="1"/>
  <c r="A48" i="1"/>
  <c r="A8" i="1"/>
  <c r="A6" i="2"/>
  <c r="A4" i="1"/>
  <c r="A3" i="1"/>
  <c r="A2" i="1"/>
  <c r="A13" i="1"/>
  <c r="A12" i="1"/>
  <c r="A6" i="1"/>
  <c r="A2" i="2"/>
  <c r="A4" i="2"/>
  <c r="A5"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3" i="2"/>
  <c r="A44" i="2"/>
  <c r="A45" i="2"/>
  <c r="A46" i="2"/>
  <c r="A47" i="2"/>
  <c r="A48" i="2"/>
  <c r="A49" i="2"/>
  <c r="A50" i="2"/>
  <c r="A51" i="2"/>
  <c r="A52" i="2"/>
  <c r="A53" i="2"/>
  <c r="A54" i="2"/>
  <c r="A55" i="2"/>
  <c r="A56" i="2"/>
  <c r="A57" i="2"/>
  <c r="A58" i="2"/>
  <c r="A59" i="2"/>
  <c r="A60" i="2"/>
  <c r="A61" i="2"/>
  <c r="A62" i="2"/>
  <c r="A63" i="2"/>
  <c r="A3" i="2"/>
  <c r="A5" i="1"/>
  <c r="A7" i="1"/>
  <c r="A9" i="1"/>
  <c r="A10" i="1"/>
  <c r="A11"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50" i="1"/>
  <c r="A51" i="1"/>
  <c r="A52" i="1"/>
  <c r="A53" i="1"/>
  <c r="A56" i="1"/>
  <c r="A57" i="1"/>
  <c r="A58" i="1"/>
  <c r="A59" i="1"/>
  <c r="A60" i="1"/>
  <c r="A61" i="1"/>
  <c r="A62" i="1"/>
  <c r="A63" i="1"/>
  <c r="A64" i="1"/>
  <c r="A65" i="1"/>
  <c r="A66"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alcChain>
</file>

<file path=xl/sharedStrings.xml><?xml version="1.0" encoding="utf-8"?>
<sst xmlns="http://schemas.openxmlformats.org/spreadsheetml/2006/main" count="2782" uniqueCount="724">
  <si>
    <t>ID</t>
  </si>
  <si>
    <t>Scenario</t>
  </si>
  <si>
    <t>Window Column</t>
  </si>
  <si>
    <t>Element</t>
  </si>
  <si>
    <t>Header/Row</t>
  </si>
  <si>
    <t>Vision Display</t>
  </si>
  <si>
    <t>NG Display</t>
  </si>
  <si>
    <t>Case Number</t>
  </si>
  <si>
    <t>Pass/Fail</t>
  </si>
  <si>
    <t>Comments</t>
  </si>
  <si>
    <t>UI</t>
  </si>
  <si>
    <t>Initial Case Search</t>
  </si>
  <si>
    <t>Main &gt; Fiscal &gt; Fiscal Case Analysis</t>
  </si>
  <si>
    <t>Pass</t>
  </si>
  <si>
    <t>Functionality</t>
  </si>
  <si>
    <t>Case Search</t>
  </si>
  <si>
    <t>Menu</t>
  </si>
  <si>
    <r>
      <t xml:space="preserve">Main &gt; Fiscal &gt; Fiscal Case Analysis
Case Search: enter case number then </t>
    </r>
    <r>
      <rPr>
        <b/>
        <sz val="11"/>
        <color theme="1"/>
        <rFont val="Calibri"/>
        <family val="2"/>
      </rPr>
      <t>Search</t>
    </r>
    <r>
      <rPr>
        <sz val="11"/>
        <color theme="1"/>
        <rFont val="Calibri"/>
        <family val="2"/>
      </rPr>
      <t xml:space="preserve"> - FCA window loads case</t>
    </r>
  </si>
  <si>
    <t>22HM2140</t>
  </si>
  <si>
    <t>Pass with Comments</t>
  </si>
  <si>
    <t>Existing window loads in background before Case Search appears.</t>
  </si>
  <si>
    <t>Main &gt; Fiscal &gt; Fiscal Case Analysis
Case Search: select Case from Recent Cases -  FCA window loads case</t>
  </si>
  <si>
    <t>04HM04968</t>
  </si>
  <si>
    <t>Header</t>
  </si>
  <si>
    <t>Window Name/Header</t>
  </si>
  <si>
    <t>Window Title</t>
  </si>
  <si>
    <t>Window title: Fiscal Case Analysis - public_case / last name, first middle - OC Pay# - oc_pay_nbr
Placement is to the right of gavel icon</t>
  </si>
  <si>
    <t>21WM02461</t>
  </si>
  <si>
    <t>Fail</t>
  </si>
  <si>
    <t>Defect 38</t>
  </si>
  <si>
    <t>Window</t>
  </si>
  <si>
    <t>General</t>
  </si>
  <si>
    <t>All sections are visible in normal monitor</t>
  </si>
  <si>
    <t>Defect 39</t>
  </si>
  <si>
    <t>Orange list icon with magnifying glass in upper left of window
Fiscal Case Analysis - public_case / last name, first middle - OC Pay# - oc_pay_nbr</t>
  </si>
  <si>
    <t>4 columns, 4 rows</t>
  </si>
  <si>
    <t>Defect 41</t>
  </si>
  <si>
    <t>Case, OL, J/A indicator</t>
  </si>
  <si>
    <t>Read-only view; displays public_case (left justified), case offense level indicator (e.g., F, M, I)(center justified), and adult/juv indicator (e.g., A, J)(center justified) in same row, separate cells</t>
  </si>
  <si>
    <t>Defect 42</t>
  </si>
  <si>
    <t>Binocular button</t>
  </si>
  <si>
    <t>Launches Adv Case Search window</t>
  </si>
  <si>
    <t>Enter field X-Ref Case - window should load case</t>
  </si>
  <si>
    <t>99F10021</t>
  </si>
  <si>
    <t>Select case from Advanced Search - window should load selected case</t>
  </si>
  <si>
    <t>Select button then close window - Fiscal Case Analysis info message "No Rows retrieved" message displays; select OK - existing case remains on display and user can re-launch binocular icon</t>
  </si>
  <si>
    <t xml:space="preserve">If you have a successful first binocular search, click the binocular search again, and close the search window, and close the 'No Rows Retrieved' popup, you are unable to click and buttons in Vision, including buttons outside of the blazor window. 
"Now Rows retrieved" displays. The header of the message should say 'Fiscal Case Analysis'. </t>
  </si>
  <si>
    <t>Case Status</t>
  </si>
  <si>
    <t>Read-only view; displays description (e.g., Bail Forfeiture), left justified</t>
  </si>
  <si>
    <t>Filing Agency Case</t>
  </si>
  <si>
    <t>Read-only view; displays agency case number (e.g., DA case number), left justified</t>
  </si>
  <si>
    <t>Defect 43</t>
  </si>
  <si>
    <t>Court Loc</t>
  </si>
  <si>
    <t>Read-only view; displays court_location, left justified</t>
  </si>
  <si>
    <t>DR #</t>
  </si>
  <si>
    <t>Read-only view; displays DR number, left justified</t>
  </si>
  <si>
    <t>Amd #</t>
  </si>
  <si>
    <t>Read-only view; displays court action instrument amendment number, center justified</t>
  </si>
  <si>
    <t>Defect 44</t>
  </si>
  <si>
    <t>Chg Doc</t>
  </si>
  <si>
    <t>Read-only view; displays court action instrument, left justified
Directly to right of Amd #, below Case Status</t>
  </si>
  <si>
    <t>Origination Dt</t>
  </si>
  <si>
    <t>Read-only view; displays origination date mm/dd/yy, center justified</t>
  </si>
  <si>
    <t>Originating Agency</t>
  </si>
  <si>
    <t>Read-only view; displays originating agency, left justified</t>
  </si>
  <si>
    <t>FPC #</t>
  </si>
  <si>
    <t>Read-only view; displays FPC number, center justified</t>
  </si>
  <si>
    <t>Violation Location</t>
  </si>
  <si>
    <t>Read-only view; displays violation location, left justified</t>
  </si>
  <si>
    <t>Orig. Arrest Dt</t>
  </si>
  <si>
    <t>Read-only view; displays arrest date mm/dd/yy, center justified</t>
  </si>
  <si>
    <t>Originating Court</t>
  </si>
  <si>
    <t>Read-only view; displays originating court, left justified</t>
  </si>
  <si>
    <t>Dt Filed</t>
  </si>
  <si>
    <t>Read-only view; displays date filed mm/dd/yy, center justified</t>
  </si>
  <si>
    <t>Filing Agency</t>
  </si>
  <si>
    <t>Read-only view; displays filing agency, left justified</t>
  </si>
  <si>
    <t>Refresh button</t>
  </si>
  <si>
    <t>Blue button with P icon and "Refresh" to right; icon and text appear left justified</t>
  </si>
  <si>
    <t>Defect 12</t>
  </si>
  <si>
    <t>Data refreshes in window</t>
  </si>
  <si>
    <t>Case Payment History</t>
  </si>
  <si>
    <t>Title is in blue and left justified above section
a. Title does not have border
b. Section is large enough to display 9 rows
c. Row heights /fonts small enough to display 9 rows
d. No alternating row colors
e. Default filter applied to Date column when case is initially loaded in window</t>
  </si>
  <si>
    <t>Defect 45</t>
  </si>
  <si>
    <t>Unlock all button</t>
  </si>
  <si>
    <t>Green button with "Unlock all" in white text; text is centered in box
Placement: aligned with title, left of Lock all button</t>
  </si>
  <si>
    <t>15WM14863</t>
  </si>
  <si>
    <t>NG button is taller</t>
  </si>
  <si>
    <t>Lock all button</t>
  </si>
  <si>
    <t>Orange button with "Lock all" in white text; text is centered in box
Placement: aligned with title, right of Unlock all button; edge is aligned with section data box</t>
  </si>
  <si>
    <t>Rcpt/Chk</t>
  </si>
  <si>
    <t>Column 1</t>
  </si>
  <si>
    <t xml:space="preserve">Header center justified
Displays receipt number(s), left justified </t>
  </si>
  <si>
    <t>Defect 16</t>
  </si>
  <si>
    <t>Date</t>
  </si>
  <si>
    <t>Column 2</t>
  </si>
  <si>
    <t>Header center justified
Displays transaction date; center justified  mm/dd/yyyy</t>
  </si>
  <si>
    <t>not center justified</t>
  </si>
  <si>
    <t>Mld</t>
  </si>
  <si>
    <t>Column 3</t>
  </si>
  <si>
    <t>Header center justified
Displays mailed indicator; checkbox indicator read-only</t>
  </si>
  <si>
    <t>NG column title is 'Mid'</t>
  </si>
  <si>
    <t>Remittance</t>
  </si>
  <si>
    <t>Column 4</t>
  </si>
  <si>
    <t>Header center justified
Displays remittance type; left justified</t>
  </si>
  <si>
    <t>Transaction</t>
  </si>
  <si>
    <t>Column 5</t>
  </si>
  <si>
    <t>Header center justified
Displays transaction type; left justified</t>
  </si>
  <si>
    <t>Amount</t>
  </si>
  <si>
    <t>Column 6</t>
  </si>
  <si>
    <t>Header center justified
Displays transaction amount; right justified</t>
  </si>
  <si>
    <t>Clerk</t>
  </si>
  <si>
    <t>Column 7</t>
  </si>
  <si>
    <t>Header center justified
Displays last name, first name; left justified</t>
  </si>
  <si>
    <t>Lock</t>
  </si>
  <si>
    <t>Column 8</t>
  </si>
  <si>
    <t>Header center justified
Displays switch indicator green (unlocked), orange (locked) for applicable remittance(s); center justified in column</t>
  </si>
  <si>
    <t>Columns</t>
  </si>
  <si>
    <t>Able to adjust widths of columns, left/right scroll bar enabled when column widths are expanded</t>
  </si>
  <si>
    <t>Sort each column</t>
  </si>
  <si>
    <t>Each column sort in asc/desc order when selected; white triangle appears to indicate which order</t>
  </si>
  <si>
    <t>Defect 8</t>
  </si>
  <si>
    <t>Multi-Sort columns</t>
  </si>
  <si>
    <t>Select one column to sort; CTRL + select second column to add
Hover over white triangle sort and tooltip appears showing filters
Multi-Sort removed when user clicks different column to sort, section sorts asc/desc based on selection</t>
  </si>
  <si>
    <t>1 remit
Locked (orange switch), button used, switch changes to green (unlocked)</t>
  </si>
  <si>
    <t>7HVB0007F</t>
  </si>
  <si>
    <t>Multiple Remits
Locked (orange switch), button used, switch changes to green (unlocked)</t>
  </si>
  <si>
    <t>Defect 10</t>
  </si>
  <si>
    <t>ATP Remit
Locked (orange switch), button used, switch changes to green (unlocked)
ATP remittance is being unlocked. Warning should state: “You are attempting to unlock a Paid/Satisfied and/or ATP remittance. Do you wish to proceed?” Yes = unlock, No = no update and remittance remains locked</t>
  </si>
  <si>
    <t>ORE095976</t>
  </si>
  <si>
    <t>Defect 21</t>
  </si>
  <si>
    <t>Paid/Satisfied Remit
Locked (orange switch), button used, switch changes to green (unlocked)
Paid/Satisfied remittance is being unlocked. Warning should state: “You are attempting to unlock a Paid/Satisfied and/or ATP remittance. Do you wish to proceed?” Yes = unlock, No = no update and remittance remains locked</t>
  </si>
  <si>
    <t>BRE00018016</t>
  </si>
  <si>
    <t>Defect 23</t>
  </si>
  <si>
    <t>All remits are locked
Locked (orange switch), button used, switch changes to green (unlocked)</t>
  </si>
  <si>
    <t>SH373226</t>
  </si>
  <si>
    <t>Mixed remits of locked/unlocked
Locked (orange switch), button used, switch changes to green (unlocked) (only for those unlocked)</t>
  </si>
  <si>
    <t>1 remit
Unlocked (green switch), button used, switch changes to orange (locked)</t>
  </si>
  <si>
    <t>Multiple Remits (all unlocked)
Unlocked (green switch), button used, switch changes to orange (locked)</t>
  </si>
  <si>
    <t>Defect 11</t>
  </si>
  <si>
    <t>ATP Remit
Unlocked (green switch), button used, switch changes to orange (locked)</t>
  </si>
  <si>
    <t>Paid/Satisfied Remit
Unlocked (green switch), button used, switch changes to orange (locked)</t>
  </si>
  <si>
    <t>All remits are unlocked
Locked (orange switch), button used, switch changes to green (unlocked)</t>
  </si>
  <si>
    <t>Mixed remits of locked/unlocked
Locked (orange switch), button used, switch changes to green (unlocked) (only for those locked)</t>
  </si>
  <si>
    <t>Toggle to Unlock (single remit)</t>
  </si>
  <si>
    <t>Toggle works. See Defect 13</t>
  </si>
  <si>
    <t>Defect 13</t>
  </si>
  <si>
    <t>Defect 24</t>
  </si>
  <si>
    <t>Toggle to Lock (single remit)</t>
  </si>
  <si>
    <t>Lock/Unlock logic</t>
  </si>
  <si>
    <t>Appears on latest eligible remittance</t>
  </si>
  <si>
    <t>Multiple cases</t>
  </si>
  <si>
    <t>Transaction - Voided: does not appear</t>
  </si>
  <si>
    <t>14NM02874</t>
  </si>
  <si>
    <t>Transaction - Bail Posting: does not appear</t>
  </si>
  <si>
    <t>7W2D00327</t>
  </si>
  <si>
    <t>Remittance (FTBCOD) = user can lock/unlock remits individually; if remit is MA/RA, lock will appear on latest remit</t>
  </si>
  <si>
    <t>AN1518240</t>
  </si>
  <si>
    <t>Retest</t>
  </si>
  <si>
    <t>Pass FTB
NTC REM table AFTBCODC, AFTBCODS, REMTP MFTBCODC, MFTBCODS</t>
  </si>
  <si>
    <t>Transaction - Reversal: does not appear</t>
  </si>
  <si>
    <t>Unable to test. 5 cases with Reversal remittance did not show case payment history records. Will check again later.</t>
  </si>
  <si>
    <t>Transaction type is priority over remittance type (e.g., FTBCOD Remittance with Bail Posting transaction should not display indicator)</t>
  </si>
  <si>
    <t>Unable to test. 5 cases did not show case payment history records.
Use other FTB types</t>
  </si>
  <si>
    <t>If multiple FTBCOD remittance/application transactions exist on a receipt, display lock/unlock feature only on latest FTBCOD remittance/Application transaction</t>
  </si>
  <si>
    <t>Remittance Distribution</t>
  </si>
  <si>
    <t>Double click row to open Remittance Distribution window</t>
  </si>
  <si>
    <t>OR1025196</t>
  </si>
  <si>
    <t>Reset Remit button</t>
  </si>
  <si>
    <t>61768AT</t>
  </si>
  <si>
    <t>Case Due Amount Component Detail</t>
  </si>
  <si>
    <t>Header in blue, font white text; center justified</t>
  </si>
  <si>
    <t>Defect 46</t>
  </si>
  <si>
    <t>Count Fines/Forfeitures</t>
  </si>
  <si>
    <t>Title: right justified
Displays sum fine(s) amount on case; right justified</t>
  </si>
  <si>
    <t>Defect 47</t>
  </si>
  <si>
    <t>Fees</t>
  </si>
  <si>
    <t>Title: right justified
Displays sum fees on case; right justified</t>
  </si>
  <si>
    <t>Victim Restitution</t>
  </si>
  <si>
    <t>Title: right justified
Displays sum restitution on case; right justified</t>
  </si>
  <si>
    <t>Priors</t>
  </si>
  <si>
    <t>Title: right justified
Displays sum of priors on case; right justified
Displays sum of amount of priors on case; right justified and cell is same row</t>
  </si>
  <si>
    <t>Defect 47, 48</t>
  </si>
  <si>
    <t>Penalty Assessment</t>
  </si>
  <si>
    <t>Title: right justified
Displays sum of penalty assessment; right justified</t>
  </si>
  <si>
    <t>Case Due Amount Component Detail
(sub section)</t>
  </si>
  <si>
    <t>Total Due</t>
  </si>
  <si>
    <t>Title: right justified
Displays sum; right justified</t>
  </si>
  <si>
    <t>Defect 47, 49</t>
  </si>
  <si>
    <t>Paid to Date</t>
  </si>
  <si>
    <t>Title: right justified
Displays paid to date sum; right justified</t>
  </si>
  <si>
    <t>Case Balance Due</t>
  </si>
  <si>
    <t>Displays remaining balance; right justified
Section has gray background, white font</t>
  </si>
  <si>
    <t>Defect 54</t>
  </si>
  <si>
    <t>Case Summary</t>
  </si>
  <si>
    <t>Defect 53</t>
  </si>
  <si>
    <t>Case Balance</t>
  </si>
  <si>
    <t>Title: right justified, white font, section has gray background (no colon after title)
Displays Case Summary Balance Due, right justified</t>
  </si>
  <si>
    <t>Counter</t>
  </si>
  <si>
    <t>Balance Due</t>
  </si>
  <si>
    <t>Title: right justified, white font, section has gray background
Displays Case Summary Balance Due, right justified</t>
  </si>
  <si>
    <t>Defect 55</t>
  </si>
  <si>
    <t>Counter (sub section)</t>
  </si>
  <si>
    <t>Current Due</t>
  </si>
  <si>
    <t>Title: right justified
Displays current due (same as Counter Payment value); right justified</t>
  </si>
  <si>
    <t>Defect 56</t>
  </si>
  <si>
    <t>Payment Rec'd</t>
  </si>
  <si>
    <t>Title: right justified
Displays payment rec'd (same as Counter Payment value); right justified</t>
  </si>
  <si>
    <t>Change/Short</t>
  </si>
  <si>
    <t>Title: right justified
Displays change/short (same as Counter Payment value); right justified</t>
  </si>
  <si>
    <t>Case Statistic</t>
  </si>
  <si>
    <t>Case Statistic (description)</t>
  </si>
  <si>
    <t>Column Header: blue with white font, center justified; can manually adjust column width &amp; change placement of column
Displays case statistic description (same as Case Summary value); left justified</t>
  </si>
  <si>
    <t>Defect 58</t>
  </si>
  <si>
    <t>Value</t>
  </si>
  <si>
    <t>Column Header: blue with white font, center justified; can manually adjust column width &amp; change placement of column
Displays case statistic value (same as Case Summary value); left justified</t>
  </si>
  <si>
    <t>Dt. Updated</t>
  </si>
  <si>
    <t>Column Header: blue with white font, center justified (only column not bolded); can manually adjust column width &amp; change placement of column
Displays Dt updated case statistic (Same as Case Summary value); center justified</t>
  </si>
  <si>
    <t>Count Fees</t>
  </si>
  <si>
    <t>Header in blue font left justified</t>
  </si>
  <si>
    <t>#</t>
  </si>
  <si>
    <t>Column Header: blue with white font, center justified
Displays count sequence number; center justified, can manually adjust column width &amp; change placement of column</t>
  </si>
  <si>
    <t>Defect 59</t>
  </si>
  <si>
    <t>Column Header: blue with white font, center justified
Displays section code; left justified, can manually adjust column width &amp; change placement of column</t>
  </si>
  <si>
    <t>Statute</t>
  </si>
  <si>
    <t>Column Header: blue cell - no text
Displays statute code; center justified, can manually adjust column width &amp; change placement of column</t>
  </si>
  <si>
    <t>Defect 59, 60</t>
  </si>
  <si>
    <t>OL</t>
  </si>
  <si>
    <t>Column Header: blue cell - no text
Displays offense level; center justified, can manually adjust column width &amp; change placement of column</t>
  </si>
  <si>
    <t>Defect 59, 61</t>
  </si>
  <si>
    <t>Dt. Viol</t>
  </si>
  <si>
    <t>Column Header: blue with white font, center justified
Displays DOV; left justified mm/dd/yy, can manually adjust column width &amp; change placement of column</t>
  </si>
  <si>
    <t>TS Elig</t>
  </si>
  <si>
    <t>Column Header: blue with white font, center justified
Displays 0/1 indicator (0 = Not Eligible, 1 = Eligible and checkmark indicator); center justified, can manually adjust column width &amp; change placement of column</t>
  </si>
  <si>
    <t>21WM02461, GG161869PEA</t>
  </si>
  <si>
    <t>Defect 59, 62</t>
  </si>
  <si>
    <t>Base Bail</t>
  </si>
  <si>
    <t>Column Header: blue with white font, center justified
Displays base bail, right justified, can manually adjust column width &amp; change placement of column</t>
  </si>
  <si>
    <t>PoC Amt</t>
  </si>
  <si>
    <t>Column Header: blue with white font, center justified
Displays proof of correction amount; right justified, can manually adjust column width &amp; change placement of column</t>
  </si>
  <si>
    <t>PoC</t>
  </si>
  <si>
    <t>Column 9</t>
  </si>
  <si>
    <t>Column Header: blue with white font, center justified
Displays checkbox (read only - no functionality); center justified, can manually adjust column width &amp; change placement of column</t>
  </si>
  <si>
    <t>Defect 59
Need test case with PoC</t>
  </si>
  <si>
    <t>Status</t>
  </si>
  <si>
    <t>Column 10</t>
  </si>
  <si>
    <t>Column Header: blue with white font, center justified
Displays count disposition; left justified, can manually adjust column width &amp; change placement of column</t>
  </si>
  <si>
    <t>Defect 59, 63</t>
  </si>
  <si>
    <t>Dispo Dt.</t>
  </si>
  <si>
    <t>Column 11</t>
  </si>
  <si>
    <t>Column Header: blue with white font, center justified
Displays count disposition; left justified mm/dd/yy, can manually adjust column width &amp; change placement of column</t>
  </si>
  <si>
    <t>Defect 59, 64</t>
  </si>
  <si>
    <t>Due Amt</t>
  </si>
  <si>
    <t>Column 12</t>
  </si>
  <si>
    <t>Column Header: blue with white font, center justified
Displays amount due, right justified, can manually adjust column width &amp; change placement of column</t>
  </si>
  <si>
    <t>[#] # of Counts</t>
  </si>
  <si>
    <t>Displays total number of counts
Left justified under line separating rows</t>
  </si>
  <si>
    <t>Total Counts Amt Due</t>
  </si>
  <si>
    <t>Displays total counts amount due (sum)
Right justified under line separating rows; aligned with # of counts</t>
  </si>
  <si>
    <t>Double click count sequence row to open Bail Schedule (read only)</t>
  </si>
  <si>
    <t>Counter Payment Fees</t>
  </si>
  <si>
    <t>Fee Type</t>
  </si>
  <si>
    <t>Column Header: displays blue with white font, center justified
Displays fee type description, left justified</t>
  </si>
  <si>
    <t>Defect 66</t>
  </si>
  <si>
    <t>Dt. Assessed</t>
  </si>
  <si>
    <t>Column Header: displays blue with white font, center justified
Displays date fee assessed mm/dd/yy, center justified</t>
  </si>
  <si>
    <t>Defect 67</t>
  </si>
  <si>
    <t>Fee Amt</t>
  </si>
  <si>
    <t>Column Header: displays blue with white font, center justified
Displays fee amount, right justified</t>
  </si>
  <si>
    <t>Defect 68</t>
  </si>
  <si>
    <t>[#] # of Fees</t>
  </si>
  <si>
    <t>Displays total number of fees
Left justified under line separating rows</t>
  </si>
  <si>
    <t>Total Fees Due</t>
  </si>
  <si>
    <t>Displays total sum of fees due
Right justified under line separating rows; aligned with # of Fees</t>
  </si>
  <si>
    <t>Case Summary Fiscal Tab</t>
  </si>
  <si>
    <t>Fines &amp; Fees</t>
  </si>
  <si>
    <t>Column Header: blue row with white font, left justified
Displays separate rows for descriptions Fines, PA, Fees, VR Admin Fee, left justified</t>
  </si>
  <si>
    <t>Defect 69</t>
  </si>
  <si>
    <t>Due</t>
  </si>
  <si>
    <t>Column Header: blue row with white font, center justified
Displays separate rows for amounts due of Fines, PA, Fees, VR Admin Fee, right justified</t>
  </si>
  <si>
    <t>Defect 70</t>
  </si>
  <si>
    <t>Paid</t>
  </si>
  <si>
    <t>Column Header: blue row with white font, center justified
Displays separate rows for amounts paid of Fines, PA, Fees, VR Admin Fee, right justified</t>
  </si>
  <si>
    <t>Column Header: blue row with white font, center justified
Displays separate rows for amount remaining (balance) of Fines, PA, Fees, VR Admin Fee, right justified</t>
  </si>
  <si>
    <t>Sub Total</t>
  </si>
  <si>
    <t>Displays separate row under line separating rows
Title: right justified, separate cell for each subtotal (Due, Paid, Balance columns) - right justified</t>
  </si>
  <si>
    <t>Defect 71</t>
  </si>
  <si>
    <t>Victim Restitution (sub section)</t>
  </si>
  <si>
    <t>Header in blue row white font left justified</t>
  </si>
  <si>
    <t>Defect 72</t>
  </si>
  <si>
    <t>Row titles: left justified
Displays row for Victim Restitution, right justified</t>
  </si>
  <si>
    <t>Defect 73</t>
  </si>
  <si>
    <t>VR Interest</t>
  </si>
  <si>
    <t>Row titles: left justified
Displays row for VR interest, right justified</t>
  </si>
  <si>
    <t>Row title: right justified
Displays sub totals for Victim Restitution section, right justified</t>
  </si>
  <si>
    <t>Defect 73, 74</t>
  </si>
  <si>
    <t>Case Summary Fiscal Tab
(sub section)</t>
  </si>
  <si>
    <t>Case Total</t>
  </si>
  <si>
    <t>Row title: right justified, below line under Sub Total row
Displays sum of Fines/Fees and VR subtotals for each column (Due, Paid, Balance), right justified</t>
  </si>
  <si>
    <t>Defect 73, 74, 75</t>
  </si>
  <si>
    <t>Docket Code Tools</t>
  </si>
  <si>
    <t>Process button</t>
  </si>
  <si>
    <t>Green button with "Process" in white text; text is centered in box
Placement: aligned with title, left of Recalc button</t>
  </si>
  <si>
    <t>NBE00066742</t>
  </si>
  <si>
    <t>Defect 76</t>
  </si>
  <si>
    <t>Recalc button</t>
  </si>
  <si>
    <t>Orange button with "Recalc" in white text; text is centered in box
Placement: aligned with title, right of Process button; edge is aligned with section data box</t>
  </si>
  <si>
    <t>Defect 77</t>
  </si>
  <si>
    <t>FSPDSVD</t>
  </si>
  <si>
    <t>Checkbox placed in left corner of box; text is top justified
Docket code left justified in white text, DC title in alignment with DC and left justified
Orange "S" in right corner of box</t>
  </si>
  <si>
    <t>Defect 20</t>
  </si>
  <si>
    <t>Checkbox selected, row highlights in blue and docket code parameters appear
Below parameters, long text preview displays under line placed below parameters
Update docket code parameter(s) and select Process
Docket code saves successfully to Minutes</t>
  </si>
  <si>
    <t>Checkbox selected, manually select FSPDSVD section, then docket code parameters appear
Below parameters, long text preview displays under line paced below parameters, text is not suppressed.
Updating one docket code parameter does not update the remaining fields.
Docket code saves to Minutes; text is not suppressed</t>
  </si>
  <si>
    <t>Defects 3, 9, 33, 34</t>
  </si>
  <si>
    <t>FXDCDR</t>
  </si>
  <si>
    <t>Checkbox placed in left corner of box; text is top justified
Docket code left justified in white text, DC title in alignment with DC and left justified</t>
  </si>
  <si>
    <t>Checkbox selected, row highlights in blue and docket code long text appears
Select Process
Docket code saves successfully to Minutes</t>
  </si>
  <si>
    <t>Checkbox selected, manually select FXDCDR section, then docket code parameters appear
Select Process
Docket code saves successfully to Minutes</t>
  </si>
  <si>
    <t>Defect 9</t>
  </si>
  <si>
    <t>FXBDSM</t>
  </si>
  <si>
    <t>FSBDSM</t>
  </si>
  <si>
    <t>Checkbox selected, manually select FSBDSM section, then docket code parameters appear
Select Process
Docket code saves successfully to Minutes</t>
  </si>
  <si>
    <t>19HM11624</t>
  </si>
  <si>
    <t>Defect 9, Defect 31</t>
  </si>
  <si>
    <t>SVCRMFEM</t>
  </si>
  <si>
    <t>Defect 31</t>
  </si>
  <si>
    <t>FSTXT</t>
  </si>
  <si>
    <t>Checkbox selected, manually select FXDCDR section, then docket code parameters appear
Below parameters, long text preview displays under line placed below parameters
Update docket code parameter(s) and select Process
Docket code saves successfully to Minutes</t>
  </si>
  <si>
    <t>FSBDS</t>
  </si>
  <si>
    <t>FSBDSC</t>
  </si>
  <si>
    <t>FSBDSNC</t>
  </si>
  <si>
    <t>FSBDSPF</t>
  </si>
  <si>
    <t>MADCSTP</t>
  </si>
  <si>
    <t>SVCRMFEC</t>
  </si>
  <si>
    <t>SVCRMSRF</t>
  </si>
  <si>
    <t>Defect 32</t>
  </si>
  <si>
    <t>FSBDSRF</t>
  </si>
  <si>
    <t>Various</t>
  </si>
  <si>
    <t>Process multiple docket codes at the same time</t>
  </si>
  <si>
    <t>Void/Reversals</t>
  </si>
  <si>
    <t>Header in blue text left justified</t>
  </si>
  <si>
    <t>Receipt</t>
  </si>
  <si>
    <t>Column title: blue with white text, center justified
Displays receipt number, center justified</t>
  </si>
  <si>
    <t>21NF3004</t>
  </si>
  <si>
    <t>Defect 19, 79</t>
  </si>
  <si>
    <t>Column title: blue with white text, center justified
Displays remit type, center justified</t>
  </si>
  <si>
    <t>Column title: blue with white text, center justified
Displays transaction type, center justified</t>
  </si>
  <si>
    <t>Column title: blue with white text, center justified
Displays transaction date mm/dd/yy, center justified</t>
  </si>
  <si>
    <t>Column title: blue with white text, center justified
Displays transaction amount, right justified</t>
  </si>
  <si>
    <t>All Columns</t>
  </si>
  <si>
    <t>Click header sorts in ascending/descending order; can manually adjust column width and placement</t>
  </si>
  <si>
    <t xml:space="preserve">Defect </t>
  </si>
  <si>
    <t>PASS</t>
  </si>
  <si>
    <t>LA114825PE -Arvizuclark, Eric Mychal</t>
  </si>
  <si>
    <t>Retested 6-26-25 Pass</t>
  </si>
  <si>
    <t>Window freezes when clicking on {X} to exit and I have to force close out of Vision completely</t>
  </si>
  <si>
    <t>Missing window title to the right of gavel icon</t>
  </si>
  <si>
    <t>- Court location next to OC Pay #
- "Case" verbiage is showing below header and should not be and Binocular icon is missing</t>
  </si>
  <si>
    <t>Missing Binocular Icon</t>
  </si>
  <si>
    <t>25HM02582 w/ X-Ref Case 25H01912</t>
  </si>
  <si>
    <t>DEV-TEST81621A</t>
  </si>
  <si>
    <t>Fiscal Case Analysis info message "No Rows retrieved" message is not displaying</t>
  </si>
  <si>
    <t xml:space="preserve">P38354	Trejo, Erik  </t>
  </si>
  <si>
    <t>Refresh button is missing</t>
  </si>
  <si>
    <t xml:space="preserve">Will test when this is aviable </t>
  </si>
  <si>
    <t>Found a case with data</t>
  </si>
  <si>
    <t xml:space="preserve">25HM02597 - Hernandezochoa, Angel  </t>
  </si>
  <si>
    <t xml:space="preserve">SHDP0323669 - Farias, Iliana M </t>
  </si>
  <si>
    <t xml:space="preserve">- Default triangle on Date is not occuring
- Up/Down arrow is being used instead of triangle
- Sorting on Remittance does not indicate that column is being sorted
</t>
  </si>
  <si>
    <t>- On multiple rows you cannot sort on Remittance as your fist choice
- On multiple sort tool tips is not showing.  The sorting information is being numbered and is cutting into the Rcpt/Chk title</t>
  </si>
  <si>
    <t>No records to display</t>
  </si>
  <si>
    <t xml:space="preserve">23HM06146 -Farrell, Ryan Patrick </t>
  </si>
  <si>
    <t>Already reported by Brooke</t>
  </si>
  <si>
    <t xml:space="preserve">23HM06146	Farrell, Ryan Patrick </t>
  </si>
  <si>
    <t>IRC198365 - Corona</t>
  </si>
  <si>
    <t>Pending fix of defect before testing</t>
  </si>
  <si>
    <t>24HM08655 - BROCK</t>
  </si>
  <si>
    <t>24HM08665 - BROCK</t>
  </si>
  <si>
    <t>Brooke already reported on the color</t>
  </si>
  <si>
    <t>Pending fix of defect before retesting</t>
  </si>
  <si>
    <t>7JD2006QH - FARRIS</t>
  </si>
  <si>
    <t>Docket code FSRLREM in Minutes but not suppressed</t>
  </si>
  <si>
    <t>Popup reads "Unlock All" and message is "? Are you sure you want to unlock All remittances?"</t>
  </si>
  <si>
    <t>24HM05802 - CORONATORRES</t>
  </si>
  <si>
    <t>See defect #83</t>
  </si>
  <si>
    <t xml:space="preserve">ATP Remit
Unlocked (green switch), button used, switch changes to orange (locked)
Unlock All button
- When remittance is locked and you click on the "Unlock all" button the popup of "Unlock All" with (?) icon and message reads "Are you sure you want to unlock All remittances?"
- When you click "OK" you get the popup "Unlock Remittance" with (?) icon and message reads "Receipt nbr:.... You are attempting to unlock an ATP remittance.  Do you wish to proceed? 
- If you click on Yes then docket code FSULREM is added to the Minutes and suppressed.
- Docket code FSULREM is added to the Minutes and suppressed. 
Lock All button
- When remittance is unlocked and you click on "Lock all" button the popup of "Unlock All" with (?) icon and message reads "Are you sure you want to lock All remittances?"
Docket code 
FYI:  The popup label in Vision window appears to be incorrect.
Docket code FSRLREM is added to the Minutes and suppressed.  </t>
  </si>
  <si>
    <t xml:space="preserve">
Unlock all button
- When remittance is locked and you click on "Unlock all" button the popup of "Confirm Unlock All" and the message reads "Are you sure you want to unlcok all payments for this case?  
- If you click on the Unlock All button then you get a popup window  of - Popup of Visionngwebdev.azurewebsites.us.says "Success: 1 payment unlocked successfully with "OK".  This is an extra step.  NG-FCA only locked the remittance.
- FSULREM is in the Minutes and not being suppressed
Lock All button
- When remittance is unlocked and you click on "Lock all" button the popup of "Confirm Lock All" and message reads "Are you sure you want to lock all eligible payments for this case?  
- If you clcik on the "Lock All" button another Popup of Visionngwebdev.azurewebsites.us.says "Success: 1 payment locked successfully with "OK" button.  Window is adding an extra step.  NG-FCA only locked two remittances where the regular window locked all of the remittances.
- FSRLREM is in the Minutes and not being suppressed</t>
  </si>
  <si>
    <t>00QC0066B - Tranchina, Michael</t>
  </si>
  <si>
    <t xml:space="preserve">NG-FCA
</t>
  </si>
  <si>
    <t xml:space="preserve">Paid/Satisfied Remit
Unlocked (green switch), button used, switch changes to orange (locked)
Unlock All button
- When some remittances are locked and you click on the "Unlock all" button the popup of "Unlock All" with (?) icon and message reads "Are you sure you want to unlock All remittances?"
- When you click "OK" you get the popup "Unlock Remittance" with (?) icon and message reads "Receipt nbr:.... You are attempting to unlock a Paid/Satisfied.  Do you wish to proceed? 
- If you click on Yes then docket code FSULREM are in the Minutes and suppressed on those remittances that were unlocked.
Lock All button
- When some remittances are unlocked and you click on "Lock all" button the popup of "Unlock All" with (?) icon and message reads "Are you sure you want to lock All remittances?"
Docket code FSRLREM are added to the Minutes and suppressed for those remittances that were locked
FYI:  The popup label in Vision window appears to be incorrect.
</t>
  </si>
  <si>
    <t xml:space="preserve">Unlock all button
- When some remittances are locked and you click on "Unlock all" button the popup of "Confirm Unlock All" and the message reads "Are you sure you want to unlcok all payments for this case?  
- If you click on the Unlock All button then you get a popup window  of - Popup of Visionngwebdev.azurewebsites.us.says "Success: 2 payments unlocked successfully with "OK".  This is an extra step.  NG-FCA only locked the remittance.
- FSULREM are added to the Minutes and not being suppressed.  NG-FCA is unlocking 2 remittances versus Vision-FCA unlocking 4 remittances
Lock All button
- When some remittances are unlocked and you click on "Lock all" button the popup of "Confirm Lock All" and message reads "Are you sure you want to lock all eligible payments for this case?  
- If you clcik on the "Lock All" button another Popup of Visionngwebdev.azurewebsites.us.says "Success: 1 payment locked successfully with "OK" button.  Window is adding an extra step.  NG-FCA only locked two remittances where the regular window locked all of the remittances.
- FSRLREM is in the Minutes and not being suppressed.  Descripancies occuring between the number of remittances being locked via NG-FCA versus Vision-FCA on the same case.  
- Recopied the case and descripancies is duplicated.
</t>
  </si>
  <si>
    <t xml:space="preserve">15NM06836 - Blackburn, Leslie Ann 
----------
</t>
  </si>
  <si>
    <t xml:space="preserve">See also defect #87
'- When you are in the FCA window (initial case PL369477) and use the search to pull up a different case (retrieved case ANE249934).  The window retieves the new case and incorrectly displays the Case Payment History of the previous case.
- It incorrectly allows the user to lock the remittance that does not belong to the case and adds docket code FSRLREM to the minutes with remittance receipt #20178951 which does not belong to case ANE249934.   
- When you pull up the initial case PL369477 the processes locked the remittance receipt #20178951 on the case.  </t>
  </si>
  <si>
    <t xml:space="preserve">Appears on latest eligible remittance
Locked is only the latest Transaction Application and not on the Transaction Misapplication
Display Misapplication amount as $-60.00
</t>
  </si>
  <si>
    <t>Locked is only the latest Transaction Application and not on the Transaction Misapplication
Display Misapplication amount inside left/right parenthesises ($60.00)</t>
  </si>
  <si>
    <t xml:space="preserve">LH471787 - Gheen, Jonny Stanley </t>
  </si>
  <si>
    <t>VISAR-4703 CPH changes</t>
  </si>
  <si>
    <t>Lock does not appear on remittance that has been void.</t>
  </si>
  <si>
    <t>IRM596036 - DIAZ-FAIL
TE060327 - Gittelman-PASS</t>
  </si>
  <si>
    <t>No records to display - Unable to test</t>
  </si>
  <si>
    <t>SHSJ0341863 - CABRERAGONZALEZ</t>
  </si>
  <si>
    <t>Violation column is dispalying code number and not the violation type 
Next to violation column is missing the charge type column (for example "VC")
Next to the charge type column the offense level is missing (for example "M" for Misd.
TS Elig Column is not showing a value and is blank
Status column is showing a code number and not the description (for example "Pled Nolo Contendere"</t>
  </si>
  <si>
    <t>23HM06146 - farrell</t>
  </si>
  <si>
    <t>See defect #15</t>
  </si>
  <si>
    <t>Column Header: displays blue with white font, center justified
Displays date fee amount, center justified</t>
  </si>
  <si>
    <t>Column Header: displays blue with white font, center justified
Displays date fee assessed mm/dd/yy, right justified</t>
  </si>
  <si>
    <t>- Docket code FSBDS is missing the suppressed indicator.  D-ST is not in sync with Production.  CRMT will show the [S] indicator
After you select from the drop down reason the veribage being display in the section is not showing with the stirke throught line
- Same with FXDCDR, FSTXT,  &amp; MADCSTP:  DT-ST is not in sync with Production.  CRMT will show the [S] indicator
----------------------------------------------------------------------------------------------
- Docket code SVCRMFEM is showing the suppressed indicator.  D-ST is not in sync with Production.  CRMT does not show an indcator for this docket code.</t>
  </si>
  <si>
    <t>23HM06146 - FARRELL</t>
  </si>
  <si>
    <t>same</t>
  </si>
  <si>
    <t>FAIL</t>
  </si>
  <si>
    <t>Displays receipt number needs to be center justified</t>
  </si>
  <si>
    <t>Displays remit type needs to be center justified</t>
  </si>
  <si>
    <t>Displays transaction type needs to be center justified</t>
  </si>
  <si>
    <t>See defect log</t>
  </si>
  <si>
    <t>23HM06146 - Farrell</t>
  </si>
  <si>
    <t>Unable to sort on columns and adjust width and placement</t>
  </si>
  <si>
    <t>Type</t>
  </si>
  <si>
    <t>Data Element</t>
  </si>
  <si>
    <t>Sub Dat Element</t>
  </si>
  <si>
    <t>Vision NG - Defect Scenario</t>
  </si>
  <si>
    <t>Vision Window</t>
  </si>
  <si>
    <t>CRMD Case Number</t>
  </si>
  <si>
    <t>BSA</t>
  </si>
  <si>
    <t>Date Reported</t>
  </si>
  <si>
    <t>Date Retested</t>
  </si>
  <si>
    <t>FS% DCs</t>
  </si>
  <si>
    <t>Selecting any 'Account Payable' fees will display fee data from the row above</t>
  </si>
  <si>
    <t>Selecting any 'Account Payable' fees will display the 'Account Payable' fee data</t>
  </si>
  <si>
    <t>BY</t>
  </si>
  <si>
    <t xml:space="preserve">Sometimes but not always a defect. Defect Case # </t>
  </si>
  <si>
    <t>Closing/Exiting</t>
  </si>
  <si>
    <t>Exiting window</t>
  </si>
  <si>
    <t xml:space="preserve">Window does not freezes up when clicking on [X] button </t>
  </si>
  <si>
    <t>CL</t>
  </si>
  <si>
    <t>Re-testing successful.  Issue resolved.</t>
  </si>
  <si>
    <t>Selecting Checkbox</t>
  </si>
  <si>
    <t>Selecting Checkbox does not highlight the docket code blue or display docket code parameters. You have to select the docket code label section to view the docket code parameters</t>
  </si>
  <si>
    <t>Selecting checkbox highlights the docket code blue and displays docket code parameters</t>
  </si>
  <si>
    <t>Returning from Minutes</t>
  </si>
  <si>
    <t>After opening minutes from the second row vision icons, then returning to FCA Blazor, no icons are selectable, no areas are scrollable, and you must use Task Manager to close the Vision application.</t>
  </si>
  <si>
    <t>Returning to FCA window allows for continued updates</t>
  </si>
  <si>
    <t>Cancelling Case Search</t>
  </si>
  <si>
    <t>When FCA is open with a case, binocular search is selected, binocular search is cancelled or X is selected, Vision application is no longer selectable and you must use Task Manager to close the Vision application.</t>
  </si>
  <si>
    <t xml:space="preserve">Using FCA would remain open </t>
  </si>
  <si>
    <t>Issue Resolved</t>
  </si>
  <si>
    <t>All Related Scenarios</t>
  </si>
  <si>
    <t>Remittances do not appear sometimes</t>
  </si>
  <si>
    <t>Remittances appear</t>
  </si>
  <si>
    <t>Column Headers</t>
  </si>
  <si>
    <t>Mid column title</t>
  </si>
  <si>
    <t>MId column title</t>
  </si>
  <si>
    <t>Column Sort</t>
  </si>
  <si>
    <t>Remittance, Transaction columns do not sort</t>
  </si>
  <si>
    <t>All columns should sort</t>
  </si>
  <si>
    <t>Docket code minutes do not suppress when processed</t>
  </si>
  <si>
    <t>Docket code minutes are suppressed</t>
  </si>
  <si>
    <t>CRMD docket code version is not suppressed. Not a true defect.</t>
  </si>
  <si>
    <t>Unlock All</t>
  </si>
  <si>
    <t>Success, 1 payment unlocked successfully' message. 4 remittances were locked initially</t>
  </si>
  <si>
    <t>All locked remittances unlock</t>
  </si>
  <si>
    <t>SH373226, 15WM14863</t>
  </si>
  <si>
    <t>Lock All</t>
  </si>
  <si>
    <t>Success, 1 payment unlocked successfully' message. 5 remittances were unlocked initially</t>
  </si>
  <si>
    <t>All locked remittances lock</t>
  </si>
  <si>
    <t xml:space="preserve">Lock all sometimes, but not always locks multiple remittances. </t>
  </si>
  <si>
    <t>Refresh Button</t>
  </si>
  <si>
    <t>Refresh Button is missing; F3 refresh does not work</t>
  </si>
  <si>
    <t>Refresh Button refreshes window</t>
  </si>
  <si>
    <t>Toggle Lock</t>
  </si>
  <si>
    <t>"Are you sure you want to [Lock / Unlock] this remittance?" message does not appear when toggle is selected.</t>
  </si>
  <si>
    <t>Message appears</t>
  </si>
  <si>
    <t>7HVB0007F, 15WM14863</t>
  </si>
  <si>
    <t>Window Load</t>
  </si>
  <si>
    <t>Opening FCA Blazor displays search field first</t>
  </si>
  <si>
    <t>Opening FCA displays FCA sections, then case search on top</t>
  </si>
  <si>
    <t>Header / Columns</t>
  </si>
  <si>
    <t xml:space="preserve">Violation column is dispalying code number and not the violation type 
Next to violation column is missing the charge type column (for example "VC")
Next to the charge type column the offense level is missing (for example "M" for Misd.
TS Elig Column is not showing a value and is blank
TS Elig Column is showing a check mark but not a number next to it
Status column is showing a code number and not the description (for example "Pled Nolo Contendere") </t>
  </si>
  <si>
    <t>23HM06146 - Farrell
7HW7012QC - Macias</t>
  </si>
  <si>
    <t>Rcpt/Check</t>
  </si>
  <si>
    <t>Consecutive remittances for the same receipt number list the same receipt number multiple times</t>
  </si>
  <si>
    <t>The single receipt number should display if there are consecutive remittances for the same receipt number</t>
  </si>
  <si>
    <t>Date column is not center justified</t>
  </si>
  <si>
    <t>Date column should be center justified</t>
  </si>
  <si>
    <t>Suppressed Indicator [S]
Not in sync</t>
  </si>
  <si>
    <t xml:space="preserve">- Docket code FSBDS is missing the suppressed indicator.  D-ST is not in sync with Production.  CRMT will show the [S] indicator
After you select from the drop down reason the veribage being display in the section is not showing with the stirke throught line
- Same with FXDCDR, FSTXT,  &amp; MADCSTP:  DT-ST is not in sync with Production.  CRMT will show the [S] indicator
----------------------------------------------------------------------------------------------
- Docket code SVCRMFEM is showing the suppressed indicator.  D-ST is not in sync with Production.  CRMT does not show an indcator for this docket code.
 </t>
  </si>
  <si>
    <t>Contain [S] indicator next to FSBDS</t>
  </si>
  <si>
    <t>Able to sort on columns and adjust width and placement</t>
  </si>
  <si>
    <t>Display of Docket Codes</t>
  </si>
  <si>
    <t>- SVCRMFEC, SVCRMFEM, AND SVCRMSRF is overlaying the title/description
- Listing of DCs is being display out of order</t>
  </si>
  <si>
    <t>- Displaying with cutting into the title/description
- DCs displayed in the following order:  FSPDSV, FXDCDR, FSBDSM (see window for display order)</t>
  </si>
  <si>
    <t>Lock/ Unlock All - ATP</t>
  </si>
  <si>
    <t>Second warning message does not appear before saving lock/ unlock</t>
  </si>
  <si>
    <t xml:space="preserve"> “You are attempting to unlock a Paid/Satisfied and/or ATP remittance. Do you wish to proceed?” Yes = unlock, No = no update and remittance remains locked</t>
  </si>
  <si>
    <t>Toggle Unlock - ATP</t>
  </si>
  <si>
    <t>Unlock only - missing warning message to unlock ATP remittance</t>
  </si>
  <si>
    <t>Should see warning message for ATP remittance</t>
  </si>
  <si>
    <t>Lock/ Unlock All - P/S</t>
  </si>
  <si>
    <t>Toggle Unlock - P/S</t>
  </si>
  <si>
    <t>Unlock only - missing warning message to unlock Paid/ Satisfied remittance</t>
  </si>
  <si>
    <t>Should see warning message for Paid/Satisfied remittance</t>
  </si>
  <si>
    <t>Receipt
Remittance
Transaction</t>
  </si>
  <si>
    <t>Displays receipt number needs to be center justified
Displays remit type needs to be center justified
Displays transaction type needs to be center justified</t>
  </si>
  <si>
    <t>Displays receipt number, center justified
Displays remit type, center justified"
Displays transaction type, center justified</t>
  </si>
  <si>
    <t>P38254 - TREJO</t>
  </si>
  <si>
    <t xml:space="preserve">Button is showing but missing the binocular icon
Fiscal Case Analysis info message "No Rows retrieved" message is not displaying when you close out of Case Search popup
</t>
  </si>
  <si>
    <t>Binocular icon is showing and informational message is diplaying when you close out of Case Search popup</t>
  </si>
  <si>
    <t>Missing Refresh button</t>
  </si>
  <si>
    <t>Sort each column
Multi-Sort columns</t>
  </si>
  <si>
    <t xml:space="preserve">Default triangle on Date is not displaying.  Up/Down arrow is being displayed.
----------------------------------------------------------------------------------------------------
- When multiple rows exist you cannot sort on Remittance as your fist choice
- On multiple sort tool tips is not showing.  The sorting information is being numbered and is cutting into the Rcpt/Chk title"
</t>
  </si>
  <si>
    <t>Each column sort in asc/desc order when selected; white triangle appears to indicate which order
---------------------------------------------------------------------------
Select one column to sort; CTRL + select second column to add
Hover over white triangle sort and tooltip appears showing filters
Multi-Sort removed when user clicks different column to sort, section sorts asc/desc based on selection</t>
  </si>
  <si>
    <t xml:space="preserve">
25HM02597 - Hernandezochoa
------------
SHDP0323669 - Farias</t>
  </si>
  <si>
    <t>Error Message</t>
  </si>
  <si>
    <t>Error message spelling error 'Detials' and 'Procesor'. Error message format does not match existing window</t>
  </si>
  <si>
    <t>Error message format should match existing</t>
  </si>
  <si>
    <t>FSBDS, MADCSTP</t>
  </si>
  <si>
    <t>Statistic dropdown list order does not match CRMD</t>
  </si>
  <si>
    <t>Statistic dropdown list should be ordered by the code description alphabetically</t>
  </si>
  <si>
    <t>All docket codes with error</t>
  </si>
  <si>
    <t>Error message will display, but docket code will successfully save on case</t>
  </si>
  <si>
    <t>If error message displays, docket code should not save on case.</t>
  </si>
  <si>
    <t>Fee type dropdown list has an extra column header 'Pr...' that offsets the column headers from the column values
Fee type dropdown list has an extra column 'Sent.' with $ values and 'Assessed Amount' displays numbers or null.</t>
  </si>
  <si>
    <t>Fee type dropdown headers and values should match FCA window
Assessed amount column should display dollar values, Sent Seq Nbr should display numbers or null.</t>
  </si>
  <si>
    <t>All docket code parameter dropdowns are missing the 'Date' Column</t>
  </si>
  <si>
    <t>All docket code parameter values, columns, and text alignment should match FCA window</t>
  </si>
  <si>
    <t>Amount column text alignment is left aligned</t>
  </si>
  <si>
    <t xml:space="preserve">Amount column should be right aligned
</t>
  </si>
  <si>
    <t>SVCRMFEC, SVCRMFEC, SVCRMSRF</t>
  </si>
  <si>
    <t>All docket code parameter dropdowns are missing 'Sent. Seq. #' column</t>
  </si>
  <si>
    <t>Columns should match FCA window</t>
  </si>
  <si>
    <t xml:space="preserve">Docket code parameter values sort </t>
  </si>
  <si>
    <t>Docket code parameter value sort matches FCA window</t>
  </si>
  <si>
    <t>6/27: Not sure what the correct sort order is</t>
  </si>
  <si>
    <t>All Scenarios under 160</t>
  </si>
  <si>
    <t>Click header sorts in ascending/descending order; can manually adjust column width and placement does not work</t>
  </si>
  <si>
    <t>Window header includes ' - [Court Location]'
Window header is missing dash between 'OC Pay#' and the OC pay number
'OC Pay#' and 'Fiscal Case Analysis' text is bold
Image that does not load displays in upper left corner of header</t>
  </si>
  <si>
    <t>Window header text should match FCA window
Full header font style should match FCA window</t>
  </si>
  <si>
    <t>a) Sections to the right of 'Docket Code Tools' and below 'Case Statistic' or not visible on normal monitors
b) Window background is light blue
c) Case Payment History and Counter Payment Fees combined width &gt; Count Fees width
d) Counter Payment Fees, Case Summary Fiscal Tab, and Victim Restitution sections have varied height and width
e) Combined height of case payment history/ case due amount component detail, case payment history/ case summary/ counter/ case statistic, and counter payment fees/ case summary fiscal tab/ victim restitution varies.
f) Docket Code tools section height is larger than Case payment history/ case due amount component detail combined height</t>
  </si>
  <si>
    <t>a)Screens should fit normal monitor displays
b) Window background is white
c) Case Payment History and Counter Payment Fees combined width = Count Fees width
d) Counter Payment Fees, Case Summary Fiscal Tab, and Victim Restitution sections match height and width
e) Combined height of case payment history/ case due amount component detail, case payment history/ case summary/ counter/ case statistic, and counter payment fees/ case summary fiscal tab/ victim restitution matches.
f) Docket Code tools section height equals Case payment history/ case due amount component detail combined height</t>
  </si>
  <si>
    <t>Window Icon</t>
  </si>
  <si>
    <t>Window icon and the window section next to gavel say 'Vision'</t>
  </si>
  <si>
    <t>Window icon and window section next to gavel say 'Fiscal Case Analysis'</t>
  </si>
  <si>
    <t>Displays 5 columns up to 4 rows with varied field arrangements</t>
  </si>
  <si>
    <t>4 columns, 4 rows. Each field should be left aligned for the column. Field titles shall be right aligned to the left of the field</t>
  </si>
  <si>
    <t>Case, OL, J/A Indicator</t>
  </si>
  <si>
    <t>Offense level indicator is left justified
J/A indicator is left justified</t>
  </si>
  <si>
    <t>Offense level indicator is center justified
J/A indicator is center justified</t>
  </si>
  <si>
    <t>Violation Location, Filing Agency, Filing Agency Case, Chg Doc, Originating Court, Court Loc, Originating Agency</t>
  </si>
  <si>
    <t>Displays dropdown icon on read only field</t>
  </si>
  <si>
    <t>Should display field only</t>
  </si>
  <si>
    <t>Amd #, Origination Dt, Orig. Arrest Dt, Dt Filed</t>
  </si>
  <si>
    <t>Field is left justified</t>
  </si>
  <si>
    <t>Field is center justified</t>
  </si>
  <si>
    <t>a) Title background is grey
b) Title has space above and below
c) Section displays title and column header only
d) Row heights / fonts do not display 9 rows
e) Rows alternate colors
f) Two scroll bars for section
g) No section border
h) No lines between column headers and cells
i) Unlocked Remittances have grey background
j) Locked Remittances have red/orange background</t>
  </si>
  <si>
    <t>a) Title background is white
b) Title height should fit title text height only
c) Section should display title, header, and values
d) Row heights/ fonts display 9 rows
e) Rows have white background
f) One scroll bar for section
g) Thin grey section border
h) White lines between column headers. Light grey lines between cells
i) Unlocked Remittances have green background
j) Locked Remittances have an orange background</t>
  </si>
  <si>
    <t>Background is green blue, blue text</t>
  </si>
  <si>
    <t>Header in blue, font white text</t>
  </si>
  <si>
    <t>All Fields besides 'Case Balance Due'</t>
  </si>
  <si>
    <t>a) Field title font is black
b) Fields are left justified</t>
  </si>
  <si>
    <t>a) Field title font is grey. Font should be small enough for the entire font title to appear on one line. Font size and style should match header field titles
b) Fields and titles should be right justified</t>
  </si>
  <si>
    <t>One field for sum of amount of priors on case</t>
  </si>
  <si>
    <t>Total Due and Paid To Date</t>
  </si>
  <si>
    <t>Total Due and Paid To Date are separate sections</t>
  </si>
  <si>
    <t>Total Due and Paid To Date should be in the same separate section</t>
  </si>
  <si>
    <t>Case Balance Due appears with other fields in 'Case Due Amount Component Detail' section</t>
  </si>
  <si>
    <t>Swith between windows</t>
  </si>
  <si>
    <t>FCA to other window</t>
  </si>
  <si>
    <t>- When you navigate from the FCA window and open other windows sometimes you get a bright flash before the other window is displayed and after a while it gives you a migraine
- When you are on the FCA window and use the quick launch icon for other widows the display shows an older window, flashes, and then displays the window you launch.</t>
  </si>
  <si>
    <t>Does not occur in regular CRMD</t>
  </si>
  <si>
    <t>Unlock / Lock Remittance</t>
  </si>
  <si>
    <t>Docket codes FSRLREM and FSULREM are being added to the Mintues.  Sometimes It is not being suprressed.</t>
  </si>
  <si>
    <t>Docket codes FSRLREM and FSULREM are displayed in the Minutes and suppressed</t>
  </si>
  <si>
    <t>7JD2006QH - Farris
24HM08665 - BROCK</t>
  </si>
  <si>
    <t>Case Summary, Counter, Count Fees, Counter Payment Fees, Case Summary Fiscal Tab, Docket Code Tools, Void/Reversals</t>
  </si>
  <si>
    <t>Background is light grey</t>
  </si>
  <si>
    <t>Background is white</t>
  </si>
  <si>
    <t>a) Description, Amount column headers
b) Case Balance left defined
c) Light blue background behind Case Balance title. Light blue background behind Amount field</t>
  </si>
  <si>
    <t>a) No Column Headers
b) Case Balance text is right aligned
c) Case Balance section is rectangular with rounded corners and a grey background. The amount field (no title) on the right in a white background. Case Balance title right aligned to the left of the amount field</t>
  </si>
  <si>
    <t>Row 1</t>
  </si>
  <si>
    <t>a) Amount is left justified
b) Balance Due section is rectangular</t>
  </si>
  <si>
    <t>a) Amount should be right justified
b) Balance Due section should have rounded corners</t>
  </si>
  <si>
    <t>Current Due, Payment Rec'd, Change/Short</t>
  </si>
  <si>
    <t>Large black text; fields are left aligned</t>
  </si>
  <si>
    <t>Font size, color, alignment should match header section for field titles: Right aligned, grey text, smaller font size</t>
  </si>
  <si>
    <t>Title / General</t>
  </si>
  <si>
    <t>a) Case Statistic section has title in light grey background
b) Rows for each case statistic display</t>
  </si>
  <si>
    <t>a) Case Statistic section should not have a title header, only column headers
b) Maximum 3 rows display for case statistic. Section has a scroll bar for more than 3 statistics</t>
  </si>
  <si>
    <t>Columns 1,2,3</t>
  </si>
  <si>
    <t>a) Light blue background, dark blue column header font
b) Columns width and placement are fixed
c) 5 rows display</t>
  </si>
  <si>
    <t>a) Blue background, white column header font
b) Column width and placement are adjustable
c) 3 rows should display with scroll bar as needed</t>
  </si>
  <si>
    <t>Columns 1-12</t>
  </si>
  <si>
    <t>a) # of Counts to the left of count value on the bottom left of Count Fees section
b) # of Counts font color is white
c) Total Counts Amt Due font color is white
d) Column Header width and placement is fixed
e) Column Header order is #, Charge, Violation, Type, Dt.Viol, TS Elig, Base Bail, PoC Amt, PoC, Status, Dispo DL, Due Amt
f) Cell background is alternating colors if multiple counts exist on a case
g) Column Headers have no lines between
h) Cell values have no lines between
i) Scroll bar appears regardless of the number of counts</t>
  </si>
  <si>
    <t>a) count value to the left of # of Counts on the bottom left of Count Fees section
b) # of Counts font color is grey
c) Total Counts Amt Due font color is white
d) Column Header width and placement is adjustable
e) Column Header order is #, Violation, blank (Statute), blank (Offense Level), Dt.Viol, TS Elig, Base Bail, PoC Amt, PoC, Status, Dispo Dt., Due Amt
f) Cell background should be white for all counts
g) Column Headers have white lines between
h) Cell values have light grey lines between
i) Scroll bar appears only when # of counts &gt; 2</t>
  </si>
  <si>
    <t>Statute displays code nbr</t>
  </si>
  <si>
    <t>Statute should display Code Value</t>
  </si>
  <si>
    <t>Offense level is not present</t>
  </si>
  <si>
    <t>Displays offense level; center justified</t>
  </si>
  <si>
    <t>TS Elig displays check mark if count is TS eligible</t>
  </si>
  <si>
    <t>Displays 0/1 indicator (0 = Not Eligible, 1 = Eligible and checkmark indicator); center justified</t>
  </si>
  <si>
    <t>Status display text 'Code' and the code nbr</t>
  </si>
  <si>
    <t>Status displays code description for the count disposition</t>
  </si>
  <si>
    <t>Dispo Dt. is center justified</t>
  </si>
  <si>
    <t>Dispo Dt. is left justified</t>
  </si>
  <si>
    <t>Column 4 and 5</t>
  </si>
  <si>
    <t>Includes 'Effective Date' and 'Fee Code' Columns</t>
  </si>
  <si>
    <t>Does not include 'Effective Date' and 'Fee Code' columns</t>
  </si>
  <si>
    <t>Fee Type column width is narrow</t>
  </si>
  <si>
    <t>Fee Type' column width should take up the unused space of 'Dt Assessed' and 'Fee Amt' columns</t>
  </si>
  <si>
    <t>Date format is MM/DD/YYYY</t>
  </si>
  <si>
    <t>[#] # of Fees and Total Fees Due</t>
  </si>
  <si>
    <t>Sections missing</t>
  </si>
  <si>
    <t>Sections present. [#] # of fees is left justified in bold dark grey text and Total Fees Due: is right justified in bold dark grey text.</t>
  </si>
  <si>
    <t>Column has black bold text light blue background</t>
  </si>
  <si>
    <t>Column has dark grey text, white background, left justified</t>
  </si>
  <si>
    <t>Columns 2,3,4</t>
  </si>
  <si>
    <t>Left Justified</t>
  </si>
  <si>
    <t>Right Justified</t>
  </si>
  <si>
    <t>a) Column 4 No dollar amount displays as '$0.00'
b) Column 1 text is left justified</t>
  </si>
  <si>
    <t>a) Column 4 No dollar amount displays as '($0.00)'
b) Column 1 text is right justified</t>
  </si>
  <si>
    <t>Victim Resititution</t>
  </si>
  <si>
    <t>Due', 'Paid', 'Balance' columns are labelled</t>
  </si>
  <si>
    <t>Due','Paid','Balance' column headers are not labelled</t>
  </si>
  <si>
    <t>Rows 1,2,3,4</t>
  </si>
  <si>
    <t>Rows 3,4</t>
  </si>
  <si>
    <t>a) Column 1 text is left justified
b) Column 1 background is blue or light grey</t>
  </si>
  <si>
    <t>a) Column 1 text is right justified
b) Column 1 background is white</t>
  </si>
  <si>
    <t>Row 4</t>
  </si>
  <si>
    <t>Column 4 No dollar amount displays as '$0.00'</t>
  </si>
  <si>
    <t>Column 4 No dollar amount displays as '($0.00)'</t>
  </si>
  <si>
    <t>Process Button has white background, black text, button shape is rectangle with rounded corners</t>
  </si>
  <si>
    <t>Process Button has green background, white text, button height is the same as the 'Docket Code Tools' text height, button shape is rectangle</t>
  </si>
  <si>
    <t>Recalc Button has white background, black text, button shape is rectangle with rounded corners</t>
  </si>
  <si>
    <t>Recalc Button has orange background, white text, button height is the same as the 'Docket Code Tools' text height, button shape is rectangle</t>
  </si>
  <si>
    <t>Parameters</t>
  </si>
  <si>
    <t>a) First section has light blue background
b) parameter field is bottom aligned with parameter label
c) required parameters have red asterick
d) text preview appears for all docket codes
e) suppressed indicator is red bold text '[S]'</t>
  </si>
  <si>
    <t>a) First section has white background
b) parameter field is middle aligned with parameter label
c) required parameters are bold and underlined
d) text preview appears for docket codes FSPDSVD, FXDCDR, FSTXT, FSBDS, FSBDSNC, FSBDSPF, MADCSTP, SVCRMFEC, SVCRMSRF, FSBDSRF only
e) suppressed indicator is orange box with white text 'S' in bold</t>
  </si>
  <si>
    <t>Columns 2,3</t>
  </si>
  <si>
    <t xml:space="preserve">Columns are left justified
</t>
  </si>
  <si>
    <t>Columns are center justified</t>
  </si>
  <si>
    <t>Column 4 may already be center justified. It is hard to tell without the column header lines</t>
  </si>
  <si>
    <t>Void/Reversal</t>
  </si>
  <si>
    <t>Columns 1,2,3,4,5</t>
  </si>
  <si>
    <t>a) Row background alternates colors blue and white
b) Rows are separated by lines</t>
  </si>
  <si>
    <t>a) Row background is white
b) Rows are columns are separated by light grey lines</t>
  </si>
  <si>
    <t>Row 2</t>
  </si>
  <si>
    <t>Warrant Amount displays</t>
  </si>
  <si>
    <t>Warrant Amount does not display</t>
  </si>
  <si>
    <t>21NF2004</t>
  </si>
  <si>
    <t>Records</t>
  </si>
  <si>
    <t>a) No records display if Reversal transaction type exists on the case
b) No records display if FTB remittances with Reversal, Bail Posting, or Voided transaction types exist on the case</t>
  </si>
  <si>
    <t>a) Reversal transaction types display in CPH section with no option to lock/ unlock
b) FTB remittances with Reversal, Bail Posting, or Voided transaction display in CPH section with no option to lock/ unlock</t>
  </si>
  <si>
    <t>67KJ000DD, 5G98002PN, GG161869PEA, 20WM11435</t>
  </si>
  <si>
    <t>Lock all / Unlock all</t>
  </si>
  <si>
    <r>
      <t xml:space="preserve">- Popup does not match Vision (label, title, etc.)
</t>
    </r>
    <r>
      <rPr>
        <u/>
        <sz val="11"/>
        <color theme="1"/>
        <rFont val="Calibri"/>
        <family val="2"/>
        <scheme val="minor"/>
      </rPr>
      <t>Lock All button</t>
    </r>
    <r>
      <rPr>
        <sz val="11"/>
        <color theme="1"/>
        <rFont val="Calibri"/>
        <family val="2"/>
        <scheme val="minor"/>
      </rPr>
      <t xml:space="preserve">
- When all remittances are unlocked and you click on "Lock all" button the popup of </t>
    </r>
    <r>
      <rPr>
        <b/>
        <sz val="11"/>
        <color theme="1"/>
        <rFont val="Calibri"/>
        <family val="2"/>
        <scheme val="minor"/>
      </rPr>
      <t>"Confirm Lock All"</t>
    </r>
    <r>
      <rPr>
        <sz val="11"/>
        <color theme="1"/>
        <rFont val="Calibri"/>
        <family val="2"/>
        <scheme val="minor"/>
      </rPr>
      <t xml:space="preserve"> and message reads "Are you sure you want to lock all eligible </t>
    </r>
    <r>
      <rPr>
        <b/>
        <sz val="11"/>
        <color theme="1"/>
        <rFont val="Calibri"/>
        <family val="2"/>
        <scheme val="minor"/>
      </rPr>
      <t>payments</t>
    </r>
    <r>
      <rPr>
        <sz val="11"/>
        <color theme="1"/>
        <rFont val="Calibri"/>
        <family val="2"/>
        <scheme val="minor"/>
      </rPr>
      <t xml:space="preserve"> for this case?  This will lock all payments that can be locked."  
- Popup of Visionngwebdev.azurewebsites.us.says "Success: 2 payments locked successfully with "OK" button.  Window is adding an extra step.  NG-FCA only locked two remittances where the regular window locked all of the remittances.
- FSRLREM is in the Minutes and not being suppressed
</t>
    </r>
    <r>
      <rPr>
        <u/>
        <sz val="11"/>
        <color theme="1"/>
        <rFont val="Calibri"/>
        <family val="2"/>
        <scheme val="minor"/>
      </rPr>
      <t>Unlock all button</t>
    </r>
    <r>
      <rPr>
        <sz val="11"/>
        <color theme="1"/>
        <rFont val="Calibri"/>
        <family val="2"/>
        <scheme val="minor"/>
      </rPr>
      <t xml:space="preserve">
- When some remittances are locked and you click on "Unlock all" button the popup of </t>
    </r>
    <r>
      <rPr>
        <b/>
        <sz val="11"/>
        <color theme="1"/>
        <rFont val="Calibri"/>
        <family val="2"/>
        <scheme val="minor"/>
      </rPr>
      <t>"Confirm Unlock All"</t>
    </r>
    <r>
      <rPr>
        <sz val="11"/>
        <color theme="1"/>
        <rFont val="Calibri"/>
        <family val="2"/>
        <scheme val="minor"/>
      </rPr>
      <t xml:space="preserve"> and the message reads "Are you sure you want to unlcok all </t>
    </r>
    <r>
      <rPr>
        <b/>
        <sz val="11"/>
        <color theme="1"/>
        <rFont val="Calibri"/>
        <family val="2"/>
        <scheme val="minor"/>
      </rPr>
      <t>payments</t>
    </r>
    <r>
      <rPr>
        <sz val="11"/>
        <color theme="1"/>
        <rFont val="Calibri"/>
        <family val="2"/>
        <scheme val="minor"/>
      </rPr>
      <t xml:space="preserve"> for this case?  This will unlock all payments for this case.
- Docket code FSULREM is added to the Minutes and not being suppressed.  NG-FCA only unlocked on remittance and keep the other remittance locked.</t>
    </r>
  </si>
  <si>
    <r>
      <t xml:space="preserve">- Popup needs to match Vision label, title, etc.
</t>
    </r>
    <r>
      <rPr>
        <u/>
        <sz val="11"/>
        <color theme="1"/>
        <rFont val="Calibri"/>
        <family val="2"/>
        <scheme val="minor"/>
      </rPr>
      <t>Lock All button</t>
    </r>
    <r>
      <rPr>
        <sz val="11"/>
        <color theme="1"/>
        <rFont val="Calibri"/>
        <family val="2"/>
        <scheme val="minor"/>
      </rPr>
      <t xml:space="preserve">
- When all remittances are unlocked and you click on "Lock all" button the popup of </t>
    </r>
    <r>
      <rPr>
        <b/>
        <sz val="11"/>
        <color theme="1"/>
        <rFont val="Calibri"/>
        <family val="2"/>
        <scheme val="minor"/>
      </rPr>
      <t>"Unlock All"</t>
    </r>
    <r>
      <rPr>
        <sz val="11"/>
        <color theme="1"/>
        <rFont val="Calibri"/>
        <family val="2"/>
        <scheme val="minor"/>
      </rPr>
      <t xml:space="preserve"> with (?) icon and message reads "Are you sure you want to lock All </t>
    </r>
    <r>
      <rPr>
        <b/>
        <sz val="11"/>
        <color theme="1"/>
        <rFont val="Calibri"/>
        <family val="2"/>
        <scheme val="minor"/>
      </rPr>
      <t>remittances</t>
    </r>
    <r>
      <rPr>
        <sz val="11"/>
        <color theme="1"/>
        <rFont val="Calibri"/>
        <family val="2"/>
        <scheme val="minor"/>
      </rPr>
      <t xml:space="preserve">?"
Docket code 
FYI:  The popup label in Vision window appears to be incorrect.
Docket code FSRLREM is added to the Minutes and suppressed.  All remittances are locked.
</t>
    </r>
    <r>
      <rPr>
        <u/>
        <sz val="11"/>
        <color theme="1"/>
        <rFont val="Calibri"/>
        <family val="2"/>
        <scheme val="minor"/>
      </rPr>
      <t xml:space="preserve">Unlock All button
</t>
    </r>
    <r>
      <rPr>
        <sz val="11"/>
        <color theme="1"/>
        <rFont val="Calibri"/>
        <family val="2"/>
        <scheme val="minor"/>
      </rPr>
      <t xml:space="preserve">- When all remittances are locked and you click on the "Unlock all" button the popup of </t>
    </r>
    <r>
      <rPr>
        <b/>
        <sz val="11"/>
        <color theme="1"/>
        <rFont val="Calibri"/>
        <family val="2"/>
        <scheme val="minor"/>
      </rPr>
      <t>"Unlock All"</t>
    </r>
    <r>
      <rPr>
        <sz val="11"/>
        <color theme="1"/>
        <rFont val="Calibri"/>
        <family val="2"/>
        <scheme val="minor"/>
      </rPr>
      <t xml:space="preserve"> with (?) icon and message reads "Are you sure you want to unlock All </t>
    </r>
    <r>
      <rPr>
        <b/>
        <sz val="11"/>
        <color theme="1"/>
        <rFont val="Calibri"/>
        <family val="2"/>
        <scheme val="minor"/>
      </rPr>
      <t>remittances</t>
    </r>
    <r>
      <rPr>
        <sz val="11"/>
        <color theme="1"/>
        <rFont val="Calibri"/>
        <family val="2"/>
        <scheme val="minor"/>
      </rPr>
      <t>?"
FYI:  The popup label in Vision window appears to be incorrect.
- Docket code FSULREM is added to the Minutes and suppressed.  All remittances are unlocked.</t>
    </r>
  </si>
  <si>
    <t>Lock all / Unlock all
ATP remittance</t>
  </si>
  <si>
    <r>
      <rPr>
        <b/>
        <sz val="11"/>
        <color theme="1"/>
        <rFont val="Calibri"/>
        <family val="2"/>
        <scheme val="minor"/>
      </rPr>
      <t>Unlock all button</t>
    </r>
    <r>
      <rPr>
        <sz val="11"/>
        <color theme="1"/>
        <rFont val="Calibri"/>
        <family val="2"/>
        <scheme val="minor"/>
      </rPr>
      <t xml:space="preserve">
- When remittance is locked and you click on "Unlock all" button the popup of "Confirm Unlock All" and the message reads "Are you sure you want to unlcok all payments for this case?  
- Message is not the same as and does not contain receipt nbr information.
- If you click on the Unlock All button then you get a popup window  of - Popup of Visionngwebdev.azurewebsites.us.says "Success: 1 payment unlocked successfully with "OK".  This is an extra step.  NG-FCA only locked the remittance.
- FSULREM is in the Minutes and not being suppressed
</t>
    </r>
    <r>
      <rPr>
        <b/>
        <sz val="11"/>
        <color theme="1"/>
        <rFont val="Calibri"/>
        <family val="2"/>
        <scheme val="minor"/>
      </rPr>
      <t>Lock All button</t>
    </r>
    <r>
      <rPr>
        <sz val="11"/>
        <color theme="1"/>
        <rFont val="Calibri"/>
        <family val="2"/>
        <scheme val="minor"/>
      </rPr>
      <t xml:space="preserve">
- When remittance is unlocked and you click on "Lock all" button the popup of "Confirm Lock All" and message reads "Are you sure you want to lock all eligible payments for this case?  
- If you clcik on the "Lock All" button another Popup of Visionngwebdev.azurewebsites.us.says "Success: 1 payment locked successfully with "OK" button.  Window is adding an extra step.  NG-FCA only locked two remittances where the regular window locked all of the remittances.
- FSRLREM is in the Minutes and not being suppressed</t>
    </r>
  </si>
  <si>
    <r>
      <rPr>
        <b/>
        <sz val="11"/>
        <color theme="1"/>
        <rFont val="Calibri"/>
        <family val="2"/>
        <scheme val="minor"/>
      </rPr>
      <t>Unlock All button</t>
    </r>
    <r>
      <rPr>
        <sz val="11"/>
        <color theme="1"/>
        <rFont val="Calibri"/>
        <family val="2"/>
        <scheme val="minor"/>
      </rPr>
      <t xml:space="preserve">
- When remittance is locked and you click on the "Unlock all" button the popup of "Unlock All" with (?) icon and message reads "Are you sure you want to unlock All remittances?"
- When you click "OK" you get the popup "Unlock Remittance" with (?) icon and message reads </t>
    </r>
    <r>
      <rPr>
        <b/>
        <sz val="11"/>
        <color theme="1"/>
        <rFont val="Calibri"/>
        <family val="2"/>
        <scheme val="minor"/>
      </rPr>
      <t xml:space="preserve">"Receipt nbr:.... You are attempting to unlock an ATP remittance.  Do you wish to proceed? </t>
    </r>
    <r>
      <rPr>
        <sz val="11"/>
        <color theme="1"/>
        <rFont val="Calibri"/>
        <family val="2"/>
        <scheme val="minor"/>
      </rPr>
      <t xml:space="preserve">
- If you click on Yes then docket code FSULREM is added to the Minutes and suppressed.
- Docket code FSULREM is added to the Minutes and suppressed. 
</t>
    </r>
    <r>
      <rPr>
        <b/>
        <sz val="11"/>
        <color theme="1"/>
        <rFont val="Calibri"/>
        <family val="2"/>
        <scheme val="minor"/>
      </rPr>
      <t xml:space="preserve">Lock All button
</t>
    </r>
    <r>
      <rPr>
        <sz val="11"/>
        <color theme="1"/>
        <rFont val="Calibri"/>
        <family val="2"/>
        <scheme val="minor"/>
      </rPr>
      <t xml:space="preserve">- When remittance is unlocked and you click on "Lock all" button the popup of "Unlock All" with (?) icon and message reads "Are you sure you want to lock All remittances?"
Docket code 
FYI:  The popup label in Vision window appears to be incorrect.
Docket code FSRLREM is added to the Minutes and suppressed.  </t>
    </r>
  </si>
  <si>
    <t>Lock all / Unlock all
Paid/Satisfied</t>
  </si>
  <si>
    <r>
      <rPr>
        <b/>
        <sz val="11"/>
        <color theme="1"/>
        <rFont val="Calibri"/>
        <family val="2"/>
        <scheme val="minor"/>
      </rPr>
      <t>Unlock all button</t>
    </r>
    <r>
      <rPr>
        <sz val="11"/>
        <color theme="1"/>
        <rFont val="Calibri"/>
        <family val="2"/>
        <scheme val="minor"/>
      </rPr>
      <t xml:space="preserve">
- When some remittances are locked and you click on "Unlock all" button the popup of "Confirm Unlock All" and the message reads "Are you sure you want to unlcok all payments for this case?  
- If you click on the Unlock All button then you get a popup window  of - Popup of Visionngwebdev.azurewebsites.us.says "Success: 2 payments unlocked successfully with "OK".  This is an extra step.  NG-FCA only locked the remittance.
- FSULREM are added to the Minutes and not being suppressed.  Descripancies occuring between the number of remittances being unlocked via NG-FCA versus Vision-FCA on the same case.  
</t>
    </r>
    <r>
      <rPr>
        <b/>
        <sz val="11"/>
        <color theme="1"/>
        <rFont val="Calibri"/>
        <family val="2"/>
        <scheme val="minor"/>
      </rPr>
      <t>Lock All button</t>
    </r>
    <r>
      <rPr>
        <sz val="11"/>
        <color theme="1"/>
        <rFont val="Calibri"/>
        <family val="2"/>
        <scheme val="minor"/>
      </rPr>
      <t xml:space="preserve">
- When some remittances are unlocked and you click on "Lock all" button the popup of "Confirm Lock All" and message reads "Are you sure you want to lock all eligible payments for this case?  
- If you clcik on the "Lock All" button another Popup of Visionngwebdev.azurewebsites.us.says "Success: 1 payment locked successfully with "OK" button.  Window is adding an extra step.  NG-FCA only locked two remittances where the regular window locked all of the remittances.
- FSRLREM is in the Minutes and not being suppressed.  Descripancies occuring between the number of remittances being locked via NG-FCA versus Vision-FCA on the same case.  
- Recopied the case and descripancies is duplicated.</t>
    </r>
  </si>
  <si>
    <r>
      <rPr>
        <b/>
        <sz val="11"/>
        <color theme="1"/>
        <rFont val="Calibri"/>
        <family val="2"/>
        <scheme val="minor"/>
      </rPr>
      <t>Unlock All button</t>
    </r>
    <r>
      <rPr>
        <sz val="11"/>
        <color theme="1"/>
        <rFont val="Calibri"/>
        <family val="2"/>
        <scheme val="minor"/>
      </rPr>
      <t xml:space="preserve">
- When some remittances are locked and you click on the "Unlock all" button the popup of "Unlock All" with (?) icon and message reads "Are you sure you want to unlock All remittances?"
- When you click "OK" you get the popup "Unlock Remittance" with (?) icon and message reads "Receipt nbr:.... You are attempting to unlock a Paid/Satisfied.  Do you wish to proceed? 
- If you click on Yes then docket code FSULREM are in the Minutes and suppressed on those remittances that were unlocked.
</t>
    </r>
    <r>
      <rPr>
        <b/>
        <sz val="11"/>
        <color theme="1"/>
        <rFont val="Calibri"/>
        <family val="2"/>
        <scheme val="minor"/>
      </rPr>
      <t>Lock All button</t>
    </r>
    <r>
      <rPr>
        <sz val="11"/>
        <color theme="1"/>
        <rFont val="Calibri"/>
        <family val="2"/>
        <scheme val="minor"/>
      </rPr>
      <t xml:space="preserve">
- When some remittances are unlocked and you click on "Lock all" button the popup of "Unlock All" with (?) icon and message reads "Are you sure you want to lock All remittances?"
Docket code FSRLREM are added to the Minutes and suppressed for those remittances that were locked
FYI:  The popup label in Vision window appears to be incorrect.</t>
    </r>
  </si>
  <si>
    <t xml:space="preserve">15NM06836 - Blackburn, Leslie Ann </t>
  </si>
  <si>
    <t>FCA landing page</t>
  </si>
  <si>
    <t>Case Search popup</t>
  </si>
  <si>
    <t xml:space="preserve">When you are in the NG-FCA window in some instances when you click on the missing binocular the Case Search popup is no longer popping up.  </t>
  </si>
  <si>
    <t>Does not occur in Vision-FCA window on the same case.</t>
  </si>
  <si>
    <t>- When you are in the FCA window (initial case PL369477) and use the search to pull up a different case (retrieved case ANE249934).  The window retieves the new case and incorrectly displays the Case Payment History of the previous case.
- It incorrectly allows the user to lock the remittance that does not belong to the case and adds docket code FSRLREM to the minutes with remittance receipt #20178951 which does not belong to case ANE249934.   
- When you pull up the initial case PL369477 the processes locked the remittance receipt #20178951 on the case and no indication in the Minutes.</t>
  </si>
  <si>
    <t>Vision-FCA window retieves case data correctly and does not retain case data from a previous case.</t>
  </si>
  <si>
    <t>PL369477-SHIM
ANE249934-CARRIGAN</t>
  </si>
  <si>
    <t>Application / Misapplication</t>
  </si>
  <si>
    <t>Locked is only the latest Transaction Application and not on the Transaction Misapplication; however, it is displaying the Misapplication amount inside of left/right parenthesises ($60.00)</t>
  </si>
  <si>
    <t>Display Misapplication amount as $-60.00</t>
  </si>
  <si>
    <t>LH471787 - GHEEN</t>
  </si>
  <si>
    <t>BY: Valid defect, but this is a UI issue not Functionality. Did not include in consolidated defects.</t>
  </si>
  <si>
    <t xml:space="preserve">Transaction - Bail Posting </t>
  </si>
  <si>
    <t>No record displaying.  Unable to test</t>
  </si>
  <si>
    <t>Data is showing without lock indicator on Bail Posting</t>
  </si>
  <si>
    <t>SHSJ0341863 - Cabreragonzalez</t>
  </si>
  <si>
    <t>Appears to be criminal cases more often</t>
  </si>
  <si>
    <t>"Are you sure you want to [Lock / Unlock] this remittance?" message does not appear when toggle is selected.
- If Visionngwebdev.azurewebsites.us.says error message appears, lock indicator will appear on case, docket code will save</t>
  </si>
  <si>
    <t>"Are you sure you want to [Lock / Unlock] this remittance?" message appears</t>
  </si>
  <si>
    <t>- Unlock only - missing warning message to unlock ATP remittance
- If Visionngwebdev.azurewebsites.us.says error message appears, lock indicator will appear on case, docket code will save</t>
  </si>
  <si>
    <t>Should see two warning messages:
1) 'Are you sure you want to Unlock this remittance?'
2) 'Receipt nbr:{}
You are attempting to unlock an ATP remittance. Do you wish to proceed?'</t>
  </si>
  <si>
    <t>- Unlock only - missing warning message to unlock Paid/ Satisfied remittance
- If Visionngwebdev.azurewebsites.us.says error message appears, lock indicator will appear on case, docket code will save</t>
  </si>
  <si>
    <t>“You are attempting to unlock a Paid/Satisfied remittance. Do you wish to proceed?” Yes = unlock, No = no update and remittance remains locked</t>
  </si>
  <si>
    <t xml:space="preserve">- When multiple rows exist you cannot sort on Remittance or Transaction column
- On multiple sort tool tips is not showing.  The sorting information is being numbered and is cutting into the Rcpt/Chk title"
</t>
  </si>
  <si>
    <t>Hover over white triangle sort and tooltip appears showing filters
Multi-Sort removed when user clicks different column to sort, section sorts asc/desc based on selection</t>
  </si>
  <si>
    <t>CL/ BY</t>
  </si>
  <si>
    <t>- Popup does not match Vision (label, title, etc.)
Lock All button
- When all remittances are unlocked and you click on "Lock all" button the popup of "Confirm Lock All" and message reads "Are you sure you want to lock all eligible payments for this case?  This will lock all payments that can be locked."  
- Popup of Visionngwebdev.azurewebsites.us.says "Success: 2 payments locked successfully with "OK" button.  Window is adding an extra step.  NG-FCA only locked two remittances where the regular window locked all of the remittances.
- FSRLREM is in the Minutes and not being suppressed
Unlock all button
- When some remittances are locked and you click on "Unlock all" button the popup of "Confirm Unlock All" and the message reads "Are you sure you want to unlcok all payments for this case?  This will unlock all payments for this case.
- Docket code FSULREM is added to the Minutes and not being suppressed.  NG-FCA only unlocked on remittance and keep the other remittance locked.</t>
  </si>
  <si>
    <t>24HM05802 - CORONATORRES, 7HVB0007F, 15WM14863</t>
  </si>
  <si>
    <r>
      <rPr>
        <b/>
        <sz val="11"/>
        <color rgb="FF000000"/>
        <rFont val="Calibri"/>
        <scheme val="minor"/>
      </rPr>
      <t xml:space="preserve">Unlock all button
</t>
    </r>
    <r>
      <rPr>
        <sz val="11"/>
        <color rgb="FF000000"/>
        <rFont val="Calibri"/>
        <scheme val="minor"/>
      </rPr>
      <t xml:space="preserve">- When remittance is locked and you click on "Unlock all" button the popup of "Confirm Unlock All" and the message reads "Are you sure you want to unlock all payments for this case?  
- Second Message is missing
- If you click on the Unlock All button then you get a popup window  of - Popup of Visionngwebdev.azurewebsites.us.says "Success: 1 payment unlocked successfully with "OK".  This is an extra step.  NG-FCA only locked the remittance.
- FSULREM is in the Minutes and not being suppressed
</t>
    </r>
    <r>
      <rPr>
        <b/>
        <sz val="11"/>
        <color rgb="FF000000"/>
        <rFont val="Calibri"/>
        <scheme val="minor"/>
      </rPr>
      <t xml:space="preserve">Lock All button
</t>
    </r>
    <r>
      <rPr>
        <sz val="11"/>
        <color rgb="FF000000"/>
        <rFont val="Calibri"/>
        <scheme val="minor"/>
      </rPr>
      <t>- When remittance is unlocked and you click on "Lock all" button the popup of "Confirm Lock All" and message reads "Are you sure you want to lock all eligible payments for this case?  
- If you clcik on the "Lock All" button another Popup of Visionngwebdev.azurewebsites.us.says "Success: 1 payment locked successfully with "OK" button.  Window is adding an extra step.  NG-FCA only locked two remittances where the regular window locked all of the remittances.
- FSRLREM is in the Minutes and not being suppressed</t>
    </r>
  </si>
  <si>
    <r>
      <rPr>
        <sz val="11"/>
        <color rgb="FF000000"/>
        <rFont val="Calibri"/>
        <scheme val="minor"/>
      </rPr>
      <t xml:space="preserve">Unlock All button
- When remittance is locked and you click on the "Unlock all" button the popup of "Unlock All" with (?) icon and message reads "Are you sure you want to unlock All remittances?"
- When you click "OK" you get the popup "Unlock Remittance" with (?) icon and message reads </t>
    </r>
    <r>
      <rPr>
        <b/>
        <sz val="11"/>
        <color rgb="FF000000"/>
        <rFont val="Calibri"/>
        <scheme val="minor"/>
      </rPr>
      <t xml:space="preserve">"Receipt nbr:.... You are attempting to unlock an ATP remittance.  Do you wish to proceed? 
</t>
    </r>
    <r>
      <rPr>
        <sz val="11"/>
        <color rgb="FF000000"/>
        <rFont val="Calibri"/>
        <scheme val="minor"/>
      </rPr>
      <t xml:space="preserve">- If you click on Yes then docket code FSULREM is added to the Minutes and suppressed.
- Docket code FSULREM is added to the Minutes and suppressed. 
</t>
    </r>
    <r>
      <rPr>
        <b/>
        <sz val="11"/>
        <color rgb="FF000000"/>
        <rFont val="Calibri"/>
        <scheme val="minor"/>
      </rPr>
      <t xml:space="preserve">Lock All button
</t>
    </r>
    <r>
      <rPr>
        <sz val="11"/>
        <color rgb="FF000000"/>
        <rFont val="Calibri"/>
        <scheme val="minor"/>
      </rPr>
      <t xml:space="preserve">- When remittance is unlocked and you click on "Lock all" button the popup of "Unlock All" with (?) icon and message reads "Are you sure you want to lock All remittances?"
Docket code 
FYI:  The popup label in Vision window appears to be incorrect.
Docket code FSRLREM is added to the Minutes and suppressed.  </t>
    </r>
  </si>
  <si>
    <t>00QC0066B - Tranchina, Michael, ORE095976</t>
  </si>
  <si>
    <t>00QC0066B</t>
  </si>
  <si>
    <r>
      <rPr>
        <b/>
        <sz val="11"/>
        <color rgb="FF000000"/>
        <rFont val="Calibri"/>
        <scheme val="minor"/>
      </rPr>
      <t xml:space="preserve">Unlock all button
</t>
    </r>
    <r>
      <rPr>
        <sz val="11"/>
        <color rgb="FF000000"/>
        <rFont val="Calibri"/>
        <scheme val="minor"/>
      </rPr>
      <t xml:space="preserve">- When some remittances are locked and you click on "Unlock all" button the popup of "Confirm Unlock All" and the message reads "Are you sure you want to unlock all payments for this case?  
- Second warning message is missing
- If you click on the Unlock All button then you get a popup window  of - Popup of Visionngwebdev.azurewebsites.us.says "Success: 2 payments unlocked successfully with "OK".  This is an extra step.  NG-FCA only locked the remittance.
- FSULREM are added to the Minutes and not being suppressed.  Descripancies occuring between the number of remittances being unlocked via NG-FCA versus Vision-FCA on the same case.  
</t>
    </r>
    <r>
      <rPr>
        <b/>
        <sz val="11"/>
        <color rgb="FF000000"/>
        <rFont val="Calibri"/>
        <scheme val="minor"/>
      </rPr>
      <t xml:space="preserve">Lock All button
</t>
    </r>
    <r>
      <rPr>
        <sz val="11"/>
        <color rgb="FF000000"/>
        <rFont val="Calibri"/>
        <scheme val="minor"/>
      </rPr>
      <t>- When some remittances are unlocked and you click on "Lock all" button the popup of "Confirm Lock All" and message reads "Are you sure you want to lock all eligible payments for this case?  
- If you clcik on the "Lock All" button another Popup of Visionngwebdev.azurewebsites.us.says "Success: 1 payment locked successfully with "OK" button.  Window is adding an extra step.  NG-FCA only locked two remittances where the regular window locked all of the remittances.
- FSRLREM is in the Minutes and not being suppressed.  Descripancies occuring between the number of remittances being locked via NG-FCA versus Vision-FCA on the same case.  
- Recopied the case and descripancies is duplicated.</t>
    </r>
  </si>
  <si>
    <t xml:space="preserve">Transaction - Bail Posting, Reversal </t>
  </si>
  <si>
    <t>No record displaying.  Unable to test
- Bail Postings sometimes display data. Reversals never display data.</t>
  </si>
  <si>
    <t>Data is showing without lock indicator on Bail Posting, Reversal</t>
  </si>
  <si>
    <t>SHSJ0341863 - Cabreragonzalez
SHRS0326417</t>
  </si>
  <si>
    <t>CL / BY</t>
  </si>
  <si>
    <t>Transcationg Type Priority over Remittance Type</t>
  </si>
  <si>
    <t>Data is showing without lock indicator</t>
  </si>
  <si>
    <t>20HM00552</t>
  </si>
  <si>
    <t xml:space="preserve">Violation column is displaying code number and not the violation type 
Next to violation column is missing the charge type column (for example "VC")
Next to the charge type column the offense level is missing (for example "M" for Misd.
TS Elig Column is not showing a value and is blank
TS Elig Column is showing a check mark but not a number next to it
Status column is showing a code number and not the description (for example "Pled Nolo Contendere") </t>
  </si>
  <si>
    <t>Has the 2 screenshots</t>
  </si>
  <si>
    <t>Selecting Checkbox does not highlight the docket code blue and does not display docket code parameters. Selecting the docket code label section to view the docket code parameters</t>
  </si>
  <si>
    <t>Suppressed Indicator [S]
Not in sync*</t>
  </si>
  <si>
    <t>- Text preview does not show strikethrough
- Docket codes does not save as suppressed docket codes.</t>
  </si>
  <si>
    <t>- Text preview shows strikethrough
- Docket codes saves as suppressed docket codes.</t>
  </si>
  <si>
    <t>Unable to test properly. DC out of sync.
'- Docket code FSBDS is missing the suppressed indicator.
After you select from the drop down reason the veribage being display in the section is not showing with the stirke throught line
- Same with FXDCDR, FSTXT,  &amp; MADCSTP:  DT-ST is not in sync with Production.  CRMT will show the [S] indicator
----------------------------------------------------------------------------------------------
- Docket code SVCRMFEM is showing the suppressed indicator.  D-ST is not in sync with Production.  CRMT does not show an indcator for this docket code.</t>
  </si>
  <si>
    <t>Columns should match FCA window: Prob. Cond Seq. #, Fee Seq, Fee Type, Assess Amt, Dt. Effective, Sent. Seq. #</t>
  </si>
  <si>
    <t xml:space="preserve">When you are already in the landing page, the NG-FCA window in some instances when you click on the missing binocular the Case Search popup is no longer popping up.  </t>
  </si>
  <si>
    <t>- When you are in the FCA window (initial case PL369477) and use the search to pull up a different case (retrieved case ANE249934).  The window retrieves the new case and incorrectly displays the Case Payment History of the previous case.
- It incorrectly allows the user to lock the remittance that does not belong to the case and adds docket code FSRLREM to the minutes with remittance receipt #20178951 which does not belong to case ANE249934.   
- When you pull up the initial case PL369477 the processes locked the remittance receipt #20178951 on the case and no indication in the Minutes.</t>
  </si>
  <si>
    <t xml:space="preserve">- Button is showing but missing the binocular icon
- Fiscal Case Analysis info message "No Rows retrieved" message is not displaying when you select [X] or Cancel to close the Case Search popup
- Selecting Binocular button sometimes, not always fails to open the case search datawindow
</t>
  </si>
  <si>
    <t>- Binocular icon is showing and informational message is diplaying when you close out of Case Search popup</t>
  </si>
  <si>
    <t>Missing Refresh button
- F3 does not refresh window</t>
  </si>
  <si>
    <t>Refresh Button refreshes window
- F3refreshes window</t>
  </si>
  <si>
    <t>P38254 - TREJO, IRM294841</t>
  </si>
  <si>
    <t xml:space="preserve">- Opening FCA Blazor displays search field first - OK
- Window is slow to initially load
- When you are in the NG-FCA window in some instances when you click on the missing binocular the Case Search popup is no longer popping up.  </t>
  </si>
  <si>
    <t>Opening FCA displays FCA sections, then case search on top
- Window loads similar speed to other Vision windows
-- Binocular icon is showing and informational message is diplaying when you close out of Case Search popup</t>
  </si>
  <si>
    <t>15NM06836 - Blackburn, Leslie Ann</t>
  </si>
  <si>
    <t>Ctrl Shift Click</t>
  </si>
  <si>
    <t>Ctrl Shift Click any read only field has no functionality</t>
  </si>
  <si>
    <t>Ctrl Shift Click any field copies the field value, allowing it to be pasted in any other window/ application</t>
  </si>
  <si>
    <t>IRM294841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</si>
</sst>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family val="2"/>
    </font>
    <font>
      <sz val="11"/>
      <color theme="1"/>
      <name val="Calibri"/>
      <family val="2"/>
    </font>
    <font>
      <sz val="11"/>
      <color rgb="FFFF0000"/>
      <name val="Calibri"/>
      <family val="2"/>
    </font>
    <font>
      <b/>
      <sz val="11"/>
      <color theme="1"/>
      <name val="Calibri"/>
      <family val="2"/>
    </font>
    <font>
      <sz val="11"/>
      <color theme="1"/>
      <name val="Calibri"/>
      <family val="2"/>
      <scheme val="minor"/>
    </font>
    <font>
      <b/>
      <sz val="11"/>
      <name val="Calibri"/>
      <family val="2"/>
    </font>
    <font>
      <sz val="11"/>
      <name val="Calibri"/>
      <family val="2"/>
    </font>
    <font>
      <sz val="11"/>
      <color theme="1"/>
      <name val="Calibri"/>
    </font>
    <font>
      <sz val="11"/>
      <color rgb="FF000000"/>
      <name val="Calibri"/>
      <charset val="1"/>
    </font>
    <font>
      <b/>
      <sz val="11"/>
      <color theme="1"/>
      <name val="Calibri"/>
      <family val="2"/>
      <scheme val="minor"/>
    </font>
    <font>
      <u/>
      <sz val="11"/>
      <color theme="1"/>
      <name val="Calibri"/>
      <family val="2"/>
      <scheme val="minor"/>
    </font>
    <font>
      <sz val="11"/>
      <color rgb="FF000000"/>
      <name val="Calibri"/>
      <family val="2"/>
    </font>
    <font>
      <b/>
      <sz val="11"/>
      <color rgb="FF000000"/>
      <name val="Calibri"/>
      <scheme val="minor"/>
    </font>
    <font>
      <sz val="11"/>
      <color rgb="FF000000"/>
      <name val="Calibri"/>
      <scheme val="minor"/>
    </font>
  </fonts>
  <fills count="8">
    <fill>
      <patternFill patternType="none"/>
    </fill>
    <fill>
      <patternFill patternType="gray125"/>
    </fill>
    <fill>
      <patternFill patternType="solid">
        <fgColor theme="9"/>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0"/>
        <bgColor indexed="64"/>
      </patternFill>
    </fill>
    <fill>
      <patternFill patternType="solid">
        <fgColor theme="9" tint="0.79998168889431442"/>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5" fillId="0" borderId="0"/>
  </cellStyleXfs>
  <cellXfs count="120">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vertical="center"/>
    </xf>
    <xf numFmtId="0" fontId="6" fillId="2" borderId="1" xfId="0" applyFont="1" applyFill="1" applyBorder="1" applyAlignment="1">
      <alignment horizontal="center" vertical="center"/>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4" fillId="3" borderId="1" xfId="1" applyFont="1" applyFill="1" applyBorder="1" applyAlignment="1">
      <alignment horizontal="center" vertical="center"/>
    </xf>
    <xf numFmtId="0" fontId="2" fillId="0" borderId="0" xfId="1" applyFont="1" applyAlignment="1">
      <alignment vertical="center"/>
    </xf>
    <xf numFmtId="0" fontId="2" fillId="0" borderId="0" xfId="1" applyFont="1" applyAlignment="1">
      <alignment horizontal="left" vertical="top" wrapText="1"/>
    </xf>
    <xf numFmtId="0" fontId="0" fillId="0" borderId="1" xfId="1" applyFont="1" applyBorder="1" applyAlignment="1">
      <alignment horizontal="left" vertical="top" wrapText="1"/>
    </xf>
    <xf numFmtId="0" fontId="7" fillId="0" borderId="1" xfId="0" applyFont="1" applyFill="1" applyBorder="1" applyAlignment="1">
      <alignment horizontal="center" vertical="center"/>
    </xf>
    <xf numFmtId="0" fontId="7" fillId="0" borderId="1" xfId="0" applyFont="1" applyFill="1" applyBorder="1" applyAlignment="1">
      <alignment horizontal="center" vertical="top"/>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top" wrapText="1"/>
    </xf>
    <xf numFmtId="0" fontId="6" fillId="2" borderId="1" xfId="0" applyFont="1" applyFill="1" applyBorder="1" applyAlignment="1">
      <alignment horizontal="center" vertical="center" wrapText="1"/>
    </xf>
    <xf numFmtId="0" fontId="0" fillId="0" borderId="1" xfId="1" quotePrefix="1" applyFont="1" applyBorder="1" applyAlignment="1">
      <alignment horizontal="left" vertical="top" wrapText="1"/>
    </xf>
    <xf numFmtId="0" fontId="7" fillId="0" borderId="1" xfId="1" applyFont="1" applyBorder="1" applyAlignment="1">
      <alignment horizontal="center" vertical="top" wrapText="1"/>
    </xf>
    <xf numFmtId="0" fontId="7" fillId="0" borderId="1" xfId="1" applyFont="1" applyBorder="1" applyAlignment="1">
      <alignment horizontal="left" vertical="top" wrapText="1"/>
    </xf>
    <xf numFmtId="0" fontId="9" fillId="0" borderId="0" xfId="0" applyFont="1"/>
    <xf numFmtId="0" fontId="8" fillId="0" borderId="1" xfId="0" applyFont="1" applyBorder="1" applyAlignment="1">
      <alignment horizontal="left" vertical="top" wrapText="1"/>
    </xf>
    <xf numFmtId="14" fontId="8" fillId="0" borderId="1" xfId="1" applyNumberFormat="1" applyFont="1" applyBorder="1" applyAlignment="1">
      <alignment horizontal="center" vertical="top" wrapText="1"/>
    </xf>
    <xf numFmtId="0" fontId="9" fillId="0" borderId="4" xfId="0" applyFont="1" applyBorder="1"/>
    <xf numFmtId="0" fontId="7" fillId="0" borderId="2" xfId="0" applyFont="1" applyBorder="1" applyAlignment="1">
      <alignment horizontal="left" vertical="top" wrapText="1"/>
    </xf>
    <xf numFmtId="0" fontId="8" fillId="0" borderId="1" xfId="0" quotePrefix="1" applyFont="1" applyBorder="1" applyAlignment="1">
      <alignment horizontal="left" vertical="top" wrapText="1"/>
    </xf>
    <xf numFmtId="0" fontId="0" fillId="0" borderId="5" xfId="1" applyFont="1" applyBorder="1" applyAlignment="1">
      <alignment horizontal="left" vertical="top" wrapText="1"/>
    </xf>
    <xf numFmtId="0" fontId="8" fillId="0" borderId="1" xfId="1" applyFont="1" applyBorder="1" applyAlignment="1">
      <alignment horizontal="center" vertical="top" wrapText="1"/>
    </xf>
    <xf numFmtId="0" fontId="8" fillId="0" borderId="1" xfId="0" applyFont="1" applyBorder="1" applyAlignment="1">
      <alignment horizontal="center" vertical="top" wrapText="1"/>
    </xf>
    <xf numFmtId="0" fontId="0" fillId="0" borderId="0" xfId="0" applyBorder="1" applyAlignment="1">
      <alignment horizontal="left" vertical="top" wrapText="1"/>
    </xf>
    <xf numFmtId="0" fontId="7" fillId="4" borderId="1" xfId="1" applyFont="1" applyFill="1" applyBorder="1" applyAlignment="1">
      <alignment horizontal="center" vertical="top" wrapText="1"/>
    </xf>
    <xf numFmtId="0" fontId="7" fillId="4" borderId="1" xfId="1" applyFont="1" applyFill="1" applyBorder="1" applyAlignment="1">
      <alignment horizontal="left" vertical="top" wrapText="1"/>
    </xf>
    <xf numFmtId="14" fontId="7" fillId="4" borderId="1" xfId="1" applyNumberFormat="1" applyFont="1" applyFill="1" applyBorder="1" applyAlignment="1">
      <alignment horizontal="center" vertical="top" wrapText="1"/>
    </xf>
    <xf numFmtId="0" fontId="1" fillId="0" borderId="1" xfId="1" quotePrefix="1" applyFont="1" applyBorder="1" applyAlignment="1">
      <alignment horizontal="left" vertical="top" wrapText="1"/>
    </xf>
    <xf numFmtId="0" fontId="1" fillId="0" borderId="1" xfId="1" applyFont="1" applyBorder="1" applyAlignment="1">
      <alignment horizontal="left" vertical="top" wrapText="1"/>
    </xf>
    <xf numFmtId="0" fontId="1" fillId="0" borderId="1" xfId="0" applyFont="1" applyBorder="1" applyAlignment="1">
      <alignment horizontal="left" vertical="top" wrapText="1"/>
    </xf>
    <xf numFmtId="0" fontId="4" fillId="3" borderId="4" xfId="1" applyFont="1" applyFill="1" applyBorder="1" applyAlignment="1">
      <alignment horizontal="center" vertical="center"/>
    </xf>
    <xf numFmtId="0" fontId="4" fillId="3" borderId="2" xfId="1" applyFont="1" applyFill="1" applyBorder="1" applyAlignment="1">
      <alignment horizontal="center" vertical="center"/>
    </xf>
    <xf numFmtId="0" fontId="14" fillId="0" borderId="1" xfId="1" applyFont="1" applyBorder="1" applyAlignment="1">
      <alignment horizontal="left" vertical="top" wrapText="1"/>
    </xf>
    <xf numFmtId="0" fontId="0" fillId="0" borderId="0" xfId="0" applyAlignment="1">
      <alignment wrapText="1"/>
    </xf>
    <xf numFmtId="0" fontId="0" fillId="0" borderId="4" xfId="0" applyBorder="1" applyAlignment="1">
      <alignment horizontal="center" vertical="top"/>
    </xf>
    <xf numFmtId="0" fontId="1" fillId="0" borderId="1" xfId="0" applyFont="1" applyBorder="1" applyAlignment="1">
      <alignment horizontal="center" vertical="top" wrapText="1"/>
    </xf>
    <xf numFmtId="0" fontId="1" fillId="0" borderId="1" xfId="0" quotePrefix="1" applyFont="1" applyBorder="1" applyAlignment="1">
      <alignment horizontal="left" vertical="top" wrapText="1"/>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0" xfId="0" applyFont="1" applyBorder="1" applyAlignment="1">
      <alignment horizontal="left" vertical="top" wrapText="1"/>
    </xf>
    <xf numFmtId="0" fontId="1" fillId="0" borderId="1" xfId="1" applyFont="1" applyBorder="1" applyAlignment="1">
      <alignment horizontal="center" vertical="top" wrapText="1"/>
    </xf>
    <xf numFmtId="14" fontId="1" fillId="0" borderId="1" xfId="1" applyNumberFormat="1" applyFont="1" applyBorder="1" applyAlignment="1">
      <alignment horizontal="center" vertical="top" wrapText="1"/>
    </xf>
    <xf numFmtId="0" fontId="1" fillId="0" borderId="2" xfId="1" applyFont="1" applyBorder="1" applyAlignment="1">
      <alignment horizontal="left" vertical="top" wrapText="1"/>
    </xf>
    <xf numFmtId="0" fontId="1" fillId="4" borderId="1" xfId="1" applyFont="1" applyFill="1" applyBorder="1" applyAlignment="1">
      <alignment horizontal="center" vertical="top" wrapText="1"/>
    </xf>
    <xf numFmtId="0" fontId="1" fillId="4" borderId="1" xfId="1" applyFont="1" applyFill="1" applyBorder="1" applyAlignment="1">
      <alignment horizontal="left" vertical="top" wrapText="1"/>
    </xf>
    <xf numFmtId="14" fontId="1" fillId="4" borderId="1" xfId="1" applyNumberFormat="1" applyFont="1" applyFill="1" applyBorder="1" applyAlignment="1">
      <alignment horizontal="center" vertical="top" wrapText="1"/>
    </xf>
    <xf numFmtId="0" fontId="1" fillId="4" borderId="2" xfId="1" applyFont="1" applyFill="1" applyBorder="1" applyAlignment="1">
      <alignment horizontal="left" vertical="top" wrapText="1"/>
    </xf>
    <xf numFmtId="0" fontId="1" fillId="0" borderId="1" xfId="0" applyFont="1" applyBorder="1" applyAlignment="1">
      <alignment horizontal="center" vertical="center" wrapText="1"/>
    </xf>
    <xf numFmtId="0" fontId="1" fillId="0" borderId="0" xfId="1" applyFont="1" applyAlignment="1">
      <alignment horizontal="center" vertical="top" wrapText="1"/>
    </xf>
    <xf numFmtId="0" fontId="1" fillId="0" borderId="0" xfId="1" applyFont="1" applyAlignment="1">
      <alignment horizontal="left" vertical="top" wrapText="1"/>
    </xf>
    <xf numFmtId="0" fontId="1" fillId="0" borderId="4" xfId="1" applyFont="1" applyBorder="1" applyAlignment="1">
      <alignment horizontal="left" vertical="top" wrapText="1"/>
    </xf>
    <xf numFmtId="0" fontId="1" fillId="0" borderId="4" xfId="1" quotePrefix="1" applyFont="1" applyBorder="1" applyAlignment="1">
      <alignment horizontal="left" vertical="top" wrapText="1"/>
    </xf>
    <xf numFmtId="0" fontId="1" fillId="5" borderId="1" xfId="1" applyFont="1" applyFill="1" applyBorder="1" applyAlignment="1">
      <alignment horizontal="center" vertical="top" wrapText="1"/>
    </xf>
    <xf numFmtId="0" fontId="1" fillId="6" borderId="1" xfId="1" applyFont="1" applyFill="1" applyBorder="1" applyAlignment="1">
      <alignment horizontal="center" vertical="top" wrapText="1"/>
    </xf>
    <xf numFmtId="0" fontId="0" fillId="0" borderId="0" xfId="0" applyBorder="1"/>
    <xf numFmtId="0" fontId="0" fillId="0" borderId="4" xfId="0" applyBorder="1" applyAlignment="1">
      <alignment wrapText="1"/>
    </xf>
    <xf numFmtId="14" fontId="1" fillId="0" borderId="2" xfId="1" applyNumberFormat="1" applyFont="1" applyBorder="1" applyAlignment="1">
      <alignment horizontal="center" vertical="top" wrapText="1"/>
    </xf>
    <xf numFmtId="0" fontId="1" fillId="0" borderId="0" xfId="1" applyFont="1" applyBorder="1" applyAlignment="1">
      <alignment horizontal="center" vertical="top" wrapText="1"/>
    </xf>
    <xf numFmtId="0" fontId="1" fillId="6" borderId="3" xfId="1" applyFont="1" applyFill="1" applyBorder="1" applyAlignment="1">
      <alignment horizontal="center" vertical="top" wrapText="1"/>
    </xf>
    <xf numFmtId="0" fontId="1" fillId="0" borderId="3" xfId="1" applyFont="1" applyBorder="1" applyAlignment="1">
      <alignment horizontal="center" vertical="top" wrapText="1"/>
    </xf>
    <xf numFmtId="0" fontId="0" fillId="0" borderId="3" xfId="1" applyFont="1" applyBorder="1" applyAlignment="1">
      <alignment horizontal="left" vertical="top" wrapText="1"/>
    </xf>
    <xf numFmtId="14" fontId="1" fillId="0" borderId="3" xfId="1" applyNumberFormat="1" applyFont="1" applyBorder="1" applyAlignment="1">
      <alignment horizontal="center" vertical="top" wrapText="1"/>
    </xf>
    <xf numFmtId="0" fontId="1" fillId="0" borderId="3" xfId="1" applyFont="1" applyBorder="1" applyAlignment="1">
      <alignment horizontal="left" vertical="top" wrapText="1"/>
    </xf>
    <xf numFmtId="0" fontId="1" fillId="0" borderId="9" xfId="1" applyFont="1" applyBorder="1" applyAlignment="1">
      <alignment horizontal="left" vertical="top" wrapText="1"/>
    </xf>
    <xf numFmtId="0" fontId="1" fillId="0" borderId="10" xfId="1" applyFont="1" applyBorder="1" applyAlignment="1">
      <alignment horizontal="center" vertical="top" wrapText="1"/>
    </xf>
    <xf numFmtId="0" fontId="0" fillId="0" borderId="10" xfId="1" applyFont="1" applyBorder="1" applyAlignment="1">
      <alignment horizontal="left" vertical="top" wrapText="1"/>
    </xf>
    <xf numFmtId="0" fontId="1" fillId="0" borderId="10" xfId="1" applyFont="1" applyBorder="1" applyAlignment="1">
      <alignment horizontal="left" vertical="top" wrapText="1"/>
    </xf>
    <xf numFmtId="0" fontId="1" fillId="0" borderId="11" xfId="1" applyFont="1" applyBorder="1" applyAlignment="1">
      <alignment horizontal="left" vertical="top" wrapText="1"/>
    </xf>
    <xf numFmtId="0" fontId="1" fillId="6" borderId="4" xfId="1" applyFont="1" applyFill="1" applyBorder="1" applyAlignment="1">
      <alignment horizontal="center" vertical="top" wrapText="1"/>
    </xf>
    <xf numFmtId="0" fontId="1" fillId="0" borderId="4" xfId="1" applyFont="1" applyBorder="1" applyAlignment="1">
      <alignment horizontal="center" vertical="top" wrapText="1"/>
    </xf>
    <xf numFmtId="14" fontId="1" fillId="0" borderId="4" xfId="1" applyNumberFormat="1" applyFont="1" applyBorder="1" applyAlignment="1">
      <alignment horizontal="center" vertical="top" wrapText="1"/>
    </xf>
    <xf numFmtId="0" fontId="0" fillId="0" borderId="4" xfId="1" applyFont="1" applyBorder="1" applyAlignment="1">
      <alignment horizontal="left" vertical="top" wrapText="1"/>
    </xf>
    <xf numFmtId="0" fontId="0" fillId="0" borderId="2" xfId="1" applyFont="1" applyBorder="1" applyAlignment="1">
      <alignment horizontal="left" vertical="top" wrapText="1"/>
    </xf>
    <xf numFmtId="14" fontId="0" fillId="0" borderId="1" xfId="1" applyNumberFormat="1" applyFont="1" applyBorder="1" applyAlignment="1">
      <alignment horizontal="center" vertical="top" wrapText="1"/>
    </xf>
    <xf numFmtId="0" fontId="0" fillId="0" borderId="1" xfId="1" applyFont="1" applyBorder="1" applyAlignment="1">
      <alignment horizontal="center" vertical="top" wrapText="1"/>
    </xf>
    <xf numFmtId="0" fontId="0" fillId="0" borderId="5" xfId="1" applyFont="1" applyBorder="1" applyAlignment="1">
      <alignment horizontal="center" vertical="top" wrapText="1"/>
    </xf>
    <xf numFmtId="0" fontId="0" fillId="0" borderId="3" xfId="1" applyFont="1" applyBorder="1" applyAlignment="1">
      <alignment horizontal="center" vertical="top" wrapText="1"/>
    </xf>
    <xf numFmtId="0" fontId="0" fillId="0" borderId="10" xfId="1" applyFont="1" applyBorder="1" applyAlignment="1">
      <alignment horizontal="center" vertical="top" wrapText="1"/>
    </xf>
    <xf numFmtId="0" fontId="12" fillId="0" borderId="0" xfId="0" applyFont="1" applyAlignment="1">
      <alignment horizontal="left"/>
    </xf>
    <xf numFmtId="0" fontId="9" fillId="0" borderId="4" xfId="0" applyFont="1" applyBorder="1" applyAlignment="1">
      <alignment horizontal="left"/>
    </xf>
    <xf numFmtId="0" fontId="0" fillId="5" borderId="1" xfId="1" quotePrefix="1" applyFont="1" applyFill="1" applyBorder="1" applyAlignment="1">
      <alignment horizontal="left" vertical="top" wrapText="1"/>
    </xf>
    <xf numFmtId="0" fontId="0" fillId="5" borderId="1" xfId="1" applyFont="1" applyFill="1" applyBorder="1" applyAlignment="1">
      <alignment horizontal="left" vertical="top" wrapText="1"/>
    </xf>
    <xf numFmtId="0" fontId="1" fillId="5" borderId="1" xfId="1" applyFont="1" applyFill="1"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9" fillId="0" borderId="1" xfId="0" applyFont="1" applyBorder="1"/>
    <xf numFmtId="0" fontId="1" fillId="0" borderId="5" xfId="1" applyFont="1" applyBorder="1" applyAlignment="1">
      <alignment horizontal="left" vertical="top" wrapText="1"/>
    </xf>
    <xf numFmtId="0" fontId="0" fillId="0" borderId="5" xfId="0" applyBorder="1" applyAlignment="1">
      <alignment horizontal="center" vertical="top"/>
    </xf>
    <xf numFmtId="14" fontId="0" fillId="0" borderId="2" xfId="0" applyNumberFormat="1" applyBorder="1" applyAlignment="1">
      <alignment horizontal="center" vertical="top"/>
    </xf>
    <xf numFmtId="0" fontId="0" fillId="0" borderId="1" xfId="0" applyBorder="1" applyAlignment="1">
      <alignment wrapText="1"/>
    </xf>
    <xf numFmtId="0" fontId="1" fillId="0" borderId="7" xfId="1" applyFont="1" applyBorder="1" applyAlignment="1">
      <alignment horizontal="center" vertical="top" wrapText="1"/>
    </xf>
    <xf numFmtId="0" fontId="0" fillId="0" borderId="4" xfId="0" applyBorder="1"/>
    <xf numFmtId="0" fontId="0" fillId="0" borderId="2" xfId="0" applyBorder="1" applyAlignment="1">
      <alignment wrapText="1"/>
    </xf>
    <xf numFmtId="0" fontId="1" fillId="0" borderId="7" xfId="1" applyFont="1" applyBorder="1" applyAlignment="1">
      <alignment horizontal="left" vertical="top" wrapText="1"/>
    </xf>
    <xf numFmtId="0" fontId="1" fillId="0" borderId="8" xfId="1" applyFont="1" applyBorder="1" applyAlignment="1">
      <alignment horizontal="left" vertical="top" wrapText="1"/>
    </xf>
    <xf numFmtId="0" fontId="0" fillId="0" borderId="0" xfId="0" applyAlignment="1">
      <alignment horizontal="center"/>
    </xf>
    <xf numFmtId="0" fontId="4" fillId="3" borderId="1" xfId="1" applyFont="1" applyFill="1" applyBorder="1" applyAlignment="1">
      <alignment horizontal="center" vertical="top"/>
    </xf>
    <xf numFmtId="0" fontId="0" fillId="0" borderId="0" xfId="0" applyAlignment="1">
      <alignment horizontal="center" vertical="top"/>
    </xf>
    <xf numFmtId="0" fontId="1" fillId="7" borderId="1" xfId="1" applyFont="1" applyFill="1" applyBorder="1" applyAlignment="1">
      <alignment horizontal="center" vertical="top" wrapText="1"/>
    </xf>
    <xf numFmtId="0" fontId="1" fillId="7" borderId="1" xfId="1" applyFont="1" applyFill="1" applyBorder="1" applyAlignment="1">
      <alignment horizontal="left" vertical="top" wrapText="1"/>
    </xf>
    <xf numFmtId="14" fontId="1" fillId="7" borderId="1" xfId="1" applyNumberFormat="1" applyFont="1" applyFill="1" applyBorder="1" applyAlignment="1">
      <alignment horizontal="center" vertical="top" wrapText="1"/>
    </xf>
    <xf numFmtId="0" fontId="0" fillId="7" borderId="1" xfId="0" applyFill="1" applyBorder="1" applyAlignment="1">
      <alignment wrapText="1"/>
    </xf>
    <xf numFmtId="0" fontId="0" fillId="7" borderId="2" xfId="0" applyFill="1" applyBorder="1" applyAlignment="1">
      <alignment wrapText="1"/>
    </xf>
    <xf numFmtId="0" fontId="0" fillId="7" borderId="4" xfId="0" applyFill="1" applyBorder="1" applyAlignment="1">
      <alignment wrapText="1"/>
    </xf>
    <xf numFmtId="0" fontId="0" fillId="7" borderId="0" xfId="0" applyFill="1"/>
    <xf numFmtId="0" fontId="1" fillId="7" borderId="2" xfId="1" applyFont="1" applyFill="1" applyBorder="1" applyAlignment="1">
      <alignment horizontal="left" vertical="top" wrapText="1"/>
    </xf>
    <xf numFmtId="0" fontId="1" fillId="7" borderId="4" xfId="1" applyFont="1" applyFill="1" applyBorder="1" applyAlignment="1">
      <alignment horizontal="left" vertical="top" wrapText="1"/>
    </xf>
    <xf numFmtId="0" fontId="0" fillId="7" borderId="1" xfId="1" applyFont="1" applyFill="1" applyBorder="1" applyAlignment="1">
      <alignment horizontal="left" vertical="top" wrapText="1"/>
    </xf>
    <xf numFmtId="0" fontId="9" fillId="7" borderId="4" xfId="0" applyFont="1" applyFill="1" applyBorder="1"/>
    <xf numFmtId="0" fontId="0" fillId="7" borderId="5" xfId="1" applyFont="1" applyFill="1" applyBorder="1" applyAlignment="1">
      <alignment horizontal="left" vertical="top" wrapText="1"/>
    </xf>
  </cellXfs>
  <cellStyles count="2">
    <cellStyle name="Normal" xfId="0" builtinId="0"/>
    <cellStyle name="Normal 2" xfId="1" xr:uid="{E3A4F80F-6034-4CAB-A026-EE73A606F3C5}"/>
  </cellStyles>
  <dxfs count="12">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466725</xdr:colOff>
      <xdr:row>2</xdr:row>
      <xdr:rowOff>438150</xdr:rowOff>
    </xdr:from>
    <xdr:to>
      <xdr:col>18</xdr:col>
      <xdr:colOff>200264</xdr:colOff>
      <xdr:row>3</xdr:row>
      <xdr:rowOff>104796</xdr:rowOff>
    </xdr:to>
    <xdr:pic>
      <xdr:nvPicPr>
        <xdr:cNvPr id="7" name="Picture 1">
          <a:extLst>
            <a:ext uri="{FF2B5EF4-FFF2-40B4-BE49-F238E27FC236}">
              <a16:creationId xmlns:a16="http://schemas.microsoft.com/office/drawing/2014/main" id="{ACDCD39B-4391-A0FE-8DC7-6031FEAA55B1}"/>
            </a:ext>
          </a:extLst>
        </xdr:cNvPr>
        <xdr:cNvPicPr>
          <a:picLocks noChangeAspect="1"/>
        </xdr:cNvPicPr>
      </xdr:nvPicPr>
      <xdr:blipFill>
        <a:blip xmlns:r="http://schemas.openxmlformats.org/officeDocument/2006/relationships" r:embed="rId1"/>
        <a:stretch>
          <a:fillRect/>
        </a:stretch>
      </xdr:blipFill>
      <xdr:spPr>
        <a:xfrm>
          <a:off x="17040225" y="2838450"/>
          <a:ext cx="4835764" cy="396896"/>
        </a:xfrm>
        <a:prstGeom prst="rect">
          <a:avLst/>
        </a:prstGeom>
      </xdr:spPr>
    </xdr:pic>
    <xdr:clientData/>
  </xdr:twoCellAnchor>
  <xdr:twoCellAnchor editAs="oneCell">
    <xdr:from>
      <xdr:col>10</xdr:col>
      <xdr:colOff>323850</xdr:colOff>
      <xdr:row>3</xdr:row>
      <xdr:rowOff>438150</xdr:rowOff>
    </xdr:from>
    <xdr:to>
      <xdr:col>18</xdr:col>
      <xdr:colOff>492835</xdr:colOff>
      <xdr:row>5</xdr:row>
      <xdr:rowOff>162065</xdr:rowOff>
    </xdr:to>
    <xdr:pic>
      <xdr:nvPicPr>
        <xdr:cNvPr id="9" name="Picture 3">
          <a:extLst>
            <a:ext uri="{FF2B5EF4-FFF2-40B4-BE49-F238E27FC236}">
              <a16:creationId xmlns:a16="http://schemas.microsoft.com/office/drawing/2014/main" id="{68A29E51-BABE-1EF2-9424-B242615C8E54}"/>
            </a:ext>
          </a:extLst>
        </xdr:cNvPr>
        <xdr:cNvPicPr>
          <a:picLocks noChangeAspect="1"/>
        </xdr:cNvPicPr>
      </xdr:nvPicPr>
      <xdr:blipFill>
        <a:blip xmlns:r="http://schemas.openxmlformats.org/officeDocument/2006/relationships" r:embed="rId2"/>
        <a:stretch>
          <a:fillRect/>
        </a:stretch>
      </xdr:blipFill>
      <xdr:spPr>
        <a:xfrm>
          <a:off x="16897350" y="3571875"/>
          <a:ext cx="5274385" cy="1006615"/>
        </a:xfrm>
        <a:prstGeom prst="rect">
          <a:avLst/>
        </a:prstGeom>
      </xdr:spPr>
    </xdr:pic>
    <xdr:clientData/>
  </xdr:twoCellAnchor>
  <xdr:twoCellAnchor editAs="oneCell">
    <xdr:from>
      <xdr:col>5</xdr:col>
      <xdr:colOff>2711450</xdr:colOff>
      <xdr:row>66</xdr:row>
      <xdr:rowOff>882650</xdr:rowOff>
    </xdr:from>
    <xdr:to>
      <xdr:col>42</xdr:col>
      <xdr:colOff>236348</xdr:colOff>
      <xdr:row>97</xdr:row>
      <xdr:rowOff>87621</xdr:rowOff>
    </xdr:to>
    <xdr:pic>
      <xdr:nvPicPr>
        <xdr:cNvPr id="2" name="Picture 1">
          <a:extLst>
            <a:ext uri="{FF2B5EF4-FFF2-40B4-BE49-F238E27FC236}">
              <a16:creationId xmlns:a16="http://schemas.microsoft.com/office/drawing/2014/main" id="{010D4DF3-0C08-C0E9-BDAB-97C005A2EF8B}"/>
            </a:ext>
            <a:ext uri="{147F2762-F138-4A5C-976F-8EAC2B608ADB}">
              <a16:predDERef xmlns:a16="http://schemas.microsoft.com/office/drawing/2014/main" pred="{68A29E51-BABE-1EF2-9424-B242615C8E54}"/>
            </a:ext>
          </a:extLst>
        </xdr:cNvPr>
        <xdr:cNvPicPr>
          <a:picLocks noChangeAspect="1"/>
        </xdr:cNvPicPr>
      </xdr:nvPicPr>
      <xdr:blipFill>
        <a:blip xmlns:r="http://schemas.openxmlformats.org/officeDocument/2006/relationships" r:embed="rId3"/>
        <a:stretch>
          <a:fillRect/>
        </a:stretch>
      </xdr:blipFill>
      <xdr:spPr>
        <a:xfrm>
          <a:off x="7683500" y="36429950"/>
          <a:ext cx="31186248" cy="134734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257175</xdr:colOff>
      <xdr:row>15</xdr:row>
      <xdr:rowOff>752475</xdr:rowOff>
    </xdr:from>
    <xdr:to>
      <xdr:col>5</xdr:col>
      <xdr:colOff>4178502</xdr:colOff>
      <xdr:row>17</xdr:row>
      <xdr:rowOff>311186</xdr:rowOff>
    </xdr:to>
    <xdr:pic>
      <xdr:nvPicPr>
        <xdr:cNvPr id="2" name="Picture 1">
          <a:extLst>
            <a:ext uri="{FF2B5EF4-FFF2-40B4-BE49-F238E27FC236}">
              <a16:creationId xmlns:a16="http://schemas.microsoft.com/office/drawing/2014/main" id="{03ECE804-20DE-D73E-E85C-FCA7A8E42B0F}"/>
            </a:ext>
          </a:extLst>
        </xdr:cNvPr>
        <xdr:cNvPicPr>
          <a:picLocks noChangeAspect="1"/>
        </xdr:cNvPicPr>
      </xdr:nvPicPr>
      <xdr:blipFill>
        <a:blip xmlns:r="http://schemas.openxmlformats.org/officeDocument/2006/relationships" r:embed="rId1"/>
        <a:stretch>
          <a:fillRect/>
        </a:stretch>
      </xdr:blipFill>
      <xdr:spPr>
        <a:xfrm>
          <a:off x="11001375" y="4972050"/>
          <a:ext cx="3924502" cy="695361"/>
        </a:xfrm>
        <a:prstGeom prst="rect">
          <a:avLst/>
        </a:prstGeom>
      </xdr:spPr>
    </xdr:pic>
    <xdr:clientData/>
  </xdr:twoCellAnchor>
  <xdr:twoCellAnchor editAs="oneCell">
    <xdr:from>
      <xdr:col>5</xdr:col>
      <xdr:colOff>125481</xdr:colOff>
      <xdr:row>15</xdr:row>
      <xdr:rowOff>124239</xdr:rowOff>
    </xdr:from>
    <xdr:to>
      <xdr:col>5</xdr:col>
      <xdr:colOff>5126363</xdr:colOff>
      <xdr:row>17</xdr:row>
      <xdr:rowOff>209580</xdr:rowOff>
    </xdr:to>
    <xdr:pic>
      <xdr:nvPicPr>
        <xdr:cNvPr id="5" name="Picture 4">
          <a:extLst>
            <a:ext uri="{FF2B5EF4-FFF2-40B4-BE49-F238E27FC236}">
              <a16:creationId xmlns:a16="http://schemas.microsoft.com/office/drawing/2014/main" id="{B60A0EB2-455B-0D73-B90A-E6F4E1C6F9A0}"/>
            </a:ext>
          </a:extLst>
        </xdr:cNvPr>
        <xdr:cNvPicPr>
          <a:picLocks noChangeAspect="1"/>
        </xdr:cNvPicPr>
      </xdr:nvPicPr>
      <xdr:blipFill>
        <a:blip xmlns:r="http://schemas.openxmlformats.org/officeDocument/2006/relationships" r:embed="rId2"/>
        <a:stretch>
          <a:fillRect/>
        </a:stretch>
      </xdr:blipFill>
      <xdr:spPr>
        <a:xfrm>
          <a:off x="10379351" y="5077239"/>
          <a:ext cx="5000882" cy="5905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590550</xdr:colOff>
      <xdr:row>8</xdr:row>
      <xdr:rowOff>2609850</xdr:rowOff>
    </xdr:from>
    <xdr:to>
      <xdr:col>17</xdr:col>
      <xdr:colOff>202</xdr:colOff>
      <xdr:row>8</xdr:row>
      <xdr:rowOff>3305211</xdr:rowOff>
    </xdr:to>
    <xdr:pic>
      <xdr:nvPicPr>
        <xdr:cNvPr id="2" name="Picture 1">
          <a:extLst>
            <a:ext uri="{FF2B5EF4-FFF2-40B4-BE49-F238E27FC236}">
              <a16:creationId xmlns:a16="http://schemas.microsoft.com/office/drawing/2014/main" id="{EEFE77B2-9617-466E-B5BD-9221C8F57B88}"/>
            </a:ext>
          </a:extLst>
        </xdr:cNvPr>
        <xdr:cNvPicPr>
          <a:picLocks noChangeAspect="1"/>
        </xdr:cNvPicPr>
      </xdr:nvPicPr>
      <xdr:blipFill>
        <a:blip xmlns:r="http://schemas.openxmlformats.org/officeDocument/2006/relationships" r:embed="rId1"/>
        <a:stretch>
          <a:fillRect/>
        </a:stretch>
      </xdr:blipFill>
      <xdr:spPr>
        <a:xfrm>
          <a:off x="12401550" y="14201775"/>
          <a:ext cx="3924502" cy="695361"/>
        </a:xfrm>
        <a:prstGeom prst="rect">
          <a:avLst/>
        </a:prstGeom>
      </xdr:spPr>
    </xdr:pic>
    <xdr:clientData/>
  </xdr:twoCellAnchor>
  <xdr:twoCellAnchor editAs="oneCell">
    <xdr:from>
      <xdr:col>11</xdr:col>
      <xdr:colOff>792231</xdr:colOff>
      <xdr:row>8</xdr:row>
      <xdr:rowOff>2324100</xdr:rowOff>
    </xdr:from>
    <xdr:to>
      <xdr:col>19</xdr:col>
      <xdr:colOff>59063</xdr:colOff>
      <xdr:row>8</xdr:row>
      <xdr:rowOff>2914680</xdr:rowOff>
    </xdr:to>
    <xdr:pic>
      <xdr:nvPicPr>
        <xdr:cNvPr id="3" name="Picture 4">
          <a:extLst>
            <a:ext uri="{FF2B5EF4-FFF2-40B4-BE49-F238E27FC236}">
              <a16:creationId xmlns:a16="http://schemas.microsoft.com/office/drawing/2014/main" id="{28B5F876-8D0D-4E69-AA24-E105753512C7}"/>
            </a:ext>
            <a:ext uri="{147F2762-F138-4A5C-976F-8EAC2B608ADB}">
              <a16:predDERef xmlns:a16="http://schemas.microsoft.com/office/drawing/2014/main" pred="{EEFE77B2-9617-466E-B5BD-9221C8F57B88}"/>
            </a:ext>
          </a:extLst>
        </xdr:cNvPr>
        <xdr:cNvPicPr>
          <a:picLocks noChangeAspect="1"/>
        </xdr:cNvPicPr>
      </xdr:nvPicPr>
      <xdr:blipFill>
        <a:blip xmlns:r="http://schemas.openxmlformats.org/officeDocument/2006/relationships" r:embed="rId2"/>
        <a:stretch>
          <a:fillRect/>
        </a:stretch>
      </xdr:blipFill>
      <xdr:spPr>
        <a:xfrm>
          <a:off x="12603231" y="13916025"/>
          <a:ext cx="5000882" cy="590580"/>
        </a:xfrm>
        <a:prstGeom prst="rect">
          <a:avLst/>
        </a:prstGeom>
      </xdr:spPr>
    </xdr:pic>
    <xdr:clientData/>
  </xdr:twoCellAnchor>
  <xdr:twoCellAnchor editAs="oneCell">
    <xdr:from>
      <xdr:col>11</xdr:col>
      <xdr:colOff>0</xdr:colOff>
      <xdr:row>13</xdr:row>
      <xdr:rowOff>0</xdr:rowOff>
    </xdr:from>
    <xdr:to>
      <xdr:col>17</xdr:col>
      <xdr:colOff>486032</xdr:colOff>
      <xdr:row>13</xdr:row>
      <xdr:rowOff>590580</xdr:rowOff>
    </xdr:to>
    <xdr:pic>
      <xdr:nvPicPr>
        <xdr:cNvPr id="4" name="Picture 3">
          <a:extLst>
            <a:ext uri="{FF2B5EF4-FFF2-40B4-BE49-F238E27FC236}">
              <a16:creationId xmlns:a16="http://schemas.microsoft.com/office/drawing/2014/main" id="{90A4FC69-CA89-4988-96B3-4A43D763AAE6}"/>
            </a:ext>
            <a:ext uri="{147F2762-F138-4A5C-976F-8EAC2B608ADB}">
              <a16:predDERef xmlns:a16="http://schemas.microsoft.com/office/drawing/2014/main" pred="{28B5F876-8D0D-4E69-AA24-E105753512C7}"/>
            </a:ext>
          </a:extLst>
        </xdr:cNvPr>
        <xdr:cNvPicPr>
          <a:picLocks noChangeAspect="1"/>
        </xdr:cNvPicPr>
      </xdr:nvPicPr>
      <xdr:blipFill>
        <a:blip xmlns:r="http://schemas.openxmlformats.org/officeDocument/2006/relationships" r:embed="rId2"/>
        <a:stretch>
          <a:fillRect/>
        </a:stretch>
      </xdr:blipFill>
      <xdr:spPr>
        <a:xfrm>
          <a:off x="11811000" y="36776025"/>
          <a:ext cx="5000882" cy="590580"/>
        </a:xfrm>
        <a:prstGeom prst="rect">
          <a:avLst/>
        </a:prstGeom>
      </xdr:spPr>
    </xdr:pic>
    <xdr:clientData/>
  </xdr:twoCellAnchor>
  <xdr:twoCellAnchor editAs="oneCell">
    <xdr:from>
      <xdr:col>13</xdr:col>
      <xdr:colOff>0</xdr:colOff>
      <xdr:row>13</xdr:row>
      <xdr:rowOff>0</xdr:rowOff>
    </xdr:from>
    <xdr:to>
      <xdr:col>21</xdr:col>
      <xdr:colOff>124082</xdr:colOff>
      <xdr:row>13</xdr:row>
      <xdr:rowOff>590580</xdr:rowOff>
    </xdr:to>
    <xdr:pic>
      <xdr:nvPicPr>
        <xdr:cNvPr id="5" name="Picture 4">
          <a:extLst>
            <a:ext uri="{FF2B5EF4-FFF2-40B4-BE49-F238E27FC236}">
              <a16:creationId xmlns:a16="http://schemas.microsoft.com/office/drawing/2014/main" id="{9EC63212-888E-41F4-A58A-3C63946B0160}"/>
            </a:ext>
            <a:ext uri="{147F2762-F138-4A5C-976F-8EAC2B608ADB}">
              <a16:predDERef xmlns:a16="http://schemas.microsoft.com/office/drawing/2014/main" pred="{90A4FC69-CA89-4988-96B3-4A43D763AAE6}"/>
            </a:ext>
          </a:extLst>
        </xdr:cNvPr>
        <xdr:cNvPicPr>
          <a:picLocks noChangeAspect="1"/>
        </xdr:cNvPicPr>
      </xdr:nvPicPr>
      <xdr:blipFill>
        <a:blip xmlns:r="http://schemas.openxmlformats.org/officeDocument/2006/relationships" r:embed="rId2"/>
        <a:stretch>
          <a:fillRect/>
        </a:stretch>
      </xdr:blipFill>
      <xdr:spPr>
        <a:xfrm>
          <a:off x="13887450" y="36776025"/>
          <a:ext cx="5000882" cy="5905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DDBC-6227-47B2-9869-3B4C776B7365}">
  <dimension ref="A1:L161"/>
  <sheetViews>
    <sheetView zoomScaleNormal="100" workbookViewId="0">
      <pane ySplit="1" topLeftCell="A59" activePane="bottomLeft" state="frozen"/>
      <selection pane="bottomLeft" activeCell="J69" sqref="J69"/>
    </sheetView>
  </sheetViews>
  <sheetFormatPr defaultColWidth="9.140625" defaultRowHeight="14.45"/>
  <cols>
    <col min="1" max="1" width="5.28515625" style="2" bestFit="1" customWidth="1"/>
    <col min="2" max="2" width="12.42578125" style="1" bestFit="1" customWidth="1"/>
    <col min="3" max="3" width="34" style="1" bestFit="1" customWidth="1"/>
    <col min="4" max="4" width="26.42578125" style="1" bestFit="1" customWidth="1"/>
    <col min="5" max="5" width="14.7109375" style="1" bestFit="1" customWidth="1"/>
    <col min="6" max="6" width="90.7109375" style="1" customWidth="1"/>
    <col min="7" max="7" width="13.140625" style="1" bestFit="1" customWidth="1"/>
    <col min="8" max="8" width="15.28515625" style="1" bestFit="1" customWidth="1"/>
    <col min="9" max="9" width="11.28515625" style="1" bestFit="1" customWidth="1"/>
    <col min="10" max="10" width="23.42578125" style="1" bestFit="1" customWidth="1"/>
    <col min="11" max="16384" width="9.140625" style="1"/>
  </cols>
  <sheetData>
    <row r="1" spans="1:10" s="3" customFormat="1">
      <c r="A1" s="4" t="s">
        <v>0</v>
      </c>
      <c r="B1" s="4" t="s">
        <v>1</v>
      </c>
      <c r="C1" s="4" t="s">
        <v>2</v>
      </c>
      <c r="D1" s="4" t="s">
        <v>3</v>
      </c>
      <c r="E1" s="4" t="s">
        <v>4</v>
      </c>
      <c r="F1" s="4" t="s">
        <v>5</v>
      </c>
      <c r="G1" s="4" t="s">
        <v>6</v>
      </c>
      <c r="H1" s="4" t="s">
        <v>7</v>
      </c>
      <c r="I1" s="4" t="s">
        <v>8</v>
      </c>
      <c r="J1" s="4" t="s">
        <v>9</v>
      </c>
    </row>
    <row r="2" spans="1:10" s="3" customFormat="1">
      <c r="A2" s="14">
        <f t="shared" ref="A2:A33" si="0">ROW()-1</f>
        <v>1</v>
      </c>
      <c r="B2" s="36" t="s">
        <v>10</v>
      </c>
      <c r="C2" s="36" t="s">
        <v>11</v>
      </c>
      <c r="D2" s="36"/>
      <c r="E2" s="36"/>
      <c r="F2" s="36" t="s">
        <v>12</v>
      </c>
      <c r="G2" s="36"/>
      <c r="H2" s="36"/>
      <c r="I2" s="36" t="s">
        <v>13</v>
      </c>
      <c r="J2" s="13"/>
    </row>
    <row r="3" spans="1:10" s="3" customFormat="1" ht="43.5">
      <c r="A3" s="13">
        <f t="shared" si="0"/>
        <v>2</v>
      </c>
      <c r="B3" s="36" t="s">
        <v>14</v>
      </c>
      <c r="C3" s="36" t="s">
        <v>11</v>
      </c>
      <c r="D3" s="36" t="s">
        <v>15</v>
      </c>
      <c r="E3" s="36" t="s">
        <v>16</v>
      </c>
      <c r="F3" s="36" t="s">
        <v>17</v>
      </c>
      <c r="G3" s="36"/>
      <c r="H3" s="36" t="s">
        <v>18</v>
      </c>
      <c r="I3" s="36" t="s">
        <v>19</v>
      </c>
      <c r="J3" s="15" t="s">
        <v>20</v>
      </c>
    </row>
    <row r="4" spans="1:10" s="3" customFormat="1" ht="43.5">
      <c r="A4" s="13">
        <f t="shared" si="0"/>
        <v>3</v>
      </c>
      <c r="B4" s="36" t="s">
        <v>14</v>
      </c>
      <c r="C4" s="36" t="s">
        <v>11</v>
      </c>
      <c r="D4" s="36" t="s">
        <v>15</v>
      </c>
      <c r="E4" s="36" t="s">
        <v>16</v>
      </c>
      <c r="F4" s="36" t="s">
        <v>21</v>
      </c>
      <c r="G4" s="36"/>
      <c r="H4" s="36" t="s">
        <v>22</v>
      </c>
      <c r="I4" s="36" t="s">
        <v>19</v>
      </c>
      <c r="J4" s="15" t="s">
        <v>20</v>
      </c>
    </row>
    <row r="5" spans="1:10" ht="29.1">
      <c r="A5" s="42">
        <f t="shared" si="0"/>
        <v>4</v>
      </c>
      <c r="B5" s="36" t="s">
        <v>10</v>
      </c>
      <c r="C5" s="36" t="s">
        <v>23</v>
      </c>
      <c r="D5" s="36" t="s">
        <v>24</v>
      </c>
      <c r="E5" s="36" t="s">
        <v>25</v>
      </c>
      <c r="F5" s="36" t="s">
        <v>26</v>
      </c>
      <c r="G5" s="36"/>
      <c r="H5" s="36" t="s">
        <v>27</v>
      </c>
      <c r="I5" s="36" t="s">
        <v>28</v>
      </c>
      <c r="J5" s="36" t="s">
        <v>29</v>
      </c>
    </row>
    <row r="6" spans="1:10">
      <c r="A6" s="42">
        <f t="shared" si="0"/>
        <v>5</v>
      </c>
      <c r="B6" s="36" t="s">
        <v>10</v>
      </c>
      <c r="C6" s="36" t="s">
        <v>30</v>
      </c>
      <c r="D6" s="36" t="s">
        <v>31</v>
      </c>
      <c r="E6" s="36"/>
      <c r="F6" s="36" t="s">
        <v>32</v>
      </c>
      <c r="G6" s="36"/>
      <c r="H6" s="36" t="s">
        <v>27</v>
      </c>
      <c r="I6" s="36" t="s">
        <v>28</v>
      </c>
      <c r="J6" s="36" t="s">
        <v>33</v>
      </c>
    </row>
    <row r="7" spans="1:10" ht="29.1">
      <c r="A7" s="42">
        <f t="shared" si="0"/>
        <v>6</v>
      </c>
      <c r="B7" s="36" t="s">
        <v>10</v>
      </c>
      <c r="C7" s="36" t="s">
        <v>23</v>
      </c>
      <c r="D7" s="36" t="s">
        <v>24</v>
      </c>
      <c r="E7" s="36" t="s">
        <v>23</v>
      </c>
      <c r="F7" s="36" t="s">
        <v>34</v>
      </c>
      <c r="G7" s="36"/>
      <c r="H7" s="36" t="s">
        <v>27</v>
      </c>
      <c r="I7" s="36" t="s">
        <v>28</v>
      </c>
      <c r="J7" s="36" t="s">
        <v>29</v>
      </c>
    </row>
    <row r="8" spans="1:10">
      <c r="A8" s="42">
        <f t="shared" si="0"/>
        <v>7</v>
      </c>
      <c r="B8" s="36" t="s">
        <v>10</v>
      </c>
      <c r="C8" s="36" t="s">
        <v>23</v>
      </c>
      <c r="D8" s="36" t="s">
        <v>31</v>
      </c>
      <c r="E8" s="36" t="s">
        <v>23</v>
      </c>
      <c r="F8" s="36" t="s">
        <v>35</v>
      </c>
      <c r="G8" s="36"/>
      <c r="H8" s="36" t="s">
        <v>27</v>
      </c>
      <c r="I8" s="36" t="s">
        <v>28</v>
      </c>
      <c r="J8" s="36" t="s">
        <v>36</v>
      </c>
    </row>
    <row r="9" spans="1:10" ht="29.1">
      <c r="A9" s="42">
        <f t="shared" si="0"/>
        <v>8</v>
      </c>
      <c r="B9" s="36" t="s">
        <v>10</v>
      </c>
      <c r="C9" s="36" t="s">
        <v>23</v>
      </c>
      <c r="D9" s="36" t="s">
        <v>37</v>
      </c>
      <c r="E9" s="36">
        <v>1</v>
      </c>
      <c r="F9" s="36" t="s">
        <v>38</v>
      </c>
      <c r="G9" s="36"/>
      <c r="H9" s="36" t="s">
        <v>27</v>
      </c>
      <c r="I9" s="36" t="s">
        <v>28</v>
      </c>
      <c r="J9" s="36" t="s">
        <v>39</v>
      </c>
    </row>
    <row r="10" spans="1:10">
      <c r="A10" s="42">
        <f t="shared" si="0"/>
        <v>9</v>
      </c>
      <c r="B10" s="36" t="s">
        <v>14</v>
      </c>
      <c r="C10" s="36" t="s">
        <v>23</v>
      </c>
      <c r="D10" s="36" t="s">
        <v>40</v>
      </c>
      <c r="E10" s="36">
        <v>1</v>
      </c>
      <c r="F10" s="36" t="s">
        <v>41</v>
      </c>
      <c r="G10" s="5"/>
      <c r="H10" s="36" t="s">
        <v>22</v>
      </c>
      <c r="I10" s="36" t="s">
        <v>13</v>
      </c>
      <c r="J10" s="36"/>
    </row>
    <row r="11" spans="1:10">
      <c r="A11" s="42">
        <f t="shared" si="0"/>
        <v>10</v>
      </c>
      <c r="B11" s="36" t="s">
        <v>14</v>
      </c>
      <c r="C11" s="36" t="s">
        <v>23</v>
      </c>
      <c r="D11" s="36" t="s">
        <v>40</v>
      </c>
      <c r="E11" s="36">
        <v>1</v>
      </c>
      <c r="F11" s="36" t="s">
        <v>42</v>
      </c>
      <c r="G11" s="36"/>
      <c r="H11" s="36" t="s">
        <v>43</v>
      </c>
      <c r="I11" s="36" t="s">
        <v>13</v>
      </c>
      <c r="J11" s="36"/>
    </row>
    <row r="12" spans="1:10">
      <c r="A12" s="42">
        <f t="shared" si="0"/>
        <v>11</v>
      </c>
      <c r="B12" s="36" t="s">
        <v>14</v>
      </c>
      <c r="C12" s="36" t="s">
        <v>23</v>
      </c>
      <c r="D12" s="36" t="s">
        <v>40</v>
      </c>
      <c r="E12" s="36">
        <v>1</v>
      </c>
      <c r="F12" s="36" t="s">
        <v>44</v>
      </c>
      <c r="G12" s="36"/>
      <c r="H12" s="36"/>
      <c r="I12" s="36" t="s">
        <v>13</v>
      </c>
      <c r="J12" s="36"/>
    </row>
    <row r="13" spans="1:10" ht="231.95">
      <c r="A13" s="42">
        <f t="shared" si="0"/>
        <v>12</v>
      </c>
      <c r="B13" s="36" t="s">
        <v>14</v>
      </c>
      <c r="C13" s="36" t="s">
        <v>23</v>
      </c>
      <c r="D13" s="36" t="s">
        <v>40</v>
      </c>
      <c r="E13" s="36">
        <v>1</v>
      </c>
      <c r="F13" s="36" t="s">
        <v>45</v>
      </c>
      <c r="G13" s="36"/>
      <c r="H13" s="36"/>
      <c r="I13" s="36" t="s">
        <v>19</v>
      </c>
      <c r="J13" s="36" t="s">
        <v>46</v>
      </c>
    </row>
    <row r="14" spans="1:10">
      <c r="A14" s="42">
        <f t="shared" si="0"/>
        <v>13</v>
      </c>
      <c r="B14" s="36" t="s">
        <v>10</v>
      </c>
      <c r="C14" s="36" t="s">
        <v>23</v>
      </c>
      <c r="D14" s="36" t="s">
        <v>47</v>
      </c>
      <c r="E14" s="36">
        <v>1</v>
      </c>
      <c r="F14" s="36" t="s">
        <v>48</v>
      </c>
      <c r="G14" s="36"/>
      <c r="H14" s="36" t="s">
        <v>27</v>
      </c>
      <c r="I14" s="36" t="s">
        <v>28</v>
      </c>
      <c r="J14" s="36" t="s">
        <v>36</v>
      </c>
    </row>
    <row r="15" spans="1:10">
      <c r="A15" s="42">
        <f t="shared" si="0"/>
        <v>14</v>
      </c>
      <c r="B15" s="36" t="s">
        <v>10</v>
      </c>
      <c r="C15" s="36" t="s">
        <v>23</v>
      </c>
      <c r="D15" s="36" t="s">
        <v>49</v>
      </c>
      <c r="E15" s="36">
        <v>1</v>
      </c>
      <c r="F15" s="36" t="s">
        <v>50</v>
      </c>
      <c r="G15" s="36"/>
      <c r="H15" s="36" t="s">
        <v>27</v>
      </c>
      <c r="I15" s="36" t="s">
        <v>28</v>
      </c>
      <c r="J15" s="36" t="s">
        <v>51</v>
      </c>
    </row>
    <row r="16" spans="1:10">
      <c r="A16" s="42">
        <f t="shared" si="0"/>
        <v>15</v>
      </c>
      <c r="B16" s="36" t="s">
        <v>10</v>
      </c>
      <c r="C16" s="36" t="s">
        <v>23</v>
      </c>
      <c r="D16" s="36" t="s">
        <v>52</v>
      </c>
      <c r="E16" s="36">
        <v>1</v>
      </c>
      <c r="F16" s="36" t="s">
        <v>53</v>
      </c>
      <c r="G16" s="36"/>
      <c r="H16" s="36" t="s">
        <v>27</v>
      </c>
      <c r="I16" s="36" t="s">
        <v>28</v>
      </c>
      <c r="J16" s="36" t="s">
        <v>51</v>
      </c>
    </row>
    <row r="17" spans="1:10">
      <c r="A17" s="42">
        <f t="shared" si="0"/>
        <v>16</v>
      </c>
      <c r="B17" s="36" t="s">
        <v>10</v>
      </c>
      <c r="C17" s="36" t="s">
        <v>23</v>
      </c>
      <c r="D17" s="36" t="s">
        <v>54</v>
      </c>
      <c r="E17" s="36">
        <v>2</v>
      </c>
      <c r="F17" s="36" t="s">
        <v>55</v>
      </c>
      <c r="G17" s="36"/>
      <c r="H17" s="36" t="s">
        <v>27</v>
      </c>
      <c r="I17" s="36" t="s">
        <v>28</v>
      </c>
      <c r="J17" s="36"/>
    </row>
    <row r="18" spans="1:10">
      <c r="A18" s="42">
        <f t="shared" si="0"/>
        <v>17</v>
      </c>
      <c r="B18" s="36" t="s">
        <v>10</v>
      </c>
      <c r="C18" s="36" t="s">
        <v>23</v>
      </c>
      <c r="D18" s="36" t="s">
        <v>56</v>
      </c>
      <c r="E18" s="36">
        <v>2</v>
      </c>
      <c r="F18" s="36" t="s">
        <v>57</v>
      </c>
      <c r="G18" s="36"/>
      <c r="H18" s="36" t="s">
        <v>27</v>
      </c>
      <c r="I18" s="36" t="s">
        <v>28</v>
      </c>
      <c r="J18" s="36" t="s">
        <v>58</v>
      </c>
    </row>
    <row r="19" spans="1:10" ht="29.1">
      <c r="A19" s="42">
        <f t="shared" si="0"/>
        <v>18</v>
      </c>
      <c r="B19" s="36" t="s">
        <v>10</v>
      </c>
      <c r="C19" s="36" t="s">
        <v>23</v>
      </c>
      <c r="D19" s="36" t="s">
        <v>59</v>
      </c>
      <c r="E19" s="36">
        <v>2</v>
      </c>
      <c r="F19" s="36" t="s">
        <v>60</v>
      </c>
      <c r="G19" s="36"/>
      <c r="H19" s="36" t="s">
        <v>27</v>
      </c>
      <c r="I19" s="36" t="s">
        <v>28</v>
      </c>
      <c r="J19" s="36" t="s">
        <v>51</v>
      </c>
    </row>
    <row r="20" spans="1:10">
      <c r="A20" s="42">
        <f t="shared" si="0"/>
        <v>19</v>
      </c>
      <c r="B20" s="36" t="s">
        <v>10</v>
      </c>
      <c r="C20" s="36" t="s">
        <v>23</v>
      </c>
      <c r="D20" s="36" t="s">
        <v>61</v>
      </c>
      <c r="E20" s="36">
        <v>2</v>
      </c>
      <c r="F20" s="36" t="s">
        <v>62</v>
      </c>
      <c r="G20" s="36"/>
      <c r="H20" s="36" t="s">
        <v>27</v>
      </c>
      <c r="I20" s="36" t="s">
        <v>28</v>
      </c>
      <c r="J20" s="36" t="s">
        <v>58</v>
      </c>
    </row>
    <row r="21" spans="1:10">
      <c r="A21" s="42">
        <f t="shared" si="0"/>
        <v>20</v>
      </c>
      <c r="B21" s="36" t="s">
        <v>10</v>
      </c>
      <c r="C21" s="36" t="s">
        <v>23</v>
      </c>
      <c r="D21" s="36" t="s">
        <v>63</v>
      </c>
      <c r="E21" s="36">
        <v>2</v>
      </c>
      <c r="F21" s="36" t="s">
        <v>64</v>
      </c>
      <c r="G21" s="36"/>
      <c r="H21" s="36" t="s">
        <v>27</v>
      </c>
      <c r="I21" s="36" t="s">
        <v>28</v>
      </c>
      <c r="J21" s="36" t="s">
        <v>51</v>
      </c>
    </row>
    <row r="22" spans="1:10">
      <c r="A22" s="42">
        <f t="shared" si="0"/>
        <v>21</v>
      </c>
      <c r="B22" s="36" t="s">
        <v>10</v>
      </c>
      <c r="C22" s="36" t="s">
        <v>23</v>
      </c>
      <c r="D22" s="36" t="s">
        <v>65</v>
      </c>
      <c r="E22" s="36">
        <v>3</v>
      </c>
      <c r="F22" s="36" t="s">
        <v>66</v>
      </c>
      <c r="G22" s="36"/>
      <c r="H22" s="36" t="s">
        <v>27</v>
      </c>
      <c r="I22" s="36" t="s">
        <v>28</v>
      </c>
      <c r="J22" s="36" t="s">
        <v>58</v>
      </c>
    </row>
    <row r="23" spans="1:10">
      <c r="A23" s="42">
        <f t="shared" si="0"/>
        <v>22</v>
      </c>
      <c r="B23" s="36" t="s">
        <v>10</v>
      </c>
      <c r="C23" s="36" t="s">
        <v>23</v>
      </c>
      <c r="D23" s="36" t="s">
        <v>67</v>
      </c>
      <c r="E23" s="36">
        <v>3</v>
      </c>
      <c r="F23" s="36" t="s">
        <v>68</v>
      </c>
      <c r="G23" s="36"/>
      <c r="H23" s="36" t="s">
        <v>27</v>
      </c>
      <c r="I23" s="36" t="s">
        <v>28</v>
      </c>
      <c r="J23" s="36" t="s">
        <v>51</v>
      </c>
    </row>
    <row r="24" spans="1:10">
      <c r="A24" s="42">
        <f t="shared" si="0"/>
        <v>23</v>
      </c>
      <c r="B24" s="36" t="s">
        <v>10</v>
      </c>
      <c r="C24" s="36" t="s">
        <v>23</v>
      </c>
      <c r="D24" s="36" t="s">
        <v>69</v>
      </c>
      <c r="E24" s="36">
        <v>3</v>
      </c>
      <c r="F24" s="36" t="s">
        <v>70</v>
      </c>
      <c r="G24" s="36"/>
      <c r="H24" s="36" t="s">
        <v>27</v>
      </c>
      <c r="I24" s="36" t="s">
        <v>28</v>
      </c>
      <c r="J24" s="36" t="s">
        <v>58</v>
      </c>
    </row>
    <row r="25" spans="1:10">
      <c r="A25" s="42">
        <f t="shared" si="0"/>
        <v>24</v>
      </c>
      <c r="B25" s="36" t="s">
        <v>10</v>
      </c>
      <c r="C25" s="36" t="s">
        <v>23</v>
      </c>
      <c r="D25" s="36" t="s">
        <v>71</v>
      </c>
      <c r="E25" s="36">
        <v>3</v>
      </c>
      <c r="F25" s="36" t="s">
        <v>72</v>
      </c>
      <c r="G25" s="36"/>
      <c r="H25" s="36" t="s">
        <v>27</v>
      </c>
      <c r="I25" s="36" t="s">
        <v>28</v>
      </c>
      <c r="J25" s="36" t="s">
        <v>51</v>
      </c>
    </row>
    <row r="26" spans="1:10">
      <c r="A26" s="42">
        <f t="shared" si="0"/>
        <v>25</v>
      </c>
      <c r="B26" s="36" t="s">
        <v>10</v>
      </c>
      <c r="C26" s="36" t="s">
        <v>23</v>
      </c>
      <c r="D26" s="36" t="s">
        <v>73</v>
      </c>
      <c r="E26" s="36">
        <v>4</v>
      </c>
      <c r="F26" s="36" t="s">
        <v>74</v>
      </c>
      <c r="G26" s="36"/>
      <c r="H26" s="36" t="s">
        <v>27</v>
      </c>
      <c r="I26" s="36" t="s">
        <v>28</v>
      </c>
      <c r="J26" s="36" t="s">
        <v>58</v>
      </c>
    </row>
    <row r="27" spans="1:10">
      <c r="A27" s="42">
        <f t="shared" si="0"/>
        <v>26</v>
      </c>
      <c r="B27" s="36" t="s">
        <v>10</v>
      </c>
      <c r="C27" s="36" t="s">
        <v>23</v>
      </c>
      <c r="D27" s="36" t="s">
        <v>75</v>
      </c>
      <c r="E27" s="36">
        <v>4</v>
      </c>
      <c r="F27" s="36" t="s">
        <v>76</v>
      </c>
      <c r="G27" s="36"/>
      <c r="H27" s="36" t="s">
        <v>27</v>
      </c>
      <c r="I27" s="36" t="s">
        <v>28</v>
      </c>
      <c r="J27" s="36" t="s">
        <v>51</v>
      </c>
    </row>
    <row r="28" spans="1:10">
      <c r="A28" s="42">
        <f t="shared" si="0"/>
        <v>27</v>
      </c>
      <c r="B28" s="36" t="s">
        <v>10</v>
      </c>
      <c r="C28" s="36" t="s">
        <v>23</v>
      </c>
      <c r="D28" s="36" t="s">
        <v>77</v>
      </c>
      <c r="E28" s="36"/>
      <c r="F28" s="36" t="s">
        <v>78</v>
      </c>
      <c r="G28" s="6"/>
      <c r="H28" s="36" t="s">
        <v>27</v>
      </c>
      <c r="I28" s="36" t="s">
        <v>28</v>
      </c>
      <c r="J28" s="36" t="s">
        <v>79</v>
      </c>
    </row>
    <row r="29" spans="1:10">
      <c r="A29" s="42">
        <f t="shared" si="0"/>
        <v>28</v>
      </c>
      <c r="B29" s="36" t="s">
        <v>14</v>
      </c>
      <c r="C29" s="36" t="s">
        <v>23</v>
      </c>
      <c r="D29" s="36" t="s">
        <v>77</v>
      </c>
      <c r="E29" s="36"/>
      <c r="F29" s="36" t="s">
        <v>80</v>
      </c>
      <c r="G29" s="6"/>
      <c r="H29" s="36"/>
      <c r="I29" s="36" t="s">
        <v>28</v>
      </c>
      <c r="J29" s="36" t="s">
        <v>79</v>
      </c>
    </row>
    <row r="30" spans="1:10" ht="87">
      <c r="A30" s="42">
        <f t="shared" si="0"/>
        <v>29</v>
      </c>
      <c r="B30" s="36" t="s">
        <v>10</v>
      </c>
      <c r="C30" s="36" t="s">
        <v>81</v>
      </c>
      <c r="D30" s="36" t="s">
        <v>23</v>
      </c>
      <c r="E30" s="36" t="s">
        <v>23</v>
      </c>
      <c r="F30" s="36" t="s">
        <v>82</v>
      </c>
      <c r="G30" s="36"/>
      <c r="H30" s="36" t="s">
        <v>27</v>
      </c>
      <c r="I30" s="36" t="s">
        <v>28</v>
      </c>
      <c r="J30" s="36" t="s">
        <v>83</v>
      </c>
    </row>
    <row r="31" spans="1:10" ht="29.1">
      <c r="A31" s="42">
        <f t="shared" si="0"/>
        <v>30</v>
      </c>
      <c r="B31" s="36" t="s">
        <v>10</v>
      </c>
      <c r="C31" s="36" t="s">
        <v>81</v>
      </c>
      <c r="D31" s="36" t="s">
        <v>84</v>
      </c>
      <c r="E31" s="36" t="s">
        <v>23</v>
      </c>
      <c r="F31" s="36" t="s">
        <v>85</v>
      </c>
      <c r="G31" s="6"/>
      <c r="H31" s="36" t="s">
        <v>86</v>
      </c>
      <c r="I31" s="36" t="s">
        <v>19</v>
      </c>
      <c r="J31" s="36" t="s">
        <v>87</v>
      </c>
    </row>
    <row r="32" spans="1:10" ht="29.1">
      <c r="A32" s="42">
        <f t="shared" si="0"/>
        <v>31</v>
      </c>
      <c r="B32" s="36" t="s">
        <v>10</v>
      </c>
      <c r="C32" s="36" t="s">
        <v>81</v>
      </c>
      <c r="D32" s="36" t="s">
        <v>88</v>
      </c>
      <c r="E32" s="36" t="s">
        <v>23</v>
      </c>
      <c r="F32" s="36" t="s">
        <v>89</v>
      </c>
      <c r="G32" s="6"/>
      <c r="H32" s="36" t="s">
        <v>86</v>
      </c>
      <c r="I32" s="36" t="s">
        <v>19</v>
      </c>
      <c r="J32" s="36" t="s">
        <v>87</v>
      </c>
    </row>
    <row r="33" spans="1:10" ht="29.1">
      <c r="A33" s="42">
        <f t="shared" si="0"/>
        <v>32</v>
      </c>
      <c r="B33" s="36" t="s">
        <v>10</v>
      </c>
      <c r="C33" s="36" t="s">
        <v>81</v>
      </c>
      <c r="D33" s="36" t="s">
        <v>90</v>
      </c>
      <c r="E33" s="36" t="s">
        <v>91</v>
      </c>
      <c r="F33" s="36" t="s">
        <v>92</v>
      </c>
      <c r="G33" s="7"/>
      <c r="H33" s="36" t="s">
        <v>86</v>
      </c>
      <c r="I33" s="36" t="s">
        <v>19</v>
      </c>
      <c r="J33" s="36" t="s">
        <v>93</v>
      </c>
    </row>
    <row r="34" spans="1:10" ht="29.1">
      <c r="A34" s="42">
        <f t="shared" ref="A34:A69" si="1">ROW()-1</f>
        <v>33</v>
      </c>
      <c r="B34" s="36" t="s">
        <v>10</v>
      </c>
      <c r="C34" s="36" t="s">
        <v>81</v>
      </c>
      <c r="D34" s="36" t="s">
        <v>94</v>
      </c>
      <c r="E34" s="36" t="s">
        <v>95</v>
      </c>
      <c r="F34" s="36" t="s">
        <v>96</v>
      </c>
      <c r="G34" s="7"/>
      <c r="H34" s="36" t="s">
        <v>27</v>
      </c>
      <c r="I34" s="36" t="s">
        <v>28</v>
      </c>
      <c r="J34" s="36" t="s">
        <v>97</v>
      </c>
    </row>
    <row r="35" spans="1:10" ht="29.1">
      <c r="A35" s="42">
        <f t="shared" si="1"/>
        <v>34</v>
      </c>
      <c r="B35" s="36" t="s">
        <v>10</v>
      </c>
      <c r="C35" s="36" t="s">
        <v>81</v>
      </c>
      <c r="D35" s="36" t="s">
        <v>98</v>
      </c>
      <c r="E35" s="36" t="s">
        <v>99</v>
      </c>
      <c r="F35" s="36" t="s">
        <v>100</v>
      </c>
      <c r="G35" s="7"/>
      <c r="H35" s="36" t="s">
        <v>27</v>
      </c>
      <c r="I35" s="36" t="s">
        <v>28</v>
      </c>
      <c r="J35" s="36" t="s">
        <v>101</v>
      </c>
    </row>
    <row r="36" spans="1:10" ht="29.1">
      <c r="A36" s="42">
        <f t="shared" si="1"/>
        <v>35</v>
      </c>
      <c r="B36" s="36" t="s">
        <v>10</v>
      </c>
      <c r="C36" s="36" t="s">
        <v>81</v>
      </c>
      <c r="D36" s="36" t="s">
        <v>102</v>
      </c>
      <c r="E36" s="36" t="s">
        <v>103</v>
      </c>
      <c r="F36" s="36" t="s">
        <v>104</v>
      </c>
      <c r="G36" s="7"/>
      <c r="H36" s="36" t="s">
        <v>27</v>
      </c>
      <c r="I36" s="36" t="s">
        <v>13</v>
      </c>
      <c r="J36" s="36"/>
    </row>
    <row r="37" spans="1:10" ht="29.1">
      <c r="A37" s="42">
        <f t="shared" si="1"/>
        <v>36</v>
      </c>
      <c r="B37" s="36" t="s">
        <v>10</v>
      </c>
      <c r="C37" s="36" t="s">
        <v>81</v>
      </c>
      <c r="D37" s="36" t="s">
        <v>105</v>
      </c>
      <c r="E37" s="36" t="s">
        <v>106</v>
      </c>
      <c r="F37" s="36" t="s">
        <v>107</v>
      </c>
      <c r="G37" s="7"/>
      <c r="H37" s="36" t="s">
        <v>27</v>
      </c>
      <c r="I37" s="36" t="s">
        <v>13</v>
      </c>
      <c r="J37" s="36"/>
    </row>
    <row r="38" spans="1:10" ht="29.1">
      <c r="A38" s="42">
        <f t="shared" si="1"/>
        <v>37</v>
      </c>
      <c r="B38" s="36" t="s">
        <v>10</v>
      </c>
      <c r="C38" s="36" t="s">
        <v>81</v>
      </c>
      <c r="D38" s="36" t="s">
        <v>108</v>
      </c>
      <c r="E38" s="36" t="s">
        <v>109</v>
      </c>
      <c r="F38" s="36" t="s">
        <v>110</v>
      </c>
      <c r="G38" s="7"/>
      <c r="H38" s="36" t="s">
        <v>27</v>
      </c>
      <c r="I38" s="36" t="s">
        <v>13</v>
      </c>
      <c r="J38" s="36"/>
    </row>
    <row r="39" spans="1:10" ht="29.1">
      <c r="A39" s="42">
        <f t="shared" si="1"/>
        <v>38</v>
      </c>
      <c r="B39" s="36" t="s">
        <v>10</v>
      </c>
      <c r="C39" s="36" t="s">
        <v>81</v>
      </c>
      <c r="D39" s="36" t="s">
        <v>111</v>
      </c>
      <c r="E39" s="36" t="s">
        <v>112</v>
      </c>
      <c r="F39" s="36" t="s">
        <v>113</v>
      </c>
      <c r="G39" s="8"/>
      <c r="H39" s="22" t="s">
        <v>27</v>
      </c>
      <c r="I39" s="36" t="s">
        <v>13</v>
      </c>
      <c r="J39" s="36"/>
    </row>
    <row r="40" spans="1:10" ht="43.5">
      <c r="A40" s="42">
        <f t="shared" si="1"/>
        <v>39</v>
      </c>
      <c r="B40" s="36" t="s">
        <v>10</v>
      </c>
      <c r="C40" s="36" t="s">
        <v>81</v>
      </c>
      <c r="D40" s="36" t="s">
        <v>114</v>
      </c>
      <c r="E40" s="36" t="s">
        <v>115</v>
      </c>
      <c r="F40" s="36" t="s">
        <v>116</v>
      </c>
      <c r="G40" s="8"/>
      <c r="H40" s="36" t="s">
        <v>27</v>
      </c>
      <c r="I40" s="36" t="s">
        <v>13</v>
      </c>
      <c r="J40" s="36"/>
    </row>
    <row r="41" spans="1:10">
      <c r="A41" s="42">
        <f t="shared" si="1"/>
        <v>40</v>
      </c>
      <c r="B41" s="36" t="s">
        <v>14</v>
      </c>
      <c r="C41" s="36" t="s">
        <v>81</v>
      </c>
      <c r="D41" s="36" t="s">
        <v>117</v>
      </c>
      <c r="E41" s="36"/>
      <c r="F41" s="36" t="s">
        <v>118</v>
      </c>
      <c r="G41" s="8"/>
      <c r="H41" s="36"/>
      <c r="I41" s="36" t="s">
        <v>13</v>
      </c>
      <c r="J41" s="36"/>
    </row>
    <row r="42" spans="1:10">
      <c r="A42" s="42">
        <f t="shared" si="1"/>
        <v>41</v>
      </c>
      <c r="B42" s="36" t="s">
        <v>14</v>
      </c>
      <c r="C42" s="36" t="s">
        <v>81</v>
      </c>
      <c r="D42" s="36" t="s">
        <v>119</v>
      </c>
      <c r="E42" s="36"/>
      <c r="F42" s="36" t="s">
        <v>120</v>
      </c>
      <c r="G42" s="8"/>
      <c r="H42" s="36"/>
      <c r="I42" s="36" t="s">
        <v>28</v>
      </c>
      <c r="J42" s="36" t="s">
        <v>121</v>
      </c>
    </row>
    <row r="43" spans="1:10" ht="43.5">
      <c r="A43" s="42">
        <f t="shared" si="1"/>
        <v>42</v>
      </c>
      <c r="B43" s="36" t="s">
        <v>14</v>
      </c>
      <c r="C43" s="36" t="s">
        <v>81</v>
      </c>
      <c r="D43" s="36" t="s">
        <v>122</v>
      </c>
      <c r="E43" s="36"/>
      <c r="F43" s="36" t="s">
        <v>123</v>
      </c>
      <c r="G43" s="8"/>
      <c r="H43" s="36"/>
      <c r="I43" s="36" t="s">
        <v>13</v>
      </c>
      <c r="J43" s="36"/>
    </row>
    <row r="44" spans="1:10" ht="29.1">
      <c r="A44" s="42">
        <f t="shared" si="1"/>
        <v>43</v>
      </c>
      <c r="B44" s="36" t="s">
        <v>14</v>
      </c>
      <c r="C44" s="36" t="s">
        <v>81</v>
      </c>
      <c r="D44" s="36" t="s">
        <v>84</v>
      </c>
      <c r="E44" s="36"/>
      <c r="F44" s="36" t="s">
        <v>124</v>
      </c>
      <c r="G44" s="8"/>
      <c r="H44" s="36" t="s">
        <v>125</v>
      </c>
      <c r="I44" s="36" t="s">
        <v>13</v>
      </c>
      <c r="J44" s="36"/>
    </row>
    <row r="45" spans="1:10" ht="29.1">
      <c r="A45" s="42">
        <f t="shared" si="1"/>
        <v>44</v>
      </c>
      <c r="B45" s="36" t="s">
        <v>14</v>
      </c>
      <c r="C45" s="36" t="s">
        <v>81</v>
      </c>
      <c r="D45" s="36" t="s">
        <v>84</v>
      </c>
      <c r="E45" s="36"/>
      <c r="F45" s="36" t="s">
        <v>126</v>
      </c>
      <c r="G45" s="8"/>
      <c r="H45" s="36" t="s">
        <v>86</v>
      </c>
      <c r="I45" s="36" t="s">
        <v>28</v>
      </c>
      <c r="J45" s="43" t="s">
        <v>127</v>
      </c>
    </row>
    <row r="46" spans="1:10" ht="72.599999999999994">
      <c r="A46" s="42">
        <f t="shared" si="1"/>
        <v>45</v>
      </c>
      <c r="B46" s="36" t="s">
        <v>14</v>
      </c>
      <c r="C46" s="36" t="s">
        <v>81</v>
      </c>
      <c r="D46" s="36" t="s">
        <v>84</v>
      </c>
      <c r="E46" s="36"/>
      <c r="F46" s="36" t="s">
        <v>128</v>
      </c>
      <c r="G46" s="8"/>
      <c r="H46" s="36" t="s">
        <v>129</v>
      </c>
      <c r="I46" s="36" t="s">
        <v>28</v>
      </c>
      <c r="J46" s="36" t="s">
        <v>130</v>
      </c>
    </row>
    <row r="47" spans="1:10" ht="72.599999999999994">
      <c r="A47" s="42">
        <f t="shared" si="1"/>
        <v>46</v>
      </c>
      <c r="B47" s="36" t="s">
        <v>14</v>
      </c>
      <c r="C47" s="36" t="s">
        <v>81</v>
      </c>
      <c r="D47" s="36" t="s">
        <v>84</v>
      </c>
      <c r="E47" s="36"/>
      <c r="F47" s="36" t="s">
        <v>131</v>
      </c>
      <c r="G47" s="36"/>
      <c r="H47" s="36" t="s">
        <v>132</v>
      </c>
      <c r="I47" s="36" t="s">
        <v>28</v>
      </c>
      <c r="J47" s="36" t="s">
        <v>133</v>
      </c>
    </row>
    <row r="48" spans="1:10" ht="29.1">
      <c r="A48" s="42">
        <f t="shared" si="1"/>
        <v>47</v>
      </c>
      <c r="B48" s="36" t="s">
        <v>14</v>
      </c>
      <c r="C48" s="36" t="s">
        <v>81</v>
      </c>
      <c r="D48" s="36" t="s">
        <v>84</v>
      </c>
      <c r="E48" s="36"/>
      <c r="F48" s="36" t="s">
        <v>134</v>
      </c>
      <c r="G48" s="36"/>
      <c r="H48" s="36" t="s">
        <v>135</v>
      </c>
      <c r="I48" s="36" t="s">
        <v>28</v>
      </c>
      <c r="J48" s="26" t="s">
        <v>127</v>
      </c>
    </row>
    <row r="49" spans="1:10" ht="29.1">
      <c r="A49" s="42">
        <f t="shared" si="1"/>
        <v>48</v>
      </c>
      <c r="B49" s="36" t="s">
        <v>14</v>
      </c>
      <c r="C49" s="36" t="s">
        <v>81</v>
      </c>
      <c r="D49" s="36" t="s">
        <v>84</v>
      </c>
      <c r="E49" s="36"/>
      <c r="F49" s="36" t="s">
        <v>136</v>
      </c>
      <c r="G49" s="36"/>
      <c r="H49" s="36" t="s">
        <v>86</v>
      </c>
      <c r="I49" s="36" t="s">
        <v>28</v>
      </c>
      <c r="J49" s="43" t="s">
        <v>127</v>
      </c>
    </row>
    <row r="50" spans="1:10" ht="29.1">
      <c r="A50" s="42">
        <f t="shared" si="1"/>
        <v>49</v>
      </c>
      <c r="B50" s="36" t="s">
        <v>14</v>
      </c>
      <c r="C50" s="36" t="s">
        <v>81</v>
      </c>
      <c r="D50" s="36" t="s">
        <v>88</v>
      </c>
      <c r="E50" s="36"/>
      <c r="F50" s="36" t="s">
        <v>137</v>
      </c>
      <c r="G50" s="36"/>
      <c r="H50" s="36" t="s">
        <v>125</v>
      </c>
      <c r="I50" s="36" t="s">
        <v>13</v>
      </c>
      <c r="J50" s="36"/>
    </row>
    <row r="51" spans="1:10" ht="29.1">
      <c r="A51" s="42">
        <f t="shared" si="1"/>
        <v>50</v>
      </c>
      <c r="B51" s="36" t="s">
        <v>14</v>
      </c>
      <c r="C51" s="36" t="s">
        <v>81</v>
      </c>
      <c r="D51" s="36" t="s">
        <v>88</v>
      </c>
      <c r="E51" s="36"/>
      <c r="F51" s="36" t="s">
        <v>138</v>
      </c>
      <c r="G51" s="36"/>
      <c r="H51" s="36" t="s">
        <v>86</v>
      </c>
      <c r="I51" s="36" t="s">
        <v>28</v>
      </c>
      <c r="J51" s="43" t="s">
        <v>139</v>
      </c>
    </row>
    <row r="52" spans="1:10" ht="29.1">
      <c r="A52" s="42">
        <f t="shared" si="1"/>
        <v>51</v>
      </c>
      <c r="B52" s="36" t="s">
        <v>14</v>
      </c>
      <c r="C52" s="36" t="s">
        <v>81</v>
      </c>
      <c r="D52" s="36" t="s">
        <v>88</v>
      </c>
      <c r="E52" s="36"/>
      <c r="F52" s="36" t="s">
        <v>140</v>
      </c>
      <c r="G52" s="7"/>
      <c r="H52" s="36" t="s">
        <v>129</v>
      </c>
      <c r="I52" s="36" t="s">
        <v>28</v>
      </c>
      <c r="J52" s="36" t="s">
        <v>130</v>
      </c>
    </row>
    <row r="53" spans="1:10" ht="29.1">
      <c r="A53" s="42">
        <f t="shared" si="1"/>
        <v>52</v>
      </c>
      <c r="B53" s="36" t="s">
        <v>14</v>
      </c>
      <c r="C53" s="36" t="s">
        <v>81</v>
      </c>
      <c r="D53" s="36" t="s">
        <v>88</v>
      </c>
      <c r="E53" s="36"/>
      <c r="F53" s="36" t="s">
        <v>141</v>
      </c>
      <c r="G53" s="7"/>
      <c r="H53" s="36" t="s">
        <v>132</v>
      </c>
      <c r="I53" s="36" t="s">
        <v>28</v>
      </c>
      <c r="J53" s="36" t="s">
        <v>133</v>
      </c>
    </row>
    <row r="54" spans="1:10" ht="29.1">
      <c r="A54" s="42">
        <f t="shared" si="1"/>
        <v>53</v>
      </c>
      <c r="B54" s="36" t="s">
        <v>14</v>
      </c>
      <c r="C54" s="36" t="s">
        <v>81</v>
      </c>
      <c r="D54" s="36" t="s">
        <v>88</v>
      </c>
      <c r="E54" s="36"/>
      <c r="F54" s="36" t="s">
        <v>142</v>
      </c>
      <c r="G54" s="7"/>
      <c r="H54" s="36" t="s">
        <v>135</v>
      </c>
      <c r="I54" s="36" t="s">
        <v>28</v>
      </c>
      <c r="J54" s="26" t="s">
        <v>139</v>
      </c>
    </row>
    <row r="55" spans="1:10" ht="29.1">
      <c r="A55" s="42">
        <f t="shared" si="1"/>
        <v>54</v>
      </c>
      <c r="B55" s="36" t="s">
        <v>14</v>
      </c>
      <c r="C55" s="36" t="s">
        <v>81</v>
      </c>
      <c r="D55" s="36" t="s">
        <v>88</v>
      </c>
      <c r="E55" s="36"/>
      <c r="F55" s="36" t="s">
        <v>143</v>
      </c>
      <c r="G55" s="7"/>
      <c r="H55" s="36" t="s">
        <v>86</v>
      </c>
      <c r="I55" s="36" t="s">
        <v>28</v>
      </c>
      <c r="J55" s="43" t="s">
        <v>139</v>
      </c>
    </row>
    <row r="56" spans="1:10" ht="29.1">
      <c r="A56" s="42">
        <f t="shared" si="1"/>
        <v>55</v>
      </c>
      <c r="B56" s="36" t="s">
        <v>14</v>
      </c>
      <c r="C56" s="36" t="s">
        <v>81</v>
      </c>
      <c r="D56" s="36" t="s">
        <v>144</v>
      </c>
      <c r="E56" s="36"/>
      <c r="F56" s="36" t="s">
        <v>124</v>
      </c>
      <c r="G56" s="36"/>
      <c r="H56" s="36" t="s">
        <v>125</v>
      </c>
      <c r="I56" s="36" t="s">
        <v>28</v>
      </c>
      <c r="J56" s="36" t="s">
        <v>145</v>
      </c>
    </row>
    <row r="57" spans="1:10" ht="29.1">
      <c r="A57" s="42">
        <f t="shared" si="1"/>
        <v>56</v>
      </c>
      <c r="B57" s="36" t="s">
        <v>14</v>
      </c>
      <c r="C57" s="36" t="s">
        <v>81</v>
      </c>
      <c r="D57" s="36" t="s">
        <v>144</v>
      </c>
      <c r="E57" s="36"/>
      <c r="F57" s="36" t="s">
        <v>126</v>
      </c>
      <c r="G57" s="7"/>
      <c r="H57" s="36" t="s">
        <v>86</v>
      </c>
      <c r="I57" s="36" t="s">
        <v>19</v>
      </c>
      <c r="J57" s="36" t="s">
        <v>146</v>
      </c>
    </row>
    <row r="58" spans="1:10" ht="72.599999999999994">
      <c r="A58" s="42">
        <f t="shared" si="1"/>
        <v>57</v>
      </c>
      <c r="B58" s="36" t="s">
        <v>14</v>
      </c>
      <c r="C58" s="36" t="s">
        <v>81</v>
      </c>
      <c r="D58" s="36" t="s">
        <v>144</v>
      </c>
      <c r="E58" s="36"/>
      <c r="F58" s="36" t="s">
        <v>128</v>
      </c>
      <c r="G58" s="7"/>
      <c r="H58" s="36" t="s">
        <v>129</v>
      </c>
      <c r="I58" s="36" t="s">
        <v>28</v>
      </c>
      <c r="J58" s="36" t="s">
        <v>130</v>
      </c>
    </row>
    <row r="59" spans="1:10" ht="72.599999999999994">
      <c r="A59" s="42">
        <f t="shared" si="1"/>
        <v>58</v>
      </c>
      <c r="B59" s="36" t="s">
        <v>14</v>
      </c>
      <c r="C59" s="36" t="s">
        <v>81</v>
      </c>
      <c r="D59" s="36" t="s">
        <v>144</v>
      </c>
      <c r="E59" s="36"/>
      <c r="F59" s="36" t="s">
        <v>131</v>
      </c>
      <c r="G59" s="36"/>
      <c r="H59" s="36" t="s">
        <v>132</v>
      </c>
      <c r="I59" s="36" t="s">
        <v>28</v>
      </c>
      <c r="J59" s="36" t="s">
        <v>147</v>
      </c>
    </row>
    <row r="60" spans="1:10" ht="29.1">
      <c r="A60" s="42">
        <f t="shared" si="1"/>
        <v>59</v>
      </c>
      <c r="B60" s="36" t="s">
        <v>14</v>
      </c>
      <c r="C60" s="36" t="s">
        <v>81</v>
      </c>
      <c r="D60" s="36" t="s">
        <v>148</v>
      </c>
      <c r="E60" s="36"/>
      <c r="F60" s="36" t="s">
        <v>137</v>
      </c>
      <c r="G60" s="36"/>
      <c r="H60" s="36" t="s">
        <v>125</v>
      </c>
      <c r="I60" s="36" t="s">
        <v>28</v>
      </c>
      <c r="J60" s="36" t="s">
        <v>146</v>
      </c>
    </row>
    <row r="61" spans="1:10" ht="29.1">
      <c r="A61" s="42">
        <f t="shared" si="1"/>
        <v>60</v>
      </c>
      <c r="B61" s="36" t="s">
        <v>14</v>
      </c>
      <c r="C61" s="36" t="s">
        <v>81</v>
      </c>
      <c r="D61" s="36" t="s">
        <v>148</v>
      </c>
      <c r="E61" s="36"/>
      <c r="F61" s="36" t="s">
        <v>138</v>
      </c>
      <c r="G61" s="7"/>
      <c r="H61" s="36" t="s">
        <v>86</v>
      </c>
      <c r="I61" s="36" t="s">
        <v>19</v>
      </c>
      <c r="J61" s="36" t="s">
        <v>146</v>
      </c>
    </row>
    <row r="62" spans="1:10" ht="29.1">
      <c r="A62" s="42">
        <f t="shared" si="1"/>
        <v>61</v>
      </c>
      <c r="B62" s="36" t="s">
        <v>14</v>
      </c>
      <c r="C62" s="36" t="s">
        <v>81</v>
      </c>
      <c r="D62" s="36" t="s">
        <v>148</v>
      </c>
      <c r="E62" s="36"/>
      <c r="F62" s="36" t="s">
        <v>140</v>
      </c>
      <c r="G62" s="7"/>
      <c r="H62" s="36" t="s">
        <v>129</v>
      </c>
      <c r="I62" s="36" t="s">
        <v>13</v>
      </c>
      <c r="J62" s="36"/>
    </row>
    <row r="63" spans="1:10" ht="29.1">
      <c r="A63" s="42">
        <f t="shared" si="1"/>
        <v>62</v>
      </c>
      <c r="B63" s="36" t="s">
        <v>14</v>
      </c>
      <c r="C63" s="36" t="s">
        <v>81</v>
      </c>
      <c r="D63" s="36" t="s">
        <v>148</v>
      </c>
      <c r="E63" s="36"/>
      <c r="F63" s="36" t="s">
        <v>141</v>
      </c>
      <c r="G63" s="36"/>
      <c r="H63" s="36" t="s">
        <v>132</v>
      </c>
      <c r="I63" s="36" t="s">
        <v>13</v>
      </c>
      <c r="J63" s="36"/>
    </row>
    <row r="64" spans="1:10">
      <c r="A64" s="42">
        <f t="shared" si="1"/>
        <v>63</v>
      </c>
      <c r="B64" s="36" t="s">
        <v>14</v>
      </c>
      <c r="C64" s="36" t="s">
        <v>81</v>
      </c>
      <c r="D64" s="36" t="s">
        <v>149</v>
      </c>
      <c r="E64" s="36"/>
      <c r="F64" s="36" t="s">
        <v>150</v>
      </c>
      <c r="G64" s="36"/>
      <c r="H64" s="36" t="s">
        <v>151</v>
      </c>
      <c r="I64" s="36" t="s">
        <v>13</v>
      </c>
      <c r="J64" s="36"/>
    </row>
    <row r="65" spans="1:10">
      <c r="A65" s="42">
        <f t="shared" si="1"/>
        <v>64</v>
      </c>
      <c r="B65" s="36" t="s">
        <v>14</v>
      </c>
      <c r="C65" s="36" t="s">
        <v>81</v>
      </c>
      <c r="D65" s="36" t="s">
        <v>149</v>
      </c>
      <c r="E65" s="36"/>
      <c r="F65" s="36" t="s">
        <v>152</v>
      </c>
      <c r="G65" s="36"/>
      <c r="H65" s="36" t="s">
        <v>153</v>
      </c>
      <c r="I65" s="36" t="s">
        <v>13</v>
      </c>
      <c r="J65" s="36"/>
    </row>
    <row r="66" spans="1:10">
      <c r="A66" s="42">
        <f t="shared" si="1"/>
        <v>65</v>
      </c>
      <c r="B66" s="36" t="s">
        <v>14</v>
      </c>
      <c r="C66" s="36" t="s">
        <v>81</v>
      </c>
      <c r="D66" s="36" t="s">
        <v>149</v>
      </c>
      <c r="E66" s="36"/>
      <c r="F66" s="36" t="s">
        <v>154</v>
      </c>
      <c r="G66" s="36"/>
      <c r="H66" s="36" t="s">
        <v>155</v>
      </c>
      <c r="I66" s="36" t="s">
        <v>13</v>
      </c>
      <c r="J66" s="36"/>
    </row>
    <row r="67" spans="1:10" ht="57.95">
      <c r="A67" s="42">
        <f>ROW()-1</f>
        <v>66</v>
      </c>
      <c r="B67" s="36" t="s">
        <v>14</v>
      </c>
      <c r="C67" s="36" t="s">
        <v>81</v>
      </c>
      <c r="D67" s="36" t="s">
        <v>149</v>
      </c>
      <c r="E67" s="36"/>
      <c r="F67" s="36" t="s">
        <v>156</v>
      </c>
      <c r="G67" s="36"/>
      <c r="H67" s="36" t="s">
        <v>157</v>
      </c>
      <c r="I67" s="36" t="s">
        <v>158</v>
      </c>
      <c r="J67" s="36" t="s">
        <v>159</v>
      </c>
    </row>
    <row r="68" spans="1:10" ht="72.599999999999994">
      <c r="A68" s="42">
        <f t="shared" si="1"/>
        <v>67</v>
      </c>
      <c r="B68" s="36" t="s">
        <v>14</v>
      </c>
      <c r="C68" s="36" t="s">
        <v>81</v>
      </c>
      <c r="D68" s="36" t="s">
        <v>149</v>
      </c>
      <c r="E68" s="36"/>
      <c r="F68" s="36" t="s">
        <v>160</v>
      </c>
      <c r="G68" s="36"/>
      <c r="H68" s="36"/>
      <c r="I68" s="36" t="s">
        <v>28</v>
      </c>
      <c r="J68" s="36" t="s">
        <v>161</v>
      </c>
    </row>
    <row r="69" spans="1:10" ht="72.599999999999994">
      <c r="A69" s="42">
        <f t="shared" si="1"/>
        <v>68</v>
      </c>
      <c r="B69" s="36" t="s">
        <v>14</v>
      </c>
      <c r="C69" s="36" t="s">
        <v>81</v>
      </c>
      <c r="D69" s="36" t="s">
        <v>149</v>
      </c>
      <c r="E69" s="36"/>
      <c r="F69" s="36" t="s">
        <v>162</v>
      </c>
      <c r="G69" s="36"/>
      <c r="H69" s="44"/>
      <c r="I69" s="36" t="s">
        <v>158</v>
      </c>
      <c r="J69" s="36" t="s">
        <v>163</v>
      </c>
    </row>
    <row r="70" spans="1:10" ht="29.1">
      <c r="A70" s="42">
        <f t="shared" ref="A70:A101" si="2">ROW()-1</f>
        <v>69</v>
      </c>
      <c r="B70" s="36" t="s">
        <v>14</v>
      </c>
      <c r="C70" s="36" t="s">
        <v>81</v>
      </c>
      <c r="D70" s="36" t="s">
        <v>149</v>
      </c>
      <c r="E70" s="36"/>
      <c r="F70" s="36" t="s">
        <v>164</v>
      </c>
      <c r="G70" s="45"/>
      <c r="H70" s="24" t="s">
        <v>157</v>
      </c>
      <c r="I70" s="46" t="s">
        <v>13</v>
      </c>
      <c r="J70" s="36"/>
    </row>
    <row r="71" spans="1:10">
      <c r="A71" s="42">
        <f t="shared" si="2"/>
        <v>70</v>
      </c>
      <c r="B71" s="36" t="s">
        <v>14</v>
      </c>
      <c r="C71" s="36" t="s">
        <v>81</v>
      </c>
      <c r="D71" s="36" t="s">
        <v>165</v>
      </c>
      <c r="E71" s="36"/>
      <c r="F71" s="36" t="s">
        <v>166</v>
      </c>
      <c r="G71" s="25"/>
      <c r="H71" s="24" t="s">
        <v>167</v>
      </c>
      <c r="I71" s="46" t="s">
        <v>13</v>
      </c>
      <c r="J71" s="36"/>
    </row>
    <row r="72" spans="1:10">
      <c r="A72" s="42">
        <f t="shared" si="2"/>
        <v>71</v>
      </c>
      <c r="B72" s="36" t="s">
        <v>14</v>
      </c>
      <c r="C72" s="36" t="s">
        <v>81</v>
      </c>
      <c r="D72" s="36" t="s">
        <v>165</v>
      </c>
      <c r="E72" s="36"/>
      <c r="F72" s="36" t="s">
        <v>168</v>
      </c>
      <c r="G72" s="45"/>
      <c r="H72" s="24" t="s">
        <v>169</v>
      </c>
      <c r="I72" s="46" t="s">
        <v>13</v>
      </c>
      <c r="J72" s="36"/>
    </row>
    <row r="73" spans="1:10">
      <c r="A73" s="42">
        <f t="shared" si="2"/>
        <v>72</v>
      </c>
      <c r="B73" s="36" t="s">
        <v>10</v>
      </c>
      <c r="C73" s="36" t="s">
        <v>170</v>
      </c>
      <c r="D73" s="36" t="s">
        <v>23</v>
      </c>
      <c r="E73" s="36" t="s">
        <v>23</v>
      </c>
      <c r="F73" s="36" t="s">
        <v>171</v>
      </c>
      <c r="G73" s="36"/>
      <c r="H73" s="22" t="s">
        <v>27</v>
      </c>
      <c r="I73" s="36" t="s">
        <v>28</v>
      </c>
      <c r="J73" s="36" t="s">
        <v>172</v>
      </c>
    </row>
    <row r="74" spans="1:10" ht="29.1">
      <c r="A74" s="42">
        <f t="shared" si="2"/>
        <v>73</v>
      </c>
      <c r="B74" s="36" t="s">
        <v>10</v>
      </c>
      <c r="C74" s="36" t="s">
        <v>170</v>
      </c>
      <c r="D74" s="36" t="s">
        <v>173</v>
      </c>
      <c r="E74" s="36">
        <v>1</v>
      </c>
      <c r="F74" s="36" t="s">
        <v>174</v>
      </c>
      <c r="G74" s="36"/>
      <c r="H74" s="36" t="s">
        <v>27</v>
      </c>
      <c r="I74" s="36" t="s">
        <v>28</v>
      </c>
      <c r="J74" s="36" t="s">
        <v>175</v>
      </c>
    </row>
    <row r="75" spans="1:10" ht="29.1">
      <c r="A75" s="42">
        <f t="shared" si="2"/>
        <v>74</v>
      </c>
      <c r="B75" s="36" t="s">
        <v>10</v>
      </c>
      <c r="C75" s="36" t="s">
        <v>170</v>
      </c>
      <c r="D75" s="36" t="s">
        <v>176</v>
      </c>
      <c r="E75" s="36">
        <v>2</v>
      </c>
      <c r="F75" s="36" t="s">
        <v>177</v>
      </c>
      <c r="G75" s="36"/>
      <c r="H75" s="36" t="s">
        <v>27</v>
      </c>
      <c r="I75" s="36" t="s">
        <v>28</v>
      </c>
      <c r="J75" s="36" t="s">
        <v>175</v>
      </c>
    </row>
    <row r="76" spans="1:10" ht="29.1">
      <c r="A76" s="42">
        <f t="shared" si="2"/>
        <v>75</v>
      </c>
      <c r="B76" s="36" t="s">
        <v>10</v>
      </c>
      <c r="C76" s="36" t="s">
        <v>170</v>
      </c>
      <c r="D76" s="36" t="s">
        <v>178</v>
      </c>
      <c r="E76" s="36">
        <v>3</v>
      </c>
      <c r="F76" s="36" t="s">
        <v>179</v>
      </c>
      <c r="G76" s="36"/>
      <c r="H76" s="36" t="s">
        <v>27</v>
      </c>
      <c r="I76" s="36" t="s">
        <v>28</v>
      </c>
      <c r="J76" s="36" t="s">
        <v>175</v>
      </c>
    </row>
    <row r="77" spans="1:10" ht="43.5">
      <c r="A77" s="42">
        <f t="shared" si="2"/>
        <v>76</v>
      </c>
      <c r="B77" s="36" t="s">
        <v>10</v>
      </c>
      <c r="C77" s="36" t="s">
        <v>170</v>
      </c>
      <c r="D77" s="36" t="s">
        <v>180</v>
      </c>
      <c r="E77" s="36">
        <v>4</v>
      </c>
      <c r="F77" s="36" t="s">
        <v>181</v>
      </c>
      <c r="G77" s="36"/>
      <c r="H77" s="36" t="s">
        <v>27</v>
      </c>
      <c r="I77" s="36" t="s">
        <v>28</v>
      </c>
      <c r="J77" s="36" t="s">
        <v>182</v>
      </c>
    </row>
    <row r="78" spans="1:10" ht="29.1">
      <c r="A78" s="42">
        <f t="shared" si="2"/>
        <v>77</v>
      </c>
      <c r="B78" s="36" t="s">
        <v>10</v>
      </c>
      <c r="C78" s="36" t="s">
        <v>170</v>
      </c>
      <c r="D78" s="36" t="s">
        <v>183</v>
      </c>
      <c r="E78" s="36">
        <v>5</v>
      </c>
      <c r="F78" s="36" t="s">
        <v>184</v>
      </c>
      <c r="G78" s="36"/>
      <c r="H78" s="36" t="s">
        <v>27</v>
      </c>
      <c r="I78" s="36" t="s">
        <v>28</v>
      </c>
      <c r="J78" s="36" t="s">
        <v>175</v>
      </c>
    </row>
    <row r="79" spans="1:10" ht="29.1">
      <c r="A79" s="42">
        <f t="shared" si="2"/>
        <v>78</v>
      </c>
      <c r="B79" s="36" t="s">
        <v>10</v>
      </c>
      <c r="C79" s="36" t="s">
        <v>185</v>
      </c>
      <c r="D79" s="36" t="s">
        <v>186</v>
      </c>
      <c r="E79" s="36">
        <v>1</v>
      </c>
      <c r="F79" s="36" t="s">
        <v>187</v>
      </c>
      <c r="G79" s="36"/>
      <c r="H79" s="36" t="s">
        <v>27</v>
      </c>
      <c r="I79" s="36" t="s">
        <v>28</v>
      </c>
      <c r="J79" s="36" t="s">
        <v>188</v>
      </c>
    </row>
    <row r="80" spans="1:10" ht="29.1">
      <c r="A80" s="42">
        <f t="shared" si="2"/>
        <v>79</v>
      </c>
      <c r="B80" s="36" t="s">
        <v>10</v>
      </c>
      <c r="C80" s="36" t="s">
        <v>185</v>
      </c>
      <c r="D80" s="36" t="s">
        <v>189</v>
      </c>
      <c r="E80" s="36">
        <v>2</v>
      </c>
      <c r="F80" s="36" t="s">
        <v>190</v>
      </c>
      <c r="G80" s="36"/>
      <c r="H80" s="36" t="s">
        <v>27</v>
      </c>
      <c r="I80" s="36" t="s">
        <v>28</v>
      </c>
      <c r="J80" s="36" t="s">
        <v>188</v>
      </c>
    </row>
    <row r="81" spans="1:10" ht="29.1">
      <c r="A81" s="42">
        <f t="shared" si="2"/>
        <v>80</v>
      </c>
      <c r="B81" s="36" t="s">
        <v>10</v>
      </c>
      <c r="C81" s="36" t="s">
        <v>185</v>
      </c>
      <c r="D81" s="36" t="s">
        <v>191</v>
      </c>
      <c r="E81" s="36">
        <v>1</v>
      </c>
      <c r="F81" s="36" t="s">
        <v>192</v>
      </c>
      <c r="G81" s="36"/>
      <c r="H81" s="36" t="s">
        <v>27</v>
      </c>
      <c r="I81" s="36" t="s">
        <v>28</v>
      </c>
      <c r="J81" s="36" t="s">
        <v>193</v>
      </c>
    </row>
    <row r="82" spans="1:10">
      <c r="A82" s="42">
        <f t="shared" si="2"/>
        <v>81</v>
      </c>
      <c r="B82" s="36" t="s">
        <v>10</v>
      </c>
      <c r="C82" s="36" t="s">
        <v>194</v>
      </c>
      <c r="D82" s="36" t="s">
        <v>23</v>
      </c>
      <c r="E82" s="36" t="s">
        <v>23</v>
      </c>
      <c r="F82" s="36" t="s">
        <v>171</v>
      </c>
      <c r="G82" s="36"/>
      <c r="H82" s="36" t="s">
        <v>27</v>
      </c>
      <c r="I82" s="36" t="s">
        <v>28</v>
      </c>
      <c r="J82" s="36" t="s">
        <v>195</v>
      </c>
    </row>
    <row r="83" spans="1:10" ht="29.1">
      <c r="A83" s="42">
        <f t="shared" si="2"/>
        <v>82</v>
      </c>
      <c r="B83" s="36" t="s">
        <v>10</v>
      </c>
      <c r="C83" s="36" t="s">
        <v>194</v>
      </c>
      <c r="D83" s="36" t="s">
        <v>196</v>
      </c>
      <c r="E83" s="36">
        <v>1</v>
      </c>
      <c r="F83" s="36" t="s">
        <v>197</v>
      </c>
      <c r="G83" s="36"/>
      <c r="H83" s="36" t="s">
        <v>27</v>
      </c>
      <c r="I83" s="36" t="s">
        <v>28</v>
      </c>
      <c r="J83" s="36" t="s">
        <v>193</v>
      </c>
    </row>
    <row r="84" spans="1:10">
      <c r="A84" s="42">
        <f t="shared" si="2"/>
        <v>83</v>
      </c>
      <c r="B84" s="36" t="s">
        <v>10</v>
      </c>
      <c r="C84" s="36" t="s">
        <v>198</v>
      </c>
      <c r="D84" s="36" t="s">
        <v>23</v>
      </c>
      <c r="E84" s="36" t="s">
        <v>23</v>
      </c>
      <c r="F84" s="36" t="s">
        <v>171</v>
      </c>
      <c r="G84" s="36"/>
      <c r="H84" s="36" t="s">
        <v>27</v>
      </c>
      <c r="I84" s="36" t="s">
        <v>28</v>
      </c>
      <c r="J84" s="36" t="s">
        <v>195</v>
      </c>
    </row>
    <row r="85" spans="1:10" ht="29.1">
      <c r="A85" s="42">
        <f t="shared" si="2"/>
        <v>84</v>
      </c>
      <c r="B85" s="36" t="s">
        <v>10</v>
      </c>
      <c r="C85" s="36" t="s">
        <v>198</v>
      </c>
      <c r="D85" s="36" t="s">
        <v>199</v>
      </c>
      <c r="E85" s="36">
        <v>1</v>
      </c>
      <c r="F85" s="36" t="s">
        <v>200</v>
      </c>
      <c r="G85" s="36"/>
      <c r="H85" s="36" t="s">
        <v>27</v>
      </c>
      <c r="I85" s="36" t="s">
        <v>28</v>
      </c>
      <c r="J85" s="36" t="s">
        <v>201</v>
      </c>
    </row>
    <row r="86" spans="1:10" ht="29.1">
      <c r="A86" s="42">
        <f t="shared" si="2"/>
        <v>85</v>
      </c>
      <c r="B86" s="36" t="s">
        <v>10</v>
      </c>
      <c r="C86" s="36" t="s">
        <v>202</v>
      </c>
      <c r="D86" s="36" t="s">
        <v>203</v>
      </c>
      <c r="E86" s="36">
        <v>1</v>
      </c>
      <c r="F86" s="36" t="s">
        <v>204</v>
      </c>
      <c r="G86" s="36"/>
      <c r="H86" s="36" t="s">
        <v>27</v>
      </c>
      <c r="I86" s="36" t="s">
        <v>28</v>
      </c>
      <c r="J86" s="36" t="s">
        <v>205</v>
      </c>
    </row>
    <row r="87" spans="1:10" ht="29.1">
      <c r="A87" s="42">
        <f t="shared" si="2"/>
        <v>86</v>
      </c>
      <c r="B87" s="36" t="s">
        <v>10</v>
      </c>
      <c r="C87" s="36" t="s">
        <v>202</v>
      </c>
      <c r="D87" s="36" t="s">
        <v>206</v>
      </c>
      <c r="E87" s="36">
        <v>2</v>
      </c>
      <c r="F87" s="36" t="s">
        <v>207</v>
      </c>
      <c r="G87" s="36"/>
      <c r="H87" s="36" t="s">
        <v>27</v>
      </c>
      <c r="I87" s="36" t="s">
        <v>28</v>
      </c>
      <c r="J87" s="36" t="s">
        <v>205</v>
      </c>
    </row>
    <row r="88" spans="1:10" ht="29.1">
      <c r="A88" s="42">
        <f t="shared" si="2"/>
        <v>87</v>
      </c>
      <c r="B88" s="36" t="s">
        <v>10</v>
      </c>
      <c r="C88" s="36" t="s">
        <v>202</v>
      </c>
      <c r="D88" s="36" t="s">
        <v>208</v>
      </c>
      <c r="E88" s="36">
        <v>3</v>
      </c>
      <c r="F88" s="36" t="s">
        <v>209</v>
      </c>
      <c r="G88" s="36"/>
      <c r="H88" s="36" t="s">
        <v>27</v>
      </c>
      <c r="I88" s="36" t="s">
        <v>28</v>
      </c>
      <c r="J88" s="36" t="s">
        <v>205</v>
      </c>
    </row>
    <row r="89" spans="1:10" ht="43.5">
      <c r="A89" s="42">
        <f t="shared" si="2"/>
        <v>88</v>
      </c>
      <c r="B89" s="36" t="s">
        <v>10</v>
      </c>
      <c r="C89" s="36" t="s">
        <v>210</v>
      </c>
      <c r="D89" s="36" t="s">
        <v>211</v>
      </c>
      <c r="E89" s="36" t="s">
        <v>91</v>
      </c>
      <c r="F89" s="36" t="s">
        <v>212</v>
      </c>
      <c r="G89" s="36"/>
      <c r="H89" s="36" t="s">
        <v>27</v>
      </c>
      <c r="I89" s="36" t="s">
        <v>28</v>
      </c>
      <c r="J89" s="36" t="s">
        <v>213</v>
      </c>
    </row>
    <row r="90" spans="1:10" ht="43.5">
      <c r="A90" s="42">
        <f t="shared" si="2"/>
        <v>89</v>
      </c>
      <c r="B90" s="36" t="s">
        <v>10</v>
      </c>
      <c r="C90" s="36" t="s">
        <v>210</v>
      </c>
      <c r="D90" s="36" t="s">
        <v>214</v>
      </c>
      <c r="E90" s="36" t="s">
        <v>95</v>
      </c>
      <c r="F90" s="36" t="s">
        <v>215</v>
      </c>
      <c r="G90" s="36"/>
      <c r="H90" s="36" t="s">
        <v>27</v>
      </c>
      <c r="I90" s="36" t="s">
        <v>28</v>
      </c>
      <c r="J90" s="36" t="s">
        <v>213</v>
      </c>
    </row>
    <row r="91" spans="1:10" ht="43.5">
      <c r="A91" s="42">
        <f t="shared" si="2"/>
        <v>90</v>
      </c>
      <c r="B91" s="36" t="s">
        <v>10</v>
      </c>
      <c r="C91" s="36" t="s">
        <v>210</v>
      </c>
      <c r="D91" s="36" t="s">
        <v>216</v>
      </c>
      <c r="E91" s="36" t="s">
        <v>99</v>
      </c>
      <c r="F91" s="36" t="s">
        <v>217</v>
      </c>
      <c r="G91" s="36"/>
      <c r="H91" s="36" t="s">
        <v>27</v>
      </c>
      <c r="I91" s="36" t="s">
        <v>28</v>
      </c>
      <c r="J91" s="36" t="s">
        <v>213</v>
      </c>
    </row>
    <row r="92" spans="1:10">
      <c r="A92" s="42">
        <f t="shared" si="2"/>
        <v>91</v>
      </c>
      <c r="B92" s="36" t="s">
        <v>10</v>
      </c>
      <c r="C92" s="36" t="s">
        <v>218</v>
      </c>
      <c r="D92" s="36" t="s">
        <v>23</v>
      </c>
      <c r="E92" s="36" t="s">
        <v>23</v>
      </c>
      <c r="F92" s="36" t="s">
        <v>219</v>
      </c>
      <c r="G92" s="36"/>
      <c r="H92" s="36" t="s">
        <v>27</v>
      </c>
      <c r="I92" s="36" t="s">
        <v>28</v>
      </c>
      <c r="J92" s="36" t="s">
        <v>195</v>
      </c>
    </row>
    <row r="93" spans="1:10" ht="43.5">
      <c r="A93" s="42">
        <f t="shared" si="2"/>
        <v>92</v>
      </c>
      <c r="B93" s="36" t="s">
        <v>10</v>
      </c>
      <c r="C93" s="36" t="s">
        <v>218</v>
      </c>
      <c r="D93" s="36" t="s">
        <v>220</v>
      </c>
      <c r="E93" s="36" t="s">
        <v>91</v>
      </c>
      <c r="F93" s="36" t="s">
        <v>221</v>
      </c>
      <c r="G93" s="36"/>
      <c r="H93" s="36" t="s">
        <v>27</v>
      </c>
      <c r="I93" s="36" t="s">
        <v>28</v>
      </c>
      <c r="J93" s="36" t="s">
        <v>222</v>
      </c>
    </row>
    <row r="94" spans="1:10" ht="29.1">
      <c r="A94" s="42">
        <f t="shared" si="2"/>
        <v>93</v>
      </c>
      <c r="B94" s="36" t="s">
        <v>10</v>
      </c>
      <c r="C94" s="36" t="s">
        <v>218</v>
      </c>
      <c r="D94" s="36" t="s">
        <v>67</v>
      </c>
      <c r="E94" s="36" t="s">
        <v>95</v>
      </c>
      <c r="F94" s="36" t="s">
        <v>223</v>
      </c>
      <c r="G94" s="36"/>
      <c r="H94" s="36" t="s">
        <v>27</v>
      </c>
      <c r="I94" s="36" t="s">
        <v>28</v>
      </c>
      <c r="J94" s="36" t="s">
        <v>222</v>
      </c>
    </row>
    <row r="95" spans="1:10" ht="29.1">
      <c r="A95" s="42">
        <f t="shared" si="2"/>
        <v>94</v>
      </c>
      <c r="B95" s="36" t="s">
        <v>10</v>
      </c>
      <c r="C95" s="36" t="s">
        <v>218</v>
      </c>
      <c r="D95" s="36" t="s">
        <v>224</v>
      </c>
      <c r="E95" s="36" t="s">
        <v>99</v>
      </c>
      <c r="F95" s="36" t="s">
        <v>225</v>
      </c>
      <c r="G95" s="36"/>
      <c r="H95" s="36" t="s">
        <v>27</v>
      </c>
      <c r="I95" s="36" t="s">
        <v>28</v>
      </c>
      <c r="J95" s="36" t="s">
        <v>226</v>
      </c>
    </row>
    <row r="96" spans="1:10" ht="29.1">
      <c r="A96" s="42">
        <f t="shared" si="2"/>
        <v>95</v>
      </c>
      <c r="B96" s="36" t="s">
        <v>10</v>
      </c>
      <c r="C96" s="36" t="s">
        <v>218</v>
      </c>
      <c r="D96" s="36" t="s">
        <v>227</v>
      </c>
      <c r="E96" s="36" t="s">
        <v>103</v>
      </c>
      <c r="F96" s="36" t="s">
        <v>228</v>
      </c>
      <c r="G96" s="36"/>
      <c r="H96" s="36" t="s">
        <v>27</v>
      </c>
      <c r="I96" s="36" t="s">
        <v>28</v>
      </c>
      <c r="J96" s="36" t="s">
        <v>229</v>
      </c>
    </row>
    <row r="97" spans="1:12" ht="29.1">
      <c r="A97" s="42">
        <f t="shared" si="2"/>
        <v>96</v>
      </c>
      <c r="B97" s="36" t="s">
        <v>10</v>
      </c>
      <c r="C97" s="36" t="s">
        <v>218</v>
      </c>
      <c r="D97" s="36" t="s">
        <v>230</v>
      </c>
      <c r="E97" s="36" t="s">
        <v>106</v>
      </c>
      <c r="F97" s="36" t="s">
        <v>231</v>
      </c>
      <c r="G97" s="36"/>
      <c r="H97" s="36" t="s">
        <v>27</v>
      </c>
      <c r="I97" s="36" t="s">
        <v>28</v>
      </c>
      <c r="J97" s="36" t="s">
        <v>222</v>
      </c>
    </row>
    <row r="98" spans="1:12" ht="43.5">
      <c r="A98" s="42">
        <f t="shared" si="2"/>
        <v>97</v>
      </c>
      <c r="B98" s="36" t="s">
        <v>10</v>
      </c>
      <c r="C98" s="36" t="s">
        <v>218</v>
      </c>
      <c r="D98" s="36" t="s">
        <v>232</v>
      </c>
      <c r="E98" s="36" t="s">
        <v>109</v>
      </c>
      <c r="F98" s="36" t="s">
        <v>233</v>
      </c>
      <c r="G98" s="36"/>
      <c r="H98" s="36" t="s">
        <v>234</v>
      </c>
      <c r="I98" s="36" t="s">
        <v>28</v>
      </c>
      <c r="J98" s="36" t="s">
        <v>235</v>
      </c>
    </row>
    <row r="99" spans="1:12" ht="29.1">
      <c r="A99" s="42">
        <f t="shared" si="2"/>
        <v>98</v>
      </c>
      <c r="B99" s="36" t="s">
        <v>10</v>
      </c>
      <c r="C99" s="36" t="s">
        <v>218</v>
      </c>
      <c r="D99" s="36" t="s">
        <v>236</v>
      </c>
      <c r="E99" s="36" t="s">
        <v>112</v>
      </c>
      <c r="F99" s="36" t="s">
        <v>237</v>
      </c>
      <c r="G99" s="36"/>
      <c r="H99" s="36" t="s">
        <v>27</v>
      </c>
      <c r="I99" s="36" t="s">
        <v>28</v>
      </c>
      <c r="J99" s="36" t="s">
        <v>222</v>
      </c>
    </row>
    <row r="100" spans="1:12" ht="43.5">
      <c r="A100" s="42">
        <f t="shared" si="2"/>
        <v>99</v>
      </c>
      <c r="B100" s="36" t="s">
        <v>10</v>
      </c>
      <c r="C100" s="36" t="s">
        <v>218</v>
      </c>
      <c r="D100" s="36" t="s">
        <v>238</v>
      </c>
      <c r="E100" s="36" t="s">
        <v>115</v>
      </c>
      <c r="F100" s="36" t="s">
        <v>239</v>
      </c>
      <c r="G100" s="36"/>
      <c r="H100" s="36" t="s">
        <v>27</v>
      </c>
      <c r="I100" s="36" t="s">
        <v>28</v>
      </c>
      <c r="J100" s="36" t="s">
        <v>222</v>
      </c>
    </row>
    <row r="101" spans="1:12" ht="43.5">
      <c r="A101" s="42">
        <f t="shared" si="2"/>
        <v>100</v>
      </c>
      <c r="B101" s="36" t="s">
        <v>10</v>
      </c>
      <c r="C101" s="36" t="s">
        <v>218</v>
      </c>
      <c r="D101" s="36" t="s">
        <v>240</v>
      </c>
      <c r="E101" s="36" t="s">
        <v>241</v>
      </c>
      <c r="F101" s="36" t="s">
        <v>242</v>
      </c>
      <c r="G101" s="36"/>
      <c r="H101" s="36" t="s">
        <v>27</v>
      </c>
      <c r="I101" s="36" t="s">
        <v>28</v>
      </c>
      <c r="J101" s="36" t="s">
        <v>243</v>
      </c>
    </row>
    <row r="102" spans="1:12" ht="29.1">
      <c r="A102" s="42">
        <f t="shared" ref="A102:A133" si="3">ROW()-1</f>
        <v>101</v>
      </c>
      <c r="B102" s="36" t="s">
        <v>10</v>
      </c>
      <c r="C102" s="36" t="s">
        <v>218</v>
      </c>
      <c r="D102" s="36" t="s">
        <v>244</v>
      </c>
      <c r="E102" s="36" t="s">
        <v>245</v>
      </c>
      <c r="F102" s="36" t="s">
        <v>246</v>
      </c>
      <c r="G102" s="36"/>
      <c r="H102" s="36" t="s">
        <v>27</v>
      </c>
      <c r="I102" s="36" t="s">
        <v>28</v>
      </c>
      <c r="J102" s="36" t="s">
        <v>247</v>
      </c>
    </row>
    <row r="103" spans="1:12" ht="43.5">
      <c r="A103" s="42">
        <f t="shared" si="3"/>
        <v>102</v>
      </c>
      <c r="B103" s="36" t="s">
        <v>10</v>
      </c>
      <c r="C103" s="36" t="s">
        <v>218</v>
      </c>
      <c r="D103" s="36" t="s">
        <v>248</v>
      </c>
      <c r="E103" s="36" t="s">
        <v>249</v>
      </c>
      <c r="F103" s="36" t="s">
        <v>250</v>
      </c>
      <c r="G103" s="36"/>
      <c r="H103" s="36" t="s">
        <v>27</v>
      </c>
      <c r="I103" s="36" t="s">
        <v>28</v>
      </c>
      <c r="J103" s="36" t="s">
        <v>251</v>
      </c>
    </row>
    <row r="104" spans="1:12" ht="29.1">
      <c r="A104" s="42">
        <f t="shared" si="3"/>
        <v>103</v>
      </c>
      <c r="B104" s="36" t="s">
        <v>10</v>
      </c>
      <c r="C104" s="36" t="s">
        <v>218</v>
      </c>
      <c r="D104" s="36" t="s">
        <v>252</v>
      </c>
      <c r="E104" s="36" t="s">
        <v>253</v>
      </c>
      <c r="F104" s="36" t="s">
        <v>254</v>
      </c>
      <c r="G104" s="36"/>
      <c r="H104" s="44" t="s">
        <v>27</v>
      </c>
      <c r="I104" s="36" t="s">
        <v>28</v>
      </c>
      <c r="J104" s="36" t="s">
        <v>222</v>
      </c>
    </row>
    <row r="105" spans="1:12" ht="29.1">
      <c r="A105" s="42">
        <f t="shared" si="3"/>
        <v>104</v>
      </c>
      <c r="B105" s="36" t="s">
        <v>10</v>
      </c>
      <c r="C105" s="36" t="s">
        <v>218</v>
      </c>
      <c r="D105" s="36" t="s">
        <v>255</v>
      </c>
      <c r="E105" s="36"/>
      <c r="F105" s="36" t="s">
        <v>256</v>
      </c>
      <c r="G105" s="45"/>
      <c r="H105" s="44" t="s">
        <v>27</v>
      </c>
      <c r="I105" s="46" t="s">
        <v>28</v>
      </c>
      <c r="J105" s="36"/>
    </row>
    <row r="106" spans="1:12" ht="29.1">
      <c r="A106" s="42">
        <f t="shared" si="3"/>
        <v>105</v>
      </c>
      <c r="B106" s="36" t="s">
        <v>10</v>
      </c>
      <c r="C106" s="36" t="s">
        <v>218</v>
      </c>
      <c r="D106" s="36" t="s">
        <v>257</v>
      </c>
      <c r="E106" s="36"/>
      <c r="F106" s="36" t="s">
        <v>258</v>
      </c>
      <c r="G106" s="45"/>
      <c r="H106" s="44" t="s">
        <v>27</v>
      </c>
      <c r="I106" s="46" t="s">
        <v>28</v>
      </c>
      <c r="J106" s="36"/>
    </row>
    <row r="107" spans="1:12">
      <c r="A107" s="42">
        <f t="shared" si="3"/>
        <v>106</v>
      </c>
      <c r="B107" s="36" t="s">
        <v>14</v>
      </c>
      <c r="C107" s="36" t="s">
        <v>218</v>
      </c>
      <c r="D107" s="36"/>
      <c r="E107" s="36"/>
      <c r="F107" s="36" t="s">
        <v>259</v>
      </c>
      <c r="G107" s="45"/>
      <c r="H107" s="47" t="s">
        <v>22</v>
      </c>
      <c r="I107" s="46" t="s">
        <v>13</v>
      </c>
      <c r="J107" s="36"/>
    </row>
    <row r="108" spans="1:12">
      <c r="A108" s="42">
        <f t="shared" si="3"/>
        <v>107</v>
      </c>
      <c r="B108" s="36" t="s">
        <v>10</v>
      </c>
      <c r="C108" s="36" t="s">
        <v>260</v>
      </c>
      <c r="D108" s="36" t="s">
        <v>23</v>
      </c>
      <c r="E108" s="36" t="s">
        <v>23</v>
      </c>
      <c r="F108" s="36" t="s">
        <v>219</v>
      </c>
      <c r="G108" s="45"/>
      <c r="H108" s="44" t="s">
        <v>27</v>
      </c>
      <c r="I108" s="46" t="s">
        <v>28</v>
      </c>
      <c r="J108" s="36" t="s">
        <v>195</v>
      </c>
    </row>
    <row r="109" spans="1:12" ht="29.1">
      <c r="A109" s="42">
        <f t="shared" si="3"/>
        <v>108</v>
      </c>
      <c r="B109" s="36" t="s">
        <v>10</v>
      </c>
      <c r="C109" s="36" t="s">
        <v>260</v>
      </c>
      <c r="D109" s="36" t="s">
        <v>261</v>
      </c>
      <c r="E109" s="36" t="s">
        <v>91</v>
      </c>
      <c r="F109" s="36" t="s">
        <v>262</v>
      </c>
      <c r="G109" s="45"/>
      <c r="H109" s="44" t="s">
        <v>27</v>
      </c>
      <c r="I109" s="46" t="s">
        <v>28</v>
      </c>
      <c r="J109" s="36" t="s">
        <v>263</v>
      </c>
      <c r="L109" s="30"/>
    </row>
    <row r="110" spans="1:12" ht="29.1">
      <c r="A110" s="42">
        <f t="shared" si="3"/>
        <v>109</v>
      </c>
      <c r="B110" s="36" t="s">
        <v>10</v>
      </c>
      <c r="C110" s="36" t="s">
        <v>260</v>
      </c>
      <c r="D110" s="36" t="s">
        <v>264</v>
      </c>
      <c r="E110" s="36" t="s">
        <v>95</v>
      </c>
      <c r="F110" s="36" t="s">
        <v>265</v>
      </c>
      <c r="G110" s="45"/>
      <c r="H110" s="44" t="s">
        <v>27</v>
      </c>
      <c r="I110" s="46" t="s">
        <v>28</v>
      </c>
      <c r="J110" s="36" t="s">
        <v>266</v>
      </c>
      <c r="L110" s="30"/>
    </row>
    <row r="111" spans="1:12" ht="29.1">
      <c r="A111" s="42">
        <f t="shared" si="3"/>
        <v>110</v>
      </c>
      <c r="B111" s="36" t="s">
        <v>10</v>
      </c>
      <c r="C111" s="36" t="s">
        <v>260</v>
      </c>
      <c r="D111" s="36" t="s">
        <v>267</v>
      </c>
      <c r="E111" s="36" t="s">
        <v>99</v>
      </c>
      <c r="F111" s="36" t="s">
        <v>268</v>
      </c>
      <c r="G111" s="36"/>
      <c r="H111" s="44" t="s">
        <v>27</v>
      </c>
      <c r="I111" s="36" t="s">
        <v>13</v>
      </c>
      <c r="J111" s="36" t="s">
        <v>269</v>
      </c>
      <c r="L111" s="48"/>
    </row>
    <row r="112" spans="1:12" ht="29.1">
      <c r="A112" s="42">
        <f t="shared" si="3"/>
        <v>111</v>
      </c>
      <c r="B112" s="36" t="s">
        <v>10</v>
      </c>
      <c r="C112" s="36" t="s">
        <v>260</v>
      </c>
      <c r="D112" s="36" t="s">
        <v>270</v>
      </c>
      <c r="E112" s="36">
        <v>2</v>
      </c>
      <c r="F112" s="36" t="s">
        <v>271</v>
      </c>
      <c r="G112" s="36"/>
      <c r="H112" s="44" t="s">
        <v>27</v>
      </c>
      <c r="I112" s="36" t="s">
        <v>28</v>
      </c>
      <c r="J112" s="36" t="s">
        <v>269</v>
      </c>
      <c r="L112" s="30"/>
    </row>
    <row r="113" spans="1:12" ht="29.1">
      <c r="A113" s="42">
        <f t="shared" si="3"/>
        <v>112</v>
      </c>
      <c r="B113" s="36" t="s">
        <v>10</v>
      </c>
      <c r="C113" s="36" t="s">
        <v>260</v>
      </c>
      <c r="D113" s="36" t="s">
        <v>272</v>
      </c>
      <c r="E113" s="36">
        <v>2</v>
      </c>
      <c r="F113" s="36" t="s">
        <v>273</v>
      </c>
      <c r="G113" s="36"/>
      <c r="H113" s="44" t="s">
        <v>27</v>
      </c>
      <c r="I113" s="36" t="s">
        <v>28</v>
      </c>
      <c r="J113" s="36" t="s">
        <v>269</v>
      </c>
      <c r="L113" s="30"/>
    </row>
    <row r="114" spans="1:12">
      <c r="A114" s="42">
        <f t="shared" si="3"/>
        <v>113</v>
      </c>
      <c r="B114" s="36" t="s">
        <v>10</v>
      </c>
      <c r="C114" s="36" t="s">
        <v>274</v>
      </c>
      <c r="D114" s="36" t="s">
        <v>23</v>
      </c>
      <c r="E114" s="36" t="s">
        <v>23</v>
      </c>
      <c r="F114" s="36" t="s">
        <v>219</v>
      </c>
      <c r="G114" s="36"/>
      <c r="H114" s="44" t="s">
        <v>27</v>
      </c>
      <c r="I114" s="46" t="s">
        <v>28</v>
      </c>
      <c r="J114" s="36" t="s">
        <v>195</v>
      </c>
      <c r="L114" s="30"/>
    </row>
    <row r="115" spans="1:12" ht="29.1">
      <c r="A115" s="42">
        <f t="shared" si="3"/>
        <v>114</v>
      </c>
      <c r="B115" s="36" t="s">
        <v>10</v>
      </c>
      <c r="C115" s="36" t="s">
        <v>274</v>
      </c>
      <c r="D115" s="36" t="s">
        <v>275</v>
      </c>
      <c r="E115" s="36" t="s">
        <v>91</v>
      </c>
      <c r="F115" s="36" t="s">
        <v>276</v>
      </c>
      <c r="G115" s="36"/>
      <c r="H115" s="44" t="s">
        <v>27</v>
      </c>
      <c r="I115" s="46" t="s">
        <v>28</v>
      </c>
      <c r="J115" s="36" t="s">
        <v>277</v>
      </c>
    </row>
    <row r="116" spans="1:12" ht="29.1">
      <c r="A116" s="42">
        <f t="shared" si="3"/>
        <v>115</v>
      </c>
      <c r="B116" s="36" t="s">
        <v>10</v>
      </c>
      <c r="C116" s="36" t="s">
        <v>274</v>
      </c>
      <c r="D116" s="36" t="s">
        <v>278</v>
      </c>
      <c r="E116" s="36" t="s">
        <v>95</v>
      </c>
      <c r="F116" s="36" t="s">
        <v>279</v>
      </c>
      <c r="G116" s="36"/>
      <c r="H116" s="44" t="s">
        <v>27</v>
      </c>
      <c r="I116" s="46" t="s">
        <v>28</v>
      </c>
      <c r="J116" s="36" t="s">
        <v>280</v>
      </c>
    </row>
    <row r="117" spans="1:12" ht="29.1">
      <c r="A117" s="42">
        <f t="shared" si="3"/>
        <v>116</v>
      </c>
      <c r="B117" s="36" t="s">
        <v>10</v>
      </c>
      <c r="C117" s="36" t="s">
        <v>274</v>
      </c>
      <c r="D117" s="36" t="s">
        <v>281</v>
      </c>
      <c r="E117" s="36" t="s">
        <v>99</v>
      </c>
      <c r="F117" s="36" t="s">
        <v>282</v>
      </c>
      <c r="G117" s="36"/>
      <c r="H117" s="44" t="s">
        <v>27</v>
      </c>
      <c r="I117" s="46" t="s">
        <v>28</v>
      </c>
      <c r="J117" s="36" t="s">
        <v>280</v>
      </c>
    </row>
    <row r="118" spans="1:12" ht="29.1">
      <c r="A118" s="42">
        <f t="shared" si="3"/>
        <v>117</v>
      </c>
      <c r="B118" s="36" t="s">
        <v>10</v>
      </c>
      <c r="C118" s="36" t="s">
        <v>274</v>
      </c>
      <c r="D118" s="36" t="s">
        <v>199</v>
      </c>
      <c r="E118" s="36" t="s">
        <v>103</v>
      </c>
      <c r="F118" s="36" t="s">
        <v>283</v>
      </c>
      <c r="G118" s="36"/>
      <c r="H118" s="44" t="s">
        <v>27</v>
      </c>
      <c r="I118" s="46" t="s">
        <v>28</v>
      </c>
      <c r="J118" s="36" t="s">
        <v>280</v>
      </c>
    </row>
    <row r="119" spans="1:12" ht="29.25" customHeight="1">
      <c r="A119" s="42">
        <f t="shared" si="3"/>
        <v>118</v>
      </c>
      <c r="B119" s="36" t="s">
        <v>10</v>
      </c>
      <c r="C119" s="36" t="s">
        <v>274</v>
      </c>
      <c r="D119" s="36" t="s">
        <v>284</v>
      </c>
      <c r="E119" s="36"/>
      <c r="F119" s="36" t="s">
        <v>285</v>
      </c>
      <c r="G119" s="36"/>
      <c r="H119" s="44" t="s">
        <v>27</v>
      </c>
      <c r="I119" s="46" t="s">
        <v>28</v>
      </c>
      <c r="J119" s="36" t="s">
        <v>286</v>
      </c>
    </row>
    <row r="120" spans="1:12" ht="29.1">
      <c r="A120" s="42">
        <f t="shared" si="3"/>
        <v>119</v>
      </c>
      <c r="B120" s="36" t="s">
        <v>10</v>
      </c>
      <c r="C120" s="36" t="s">
        <v>287</v>
      </c>
      <c r="D120" s="36" t="s">
        <v>23</v>
      </c>
      <c r="E120" s="36" t="s">
        <v>23</v>
      </c>
      <c r="F120" s="36" t="s">
        <v>288</v>
      </c>
      <c r="G120" s="36"/>
      <c r="H120" s="44" t="s">
        <v>27</v>
      </c>
      <c r="I120" s="46" t="s">
        <v>19</v>
      </c>
      <c r="J120" s="36" t="s">
        <v>289</v>
      </c>
    </row>
    <row r="121" spans="1:12" ht="29.1">
      <c r="A121" s="42">
        <f t="shared" si="3"/>
        <v>120</v>
      </c>
      <c r="B121" s="36" t="s">
        <v>10</v>
      </c>
      <c r="C121" s="36" t="s">
        <v>287</v>
      </c>
      <c r="D121" s="36" t="s">
        <v>178</v>
      </c>
      <c r="E121" s="36">
        <v>1</v>
      </c>
      <c r="F121" s="36" t="s">
        <v>290</v>
      </c>
      <c r="G121" s="36"/>
      <c r="H121" s="44" t="s">
        <v>27</v>
      </c>
      <c r="I121" s="36" t="s">
        <v>28</v>
      </c>
      <c r="J121" s="36" t="s">
        <v>291</v>
      </c>
    </row>
    <row r="122" spans="1:12" ht="29.1">
      <c r="A122" s="42">
        <f t="shared" si="3"/>
        <v>121</v>
      </c>
      <c r="B122" s="36" t="s">
        <v>10</v>
      </c>
      <c r="C122" s="36" t="s">
        <v>287</v>
      </c>
      <c r="D122" s="36" t="s">
        <v>292</v>
      </c>
      <c r="E122" s="36">
        <v>2</v>
      </c>
      <c r="F122" s="36" t="s">
        <v>293</v>
      </c>
      <c r="G122" s="36"/>
      <c r="H122" s="44" t="s">
        <v>27</v>
      </c>
      <c r="I122" s="36" t="s">
        <v>28</v>
      </c>
      <c r="J122" s="36" t="s">
        <v>291</v>
      </c>
    </row>
    <row r="123" spans="1:12" ht="29.1">
      <c r="A123" s="42">
        <f t="shared" si="3"/>
        <v>122</v>
      </c>
      <c r="B123" s="36" t="s">
        <v>10</v>
      </c>
      <c r="C123" s="36" t="s">
        <v>287</v>
      </c>
      <c r="D123" s="36" t="s">
        <v>284</v>
      </c>
      <c r="E123" s="36"/>
      <c r="F123" s="36" t="s">
        <v>294</v>
      </c>
      <c r="G123" s="36"/>
      <c r="H123" s="44" t="s">
        <v>27</v>
      </c>
      <c r="I123" s="36" t="s">
        <v>28</v>
      </c>
      <c r="J123" s="36" t="s">
        <v>295</v>
      </c>
    </row>
    <row r="124" spans="1:12" ht="29.25" customHeight="1">
      <c r="A124" s="42">
        <f t="shared" si="3"/>
        <v>123</v>
      </c>
      <c r="B124" s="36" t="s">
        <v>10</v>
      </c>
      <c r="C124" s="36" t="s">
        <v>296</v>
      </c>
      <c r="D124" s="36" t="s">
        <v>297</v>
      </c>
      <c r="E124" s="36"/>
      <c r="F124" s="36" t="s">
        <v>298</v>
      </c>
      <c r="G124" s="36"/>
      <c r="H124" s="44" t="s">
        <v>27</v>
      </c>
      <c r="I124" s="36" t="s">
        <v>28</v>
      </c>
      <c r="J124" s="36" t="s">
        <v>299</v>
      </c>
    </row>
    <row r="125" spans="1:12" ht="29.25" customHeight="1">
      <c r="A125" s="42">
        <f t="shared" si="3"/>
        <v>124</v>
      </c>
      <c r="B125" s="36" t="s">
        <v>10</v>
      </c>
      <c r="C125" s="36" t="s">
        <v>300</v>
      </c>
      <c r="D125" s="36" t="s">
        <v>23</v>
      </c>
      <c r="E125" s="36" t="s">
        <v>23</v>
      </c>
      <c r="F125" s="36" t="s">
        <v>219</v>
      </c>
      <c r="G125" s="36"/>
      <c r="H125" s="44" t="s">
        <v>27</v>
      </c>
      <c r="I125" s="36" t="s">
        <v>28</v>
      </c>
      <c r="J125" s="36" t="s">
        <v>195</v>
      </c>
    </row>
    <row r="126" spans="1:12" ht="29.25" customHeight="1">
      <c r="A126" s="42">
        <f t="shared" si="3"/>
        <v>125</v>
      </c>
      <c r="B126" s="36" t="s">
        <v>10</v>
      </c>
      <c r="C126" s="36" t="s">
        <v>300</v>
      </c>
      <c r="D126" s="36" t="s">
        <v>301</v>
      </c>
      <c r="E126" s="36" t="s">
        <v>23</v>
      </c>
      <c r="F126" s="36" t="s">
        <v>302</v>
      </c>
      <c r="G126" s="36"/>
      <c r="H126" s="24" t="s">
        <v>303</v>
      </c>
      <c r="I126" s="36" t="s">
        <v>28</v>
      </c>
      <c r="J126" s="36" t="s">
        <v>304</v>
      </c>
    </row>
    <row r="127" spans="1:12" ht="29.25" customHeight="1">
      <c r="A127" s="42">
        <f t="shared" si="3"/>
        <v>126</v>
      </c>
      <c r="B127" s="36" t="s">
        <v>10</v>
      </c>
      <c r="C127" s="36" t="s">
        <v>300</v>
      </c>
      <c r="D127" s="36" t="s">
        <v>305</v>
      </c>
      <c r="E127" s="36" t="s">
        <v>23</v>
      </c>
      <c r="F127" s="36" t="s">
        <v>306</v>
      </c>
      <c r="G127" s="36"/>
      <c r="H127" s="24" t="s">
        <v>303</v>
      </c>
      <c r="I127" s="36" t="s">
        <v>28</v>
      </c>
      <c r="J127" s="36" t="s">
        <v>307</v>
      </c>
    </row>
    <row r="128" spans="1:12" ht="43.5">
      <c r="A128" s="42">
        <f t="shared" si="3"/>
        <v>127</v>
      </c>
      <c r="B128" s="36" t="s">
        <v>10</v>
      </c>
      <c r="C128" s="36" t="s">
        <v>300</v>
      </c>
      <c r="D128" s="36" t="s">
        <v>308</v>
      </c>
      <c r="E128" s="36">
        <v>1</v>
      </c>
      <c r="F128" s="36" t="s">
        <v>309</v>
      </c>
      <c r="G128" s="36"/>
      <c r="H128" s="44"/>
      <c r="I128" s="36" t="s">
        <v>28</v>
      </c>
      <c r="J128" s="36" t="s">
        <v>310</v>
      </c>
    </row>
    <row r="129" spans="1:10" ht="409.5">
      <c r="A129" s="42">
        <f t="shared" si="3"/>
        <v>128</v>
      </c>
      <c r="B129" s="36" t="s">
        <v>14</v>
      </c>
      <c r="C129" s="36" t="s">
        <v>300</v>
      </c>
      <c r="D129" s="36" t="s">
        <v>308</v>
      </c>
      <c r="E129" s="36">
        <v>1</v>
      </c>
      <c r="F129" s="36" t="s">
        <v>311</v>
      </c>
      <c r="G129" s="36" t="s">
        <v>312</v>
      </c>
      <c r="H129" s="36" t="s">
        <v>22</v>
      </c>
      <c r="I129" s="36" t="s">
        <v>28</v>
      </c>
      <c r="J129" s="36" t="s">
        <v>313</v>
      </c>
    </row>
    <row r="130" spans="1:10" ht="29.1">
      <c r="A130" s="42">
        <f t="shared" si="3"/>
        <v>129</v>
      </c>
      <c r="B130" s="36" t="s">
        <v>10</v>
      </c>
      <c r="C130" s="36" t="s">
        <v>300</v>
      </c>
      <c r="D130" s="36" t="s">
        <v>314</v>
      </c>
      <c r="E130" s="36">
        <v>2</v>
      </c>
      <c r="F130" s="36" t="s">
        <v>315</v>
      </c>
      <c r="G130" s="36"/>
      <c r="H130" s="44"/>
      <c r="I130" s="36" t="s">
        <v>28</v>
      </c>
      <c r="J130" s="36" t="s">
        <v>310</v>
      </c>
    </row>
    <row r="131" spans="1:10" ht="188.45">
      <c r="A131" s="42">
        <f t="shared" si="3"/>
        <v>130</v>
      </c>
      <c r="B131" s="36" t="s">
        <v>14</v>
      </c>
      <c r="C131" s="36" t="s">
        <v>300</v>
      </c>
      <c r="D131" s="36" t="s">
        <v>314</v>
      </c>
      <c r="E131" s="36">
        <v>2</v>
      </c>
      <c r="F131" s="36" t="s">
        <v>316</v>
      </c>
      <c r="G131" s="36" t="s">
        <v>317</v>
      </c>
      <c r="H131" s="36" t="s">
        <v>22</v>
      </c>
      <c r="I131" s="36" t="s">
        <v>19</v>
      </c>
      <c r="J131" s="36" t="s">
        <v>318</v>
      </c>
    </row>
    <row r="132" spans="1:10" ht="29.1">
      <c r="A132" s="42">
        <f t="shared" si="3"/>
        <v>131</v>
      </c>
      <c r="B132" s="36" t="s">
        <v>10</v>
      </c>
      <c r="C132" s="36" t="s">
        <v>300</v>
      </c>
      <c r="D132" s="36" t="s">
        <v>319</v>
      </c>
      <c r="E132" s="36">
        <v>3</v>
      </c>
      <c r="F132" s="36" t="s">
        <v>315</v>
      </c>
      <c r="G132" s="36"/>
      <c r="H132" s="44"/>
      <c r="I132" s="36" t="s">
        <v>28</v>
      </c>
      <c r="J132" s="36" t="s">
        <v>310</v>
      </c>
    </row>
    <row r="133" spans="1:10" ht="188.45">
      <c r="A133" s="42">
        <f t="shared" si="3"/>
        <v>132</v>
      </c>
      <c r="B133" s="36" t="s">
        <v>14</v>
      </c>
      <c r="C133" s="36" t="s">
        <v>300</v>
      </c>
      <c r="D133" s="36" t="s">
        <v>320</v>
      </c>
      <c r="E133" s="36">
        <v>3</v>
      </c>
      <c r="F133" s="36" t="s">
        <v>311</v>
      </c>
      <c r="G133" s="36" t="s">
        <v>321</v>
      </c>
      <c r="H133" s="36" t="s">
        <v>322</v>
      </c>
      <c r="I133" s="36" t="s">
        <v>19</v>
      </c>
      <c r="J133" s="36" t="s">
        <v>323</v>
      </c>
    </row>
    <row r="134" spans="1:10" ht="43.5">
      <c r="A134" s="42">
        <f t="shared" ref="A134:A161" si="4">ROW()-1</f>
        <v>133</v>
      </c>
      <c r="B134" s="36" t="s">
        <v>10</v>
      </c>
      <c r="C134" s="36" t="s">
        <v>300</v>
      </c>
      <c r="D134" s="36" t="s">
        <v>324</v>
      </c>
      <c r="E134" s="36">
        <v>4</v>
      </c>
      <c r="F134" s="36" t="s">
        <v>309</v>
      </c>
      <c r="G134" s="36"/>
      <c r="H134" s="44"/>
      <c r="I134" s="36" t="s">
        <v>28</v>
      </c>
      <c r="J134" s="36" t="s">
        <v>310</v>
      </c>
    </row>
    <row r="135" spans="1:10" ht="57.95">
      <c r="A135" s="42">
        <f t="shared" si="4"/>
        <v>134</v>
      </c>
      <c r="B135" s="36" t="s">
        <v>14</v>
      </c>
      <c r="C135" s="36" t="s">
        <v>300</v>
      </c>
      <c r="D135" s="36" t="s">
        <v>324</v>
      </c>
      <c r="E135" s="36">
        <v>4</v>
      </c>
      <c r="F135" s="36" t="s">
        <v>311</v>
      </c>
      <c r="G135" s="36"/>
      <c r="H135" s="36" t="s">
        <v>86</v>
      </c>
      <c r="I135" s="36" t="s">
        <v>28</v>
      </c>
      <c r="J135" s="36" t="s">
        <v>325</v>
      </c>
    </row>
    <row r="136" spans="1:10" ht="29.1">
      <c r="A136" s="42">
        <f t="shared" si="4"/>
        <v>135</v>
      </c>
      <c r="B136" s="36" t="s">
        <v>10</v>
      </c>
      <c r="C136" s="36" t="s">
        <v>300</v>
      </c>
      <c r="D136" s="36" t="s">
        <v>326</v>
      </c>
      <c r="E136" s="36">
        <v>5</v>
      </c>
      <c r="F136" s="36" t="s">
        <v>315</v>
      </c>
      <c r="G136" s="36"/>
      <c r="H136" s="44"/>
      <c r="I136" s="36" t="s">
        <v>28</v>
      </c>
      <c r="J136" s="36" t="s">
        <v>310</v>
      </c>
    </row>
    <row r="137" spans="1:10" ht="362.45">
      <c r="A137" s="42">
        <f t="shared" si="4"/>
        <v>136</v>
      </c>
      <c r="B137" s="36" t="s">
        <v>14</v>
      </c>
      <c r="C137" s="36" t="s">
        <v>300</v>
      </c>
      <c r="D137" s="36" t="s">
        <v>326</v>
      </c>
      <c r="E137" s="36">
        <v>5</v>
      </c>
      <c r="F137" s="36" t="s">
        <v>311</v>
      </c>
      <c r="G137" s="36" t="s">
        <v>327</v>
      </c>
      <c r="H137" s="36" t="s">
        <v>22</v>
      </c>
      <c r="I137" s="36" t="s">
        <v>19</v>
      </c>
      <c r="J137" s="36" t="s">
        <v>318</v>
      </c>
    </row>
    <row r="138" spans="1:10" ht="29.1">
      <c r="A138" s="42">
        <f t="shared" si="4"/>
        <v>137</v>
      </c>
      <c r="B138" s="36" t="s">
        <v>10</v>
      </c>
      <c r="C138" s="36" t="s">
        <v>300</v>
      </c>
      <c r="D138" s="36" t="s">
        <v>328</v>
      </c>
      <c r="E138" s="36">
        <v>6</v>
      </c>
      <c r="F138" s="36" t="s">
        <v>315</v>
      </c>
      <c r="G138" s="36"/>
      <c r="H138" s="44"/>
      <c r="I138" s="36" t="s">
        <v>28</v>
      </c>
      <c r="J138" s="36" t="s">
        <v>310</v>
      </c>
    </row>
    <row r="139" spans="1:10" ht="57.95">
      <c r="A139" s="42">
        <f t="shared" si="4"/>
        <v>138</v>
      </c>
      <c r="B139" s="36" t="s">
        <v>14</v>
      </c>
      <c r="C139" s="36" t="s">
        <v>300</v>
      </c>
      <c r="D139" s="36" t="s">
        <v>328</v>
      </c>
      <c r="E139" s="36">
        <v>6</v>
      </c>
      <c r="F139" s="36" t="s">
        <v>311</v>
      </c>
      <c r="G139" s="36"/>
      <c r="H139" s="36" t="s">
        <v>27</v>
      </c>
      <c r="I139" s="36" t="s">
        <v>19</v>
      </c>
      <c r="J139" s="36" t="s">
        <v>325</v>
      </c>
    </row>
    <row r="140" spans="1:10" ht="29.1">
      <c r="A140" s="42">
        <f t="shared" si="4"/>
        <v>139</v>
      </c>
      <c r="B140" s="36" t="s">
        <v>10</v>
      </c>
      <c r="C140" s="36" t="s">
        <v>300</v>
      </c>
      <c r="D140" s="36" t="s">
        <v>329</v>
      </c>
      <c r="E140" s="36">
        <v>7</v>
      </c>
      <c r="F140" s="36" t="s">
        <v>315</v>
      </c>
      <c r="G140" s="36"/>
      <c r="H140" s="44"/>
      <c r="I140" s="36" t="s">
        <v>28</v>
      </c>
      <c r="J140" s="36" t="s">
        <v>310</v>
      </c>
    </row>
    <row r="141" spans="1:10" ht="57.95">
      <c r="A141" s="42">
        <f t="shared" si="4"/>
        <v>140</v>
      </c>
      <c r="B141" s="36" t="s">
        <v>14</v>
      </c>
      <c r="C141" s="36" t="s">
        <v>300</v>
      </c>
      <c r="D141" s="36" t="s">
        <v>329</v>
      </c>
      <c r="E141" s="36">
        <v>7</v>
      </c>
      <c r="F141" s="36" t="s">
        <v>311</v>
      </c>
      <c r="G141" s="36"/>
      <c r="H141" s="21" t="s">
        <v>27</v>
      </c>
      <c r="I141" s="36" t="s">
        <v>19</v>
      </c>
      <c r="J141" s="36" t="s">
        <v>325</v>
      </c>
    </row>
    <row r="142" spans="1:10" ht="29.1">
      <c r="A142" s="42">
        <f t="shared" si="4"/>
        <v>141</v>
      </c>
      <c r="B142" s="36" t="s">
        <v>10</v>
      </c>
      <c r="C142" s="36" t="s">
        <v>300</v>
      </c>
      <c r="D142" s="36" t="s">
        <v>330</v>
      </c>
      <c r="E142" s="36">
        <v>8</v>
      </c>
      <c r="F142" s="36" t="s">
        <v>315</v>
      </c>
      <c r="G142" s="36"/>
      <c r="H142" s="44"/>
      <c r="I142" s="36" t="s">
        <v>28</v>
      </c>
      <c r="J142" s="36" t="s">
        <v>310</v>
      </c>
    </row>
    <row r="143" spans="1:10" ht="57.95">
      <c r="A143" s="42">
        <f t="shared" si="4"/>
        <v>142</v>
      </c>
      <c r="B143" s="36" t="s">
        <v>14</v>
      </c>
      <c r="C143" s="36" t="s">
        <v>300</v>
      </c>
      <c r="D143" s="36" t="s">
        <v>330</v>
      </c>
      <c r="E143" s="36">
        <v>8</v>
      </c>
      <c r="F143" s="36" t="s">
        <v>311</v>
      </c>
      <c r="G143" s="36"/>
      <c r="H143" s="22" t="s">
        <v>27</v>
      </c>
      <c r="I143" s="36" t="s">
        <v>19</v>
      </c>
      <c r="J143" s="36" t="s">
        <v>325</v>
      </c>
    </row>
    <row r="144" spans="1:10" ht="29.1">
      <c r="A144" s="42">
        <f t="shared" si="4"/>
        <v>143</v>
      </c>
      <c r="B144" s="36" t="s">
        <v>10</v>
      </c>
      <c r="C144" s="36" t="s">
        <v>300</v>
      </c>
      <c r="D144" s="36" t="s">
        <v>331</v>
      </c>
      <c r="E144" s="36">
        <v>9</v>
      </c>
      <c r="F144" s="36" t="s">
        <v>315</v>
      </c>
      <c r="G144" s="36"/>
      <c r="H144" s="44"/>
      <c r="I144" s="36" t="s">
        <v>28</v>
      </c>
      <c r="J144" s="36" t="s">
        <v>310</v>
      </c>
    </row>
    <row r="145" spans="1:10" ht="43.5">
      <c r="A145" s="42">
        <f t="shared" si="4"/>
        <v>144</v>
      </c>
      <c r="B145" s="36" t="s">
        <v>14</v>
      </c>
      <c r="C145" s="36" t="s">
        <v>300</v>
      </c>
      <c r="D145" s="36" t="s">
        <v>331</v>
      </c>
      <c r="E145" s="36">
        <v>9</v>
      </c>
      <c r="F145" s="36" t="s">
        <v>309</v>
      </c>
      <c r="G145" s="36"/>
      <c r="H145" s="36" t="s">
        <v>27</v>
      </c>
      <c r="I145" s="36" t="s">
        <v>19</v>
      </c>
      <c r="J145" s="36" t="s">
        <v>325</v>
      </c>
    </row>
    <row r="146" spans="1:10" ht="29.1">
      <c r="A146" s="42">
        <f t="shared" si="4"/>
        <v>145</v>
      </c>
      <c r="B146" s="36" t="s">
        <v>10</v>
      </c>
      <c r="C146" s="36" t="s">
        <v>300</v>
      </c>
      <c r="D146" s="36" t="s">
        <v>332</v>
      </c>
      <c r="E146" s="36">
        <v>10</v>
      </c>
      <c r="F146" s="36" t="s">
        <v>315</v>
      </c>
      <c r="G146" s="36"/>
      <c r="H146" s="44"/>
      <c r="I146" s="36" t="s">
        <v>28</v>
      </c>
      <c r="J146" s="36" t="s">
        <v>310</v>
      </c>
    </row>
    <row r="147" spans="1:10" ht="57.95">
      <c r="A147" s="42">
        <f t="shared" si="4"/>
        <v>146</v>
      </c>
      <c r="B147" s="36" t="s">
        <v>14</v>
      </c>
      <c r="C147" s="36" t="s">
        <v>300</v>
      </c>
      <c r="D147" s="36" t="s">
        <v>332</v>
      </c>
      <c r="E147" s="36">
        <v>10</v>
      </c>
      <c r="F147" s="36" t="s">
        <v>311</v>
      </c>
      <c r="G147" s="36"/>
      <c r="H147" s="21" t="s">
        <v>27</v>
      </c>
      <c r="I147" s="36" t="s">
        <v>19</v>
      </c>
      <c r="J147" s="36" t="s">
        <v>325</v>
      </c>
    </row>
    <row r="148" spans="1:10" ht="29.1">
      <c r="A148" s="42">
        <f t="shared" si="4"/>
        <v>147</v>
      </c>
      <c r="B148" s="36" t="s">
        <v>10</v>
      </c>
      <c r="C148" s="36" t="s">
        <v>300</v>
      </c>
      <c r="D148" s="36" t="s">
        <v>333</v>
      </c>
      <c r="E148" s="36">
        <v>11</v>
      </c>
      <c r="F148" s="36" t="s">
        <v>315</v>
      </c>
      <c r="G148" s="36"/>
      <c r="H148" s="44"/>
      <c r="I148" s="36" t="s">
        <v>28</v>
      </c>
      <c r="J148" s="36" t="s">
        <v>310</v>
      </c>
    </row>
    <row r="149" spans="1:10" ht="57.95">
      <c r="A149" s="42">
        <f t="shared" si="4"/>
        <v>148</v>
      </c>
      <c r="B149" s="36" t="s">
        <v>14</v>
      </c>
      <c r="C149" s="36" t="s">
        <v>300</v>
      </c>
      <c r="D149" s="36" t="s">
        <v>333</v>
      </c>
      <c r="E149" s="36">
        <v>11</v>
      </c>
      <c r="F149" s="36" t="s">
        <v>311</v>
      </c>
      <c r="G149" s="36"/>
      <c r="H149" s="36" t="s">
        <v>86</v>
      </c>
      <c r="I149" s="36" t="s">
        <v>19</v>
      </c>
      <c r="J149" s="36" t="s">
        <v>318</v>
      </c>
    </row>
    <row r="150" spans="1:10" ht="29.1">
      <c r="A150" s="42">
        <f t="shared" si="4"/>
        <v>149</v>
      </c>
      <c r="B150" s="36" t="s">
        <v>10</v>
      </c>
      <c r="C150" s="36" t="s">
        <v>300</v>
      </c>
      <c r="D150" s="36" t="s">
        <v>334</v>
      </c>
      <c r="E150" s="36">
        <v>12</v>
      </c>
      <c r="F150" s="36" t="s">
        <v>315</v>
      </c>
      <c r="G150" s="36"/>
      <c r="H150" s="44"/>
      <c r="I150" s="36" t="s">
        <v>28</v>
      </c>
      <c r="J150" s="36" t="s">
        <v>310</v>
      </c>
    </row>
    <row r="151" spans="1:10" ht="57.95">
      <c r="A151" s="42">
        <f t="shared" si="4"/>
        <v>150</v>
      </c>
      <c r="B151" s="36" t="s">
        <v>14</v>
      </c>
      <c r="C151" s="36" t="s">
        <v>300</v>
      </c>
      <c r="D151" s="36" t="s">
        <v>334</v>
      </c>
      <c r="E151" s="36">
        <v>12</v>
      </c>
      <c r="F151" s="36" t="s">
        <v>311</v>
      </c>
      <c r="G151" s="36"/>
      <c r="H151" s="21" t="s">
        <v>27</v>
      </c>
      <c r="I151" s="36" t="s">
        <v>28</v>
      </c>
      <c r="J151" s="36" t="s">
        <v>335</v>
      </c>
    </row>
    <row r="152" spans="1:10" ht="29.1">
      <c r="A152" s="42">
        <f t="shared" si="4"/>
        <v>151</v>
      </c>
      <c r="B152" s="36" t="s">
        <v>10</v>
      </c>
      <c r="C152" s="36" t="s">
        <v>300</v>
      </c>
      <c r="D152" s="36" t="s">
        <v>336</v>
      </c>
      <c r="E152" s="36">
        <v>13</v>
      </c>
      <c r="F152" s="36" t="s">
        <v>315</v>
      </c>
      <c r="G152" s="36"/>
      <c r="H152" s="44"/>
      <c r="I152" s="36" t="s">
        <v>28</v>
      </c>
      <c r="J152" s="36" t="s">
        <v>310</v>
      </c>
    </row>
    <row r="153" spans="1:10" ht="57.95">
      <c r="A153" s="42">
        <f t="shared" si="4"/>
        <v>152</v>
      </c>
      <c r="B153" s="36" t="s">
        <v>14</v>
      </c>
      <c r="C153" s="36" t="s">
        <v>300</v>
      </c>
      <c r="D153" s="36" t="s">
        <v>336</v>
      </c>
      <c r="E153" s="36">
        <v>13</v>
      </c>
      <c r="F153" s="36" t="s">
        <v>311</v>
      </c>
      <c r="G153" s="36"/>
      <c r="H153" s="21" t="s">
        <v>27</v>
      </c>
      <c r="I153" s="36" t="s">
        <v>28</v>
      </c>
      <c r="J153" s="36" t="s">
        <v>325</v>
      </c>
    </row>
    <row r="154" spans="1:10">
      <c r="A154" s="42">
        <f t="shared" si="4"/>
        <v>153</v>
      </c>
      <c r="B154" s="36" t="s">
        <v>14</v>
      </c>
      <c r="C154" s="36" t="s">
        <v>300</v>
      </c>
      <c r="D154" s="36" t="s">
        <v>337</v>
      </c>
      <c r="E154" s="36"/>
      <c r="F154" s="36" t="s">
        <v>338</v>
      </c>
      <c r="G154" s="36"/>
      <c r="H154" s="21" t="s">
        <v>27</v>
      </c>
      <c r="I154" s="36" t="s">
        <v>13</v>
      </c>
      <c r="J154" s="36"/>
    </row>
    <row r="155" spans="1:10">
      <c r="A155" s="42">
        <f t="shared" si="4"/>
        <v>154</v>
      </c>
      <c r="B155" s="36" t="s">
        <v>10</v>
      </c>
      <c r="C155" s="36" t="s">
        <v>339</v>
      </c>
      <c r="D155" s="36" t="s">
        <v>23</v>
      </c>
      <c r="E155" s="36" t="s">
        <v>23</v>
      </c>
      <c r="F155" s="36" t="s">
        <v>340</v>
      </c>
      <c r="G155" s="36"/>
      <c r="H155" s="44" t="s">
        <v>27</v>
      </c>
      <c r="I155" s="36" t="s">
        <v>28</v>
      </c>
      <c r="J155" s="36" t="s">
        <v>195</v>
      </c>
    </row>
    <row r="156" spans="1:10" ht="29.1">
      <c r="A156" s="42">
        <f t="shared" si="4"/>
        <v>155</v>
      </c>
      <c r="B156" s="36" t="s">
        <v>10</v>
      </c>
      <c r="C156" s="36" t="s">
        <v>339</v>
      </c>
      <c r="D156" s="36" t="s">
        <v>341</v>
      </c>
      <c r="E156" s="36" t="s">
        <v>91</v>
      </c>
      <c r="F156" s="36" t="s">
        <v>342</v>
      </c>
      <c r="G156" s="36"/>
      <c r="H156" s="36" t="s">
        <v>343</v>
      </c>
      <c r="I156" s="36" t="s">
        <v>28</v>
      </c>
      <c r="J156" s="36" t="s">
        <v>344</v>
      </c>
    </row>
    <row r="157" spans="1:10" ht="29.1">
      <c r="A157" s="42">
        <f t="shared" si="4"/>
        <v>156</v>
      </c>
      <c r="B157" s="36" t="s">
        <v>10</v>
      </c>
      <c r="C157" s="36" t="s">
        <v>339</v>
      </c>
      <c r="D157" s="36" t="s">
        <v>102</v>
      </c>
      <c r="E157" s="36" t="s">
        <v>95</v>
      </c>
      <c r="F157" s="36" t="s">
        <v>345</v>
      </c>
      <c r="G157" s="36"/>
      <c r="H157" s="36" t="s">
        <v>343</v>
      </c>
      <c r="I157" s="36" t="s">
        <v>28</v>
      </c>
      <c r="J157" s="36" t="s">
        <v>344</v>
      </c>
    </row>
    <row r="158" spans="1:10" ht="29.1">
      <c r="A158" s="42">
        <f t="shared" si="4"/>
        <v>157</v>
      </c>
      <c r="B158" s="36" t="s">
        <v>10</v>
      </c>
      <c r="C158" s="36" t="s">
        <v>339</v>
      </c>
      <c r="D158" s="36" t="s">
        <v>105</v>
      </c>
      <c r="E158" s="36" t="s">
        <v>99</v>
      </c>
      <c r="F158" s="36" t="s">
        <v>346</v>
      </c>
      <c r="G158" s="36"/>
      <c r="H158" s="36" t="s">
        <v>343</v>
      </c>
      <c r="I158" s="36" t="s">
        <v>28</v>
      </c>
      <c r="J158" s="36" t="s">
        <v>344</v>
      </c>
    </row>
    <row r="159" spans="1:10" ht="29.1">
      <c r="A159" s="42">
        <f t="shared" si="4"/>
        <v>158</v>
      </c>
      <c r="B159" s="36" t="s">
        <v>10</v>
      </c>
      <c r="C159" s="36" t="s">
        <v>339</v>
      </c>
      <c r="D159" s="36" t="s">
        <v>94</v>
      </c>
      <c r="E159" s="36" t="s">
        <v>103</v>
      </c>
      <c r="F159" s="36" t="s">
        <v>347</v>
      </c>
      <c r="G159" s="36"/>
      <c r="H159" s="36" t="s">
        <v>343</v>
      </c>
      <c r="I159" s="36" t="s">
        <v>28</v>
      </c>
      <c r="J159" s="36" t="s">
        <v>344</v>
      </c>
    </row>
    <row r="160" spans="1:10" ht="29.1">
      <c r="A160" s="42">
        <f t="shared" si="4"/>
        <v>159</v>
      </c>
      <c r="B160" s="36" t="s">
        <v>10</v>
      </c>
      <c r="C160" s="36" t="s">
        <v>339</v>
      </c>
      <c r="D160" s="36" t="s">
        <v>108</v>
      </c>
      <c r="E160" s="36" t="s">
        <v>106</v>
      </c>
      <c r="F160" s="36" t="s">
        <v>348</v>
      </c>
      <c r="G160" s="36"/>
      <c r="H160" s="36" t="s">
        <v>343</v>
      </c>
      <c r="I160" s="36" t="s">
        <v>28</v>
      </c>
      <c r="J160" s="36" t="s">
        <v>344</v>
      </c>
    </row>
    <row r="161" spans="1:10">
      <c r="A161" s="42">
        <f t="shared" si="4"/>
        <v>160</v>
      </c>
      <c r="B161" s="36" t="s">
        <v>14</v>
      </c>
      <c r="C161" s="36" t="s">
        <v>339</v>
      </c>
      <c r="D161" s="36" t="s">
        <v>349</v>
      </c>
      <c r="E161" s="36"/>
      <c r="F161" s="36" t="s">
        <v>350</v>
      </c>
      <c r="G161" s="36"/>
      <c r="H161" s="36"/>
      <c r="I161" s="36" t="s">
        <v>28</v>
      </c>
      <c r="J161" s="36" t="s">
        <v>351</v>
      </c>
    </row>
  </sheetData>
  <autoFilter ref="A1:J161" xr:uid="{E39DDDBC-6227-47B2-9869-3B4C776B7365}"/>
  <conditionalFormatting sqref="I2:I1048576">
    <cfRule type="containsText" dxfId="11" priority="1" operator="containsText" text="Pass with Comments">
      <formula>NOT(ISERROR(SEARCH("Pass with Comments",I2)))</formula>
    </cfRule>
    <cfRule type="containsText" dxfId="10" priority="2" operator="containsText" text="Fail">
      <formula>NOT(ISERROR(SEARCH("Fail",I2)))</formula>
    </cfRule>
    <cfRule type="containsText" dxfId="9" priority="3" operator="containsText" text="Pass">
      <formula>NOT(ISERROR(SEARCH("Pass",I2)))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C5BAB-8BCF-40F7-80F9-820F6C14BEC5}">
  <dimension ref="A1:J161"/>
  <sheetViews>
    <sheetView topLeftCell="D1" zoomScaleNormal="100" workbookViewId="0">
      <pane ySplit="1" topLeftCell="F65" activePane="bottomLeft" state="frozen"/>
      <selection pane="bottomLeft" activeCell="K68" sqref="K68"/>
    </sheetView>
  </sheetViews>
  <sheetFormatPr defaultColWidth="9.140625" defaultRowHeight="14.45"/>
  <cols>
    <col min="1" max="1" width="4.28515625" style="2" customWidth="1"/>
    <col min="2" max="2" width="16" style="1" customWidth="1"/>
    <col min="3" max="3" width="23.5703125" style="1" customWidth="1"/>
    <col min="4" max="4" width="16.5703125" style="1" customWidth="1"/>
    <col min="5" max="5" width="14.140625" style="1" customWidth="1"/>
    <col min="6" max="6" width="65.140625" style="1" customWidth="1"/>
    <col min="7" max="7" width="59.42578125" style="1" customWidth="1"/>
    <col min="8" max="8" width="24.42578125" style="1" customWidth="1"/>
    <col min="9" max="9" width="20.7109375" style="1" customWidth="1"/>
    <col min="10" max="10" width="42.5703125" style="1" customWidth="1"/>
    <col min="11" max="16384" width="9.140625" style="1"/>
  </cols>
  <sheetData>
    <row r="1" spans="1:10" s="3" customFormat="1">
      <c r="A1" s="4" t="s">
        <v>0</v>
      </c>
      <c r="B1" s="4" t="s">
        <v>1</v>
      </c>
      <c r="C1" s="4" t="s">
        <v>2</v>
      </c>
      <c r="D1" s="4" t="s">
        <v>3</v>
      </c>
      <c r="E1" s="4" t="s">
        <v>4</v>
      </c>
      <c r="F1" s="17" t="s">
        <v>5</v>
      </c>
      <c r="G1" s="4" t="s">
        <v>6</v>
      </c>
      <c r="H1" s="4" t="s">
        <v>7</v>
      </c>
      <c r="I1" s="4" t="s">
        <v>8</v>
      </c>
      <c r="J1" s="4" t="s">
        <v>9</v>
      </c>
    </row>
    <row r="2" spans="1:10" s="3" customFormat="1" ht="21.95" customHeight="1">
      <c r="A2" s="14">
        <f t="shared" ref="A2:A65" si="0">ROW()-1</f>
        <v>1</v>
      </c>
      <c r="B2" s="36" t="s">
        <v>10</v>
      </c>
      <c r="C2" s="36" t="s">
        <v>11</v>
      </c>
      <c r="D2" s="36"/>
      <c r="E2" s="36"/>
      <c r="F2" s="36" t="s">
        <v>12</v>
      </c>
      <c r="G2" s="36"/>
      <c r="H2" s="36"/>
      <c r="I2" s="36" t="s">
        <v>352</v>
      </c>
      <c r="J2" s="13"/>
    </row>
    <row r="3" spans="1:10" s="3" customFormat="1" ht="29.1">
      <c r="A3" s="13">
        <f t="shared" si="0"/>
        <v>2</v>
      </c>
      <c r="B3" s="36" t="s">
        <v>14</v>
      </c>
      <c r="C3" s="36" t="s">
        <v>11</v>
      </c>
      <c r="D3" s="36" t="s">
        <v>15</v>
      </c>
      <c r="E3" s="36" t="s">
        <v>16</v>
      </c>
      <c r="F3" s="36" t="s">
        <v>17</v>
      </c>
      <c r="G3" s="36"/>
      <c r="H3" s="36" t="s">
        <v>353</v>
      </c>
      <c r="I3" s="36" t="s">
        <v>354</v>
      </c>
      <c r="J3" s="16" t="s">
        <v>355</v>
      </c>
    </row>
    <row r="4" spans="1:10" s="3" customFormat="1" ht="29.1">
      <c r="A4" s="13">
        <f t="shared" si="0"/>
        <v>3</v>
      </c>
      <c r="B4" s="36" t="s">
        <v>14</v>
      </c>
      <c r="C4" s="36" t="s">
        <v>11</v>
      </c>
      <c r="D4" s="36" t="s">
        <v>15</v>
      </c>
      <c r="E4" s="36" t="s">
        <v>16</v>
      </c>
      <c r="F4" s="36" t="s">
        <v>21</v>
      </c>
      <c r="G4" s="36"/>
      <c r="H4" s="36"/>
      <c r="I4" s="36" t="s">
        <v>352</v>
      </c>
      <c r="J4" s="13"/>
    </row>
    <row r="5" spans="1:10" ht="43.5">
      <c r="A5" s="42">
        <f t="shared" si="0"/>
        <v>4</v>
      </c>
      <c r="B5" s="36" t="s">
        <v>10</v>
      </c>
      <c r="C5" s="36" t="s">
        <v>23</v>
      </c>
      <c r="D5" s="36" t="s">
        <v>24</v>
      </c>
      <c r="E5" s="36" t="s">
        <v>25</v>
      </c>
      <c r="F5" s="36" t="s">
        <v>26</v>
      </c>
      <c r="G5" s="43" t="s">
        <v>356</v>
      </c>
      <c r="H5" s="36" t="s">
        <v>353</v>
      </c>
      <c r="I5" s="36" t="s">
        <v>28</v>
      </c>
      <c r="J5" s="36"/>
    </row>
    <row r="6" spans="1:10">
      <c r="A6" s="42">
        <f t="shared" si="0"/>
        <v>5</v>
      </c>
      <c r="B6" s="36" t="s">
        <v>10</v>
      </c>
      <c r="C6" s="36" t="s">
        <v>30</v>
      </c>
      <c r="D6" s="36" t="s">
        <v>31</v>
      </c>
      <c r="E6" s="36"/>
      <c r="F6" s="36" t="s">
        <v>32</v>
      </c>
      <c r="G6" s="36"/>
      <c r="H6" s="36"/>
      <c r="I6" s="36"/>
      <c r="J6" s="36"/>
    </row>
    <row r="7" spans="1:10" ht="69.599999999999994" customHeight="1">
      <c r="A7" s="42">
        <f t="shared" si="0"/>
        <v>6</v>
      </c>
      <c r="B7" s="36" t="s">
        <v>10</v>
      </c>
      <c r="C7" s="36" t="s">
        <v>23</v>
      </c>
      <c r="D7" s="36" t="s">
        <v>24</v>
      </c>
      <c r="E7" s="36" t="s">
        <v>23</v>
      </c>
      <c r="F7" s="36" t="s">
        <v>34</v>
      </c>
      <c r="G7" s="43" t="s">
        <v>357</v>
      </c>
      <c r="H7" s="36"/>
      <c r="I7" s="36"/>
      <c r="J7" s="36"/>
    </row>
    <row r="8" spans="1:10">
      <c r="A8" s="42">
        <f t="shared" si="0"/>
        <v>7</v>
      </c>
      <c r="B8" s="36" t="s">
        <v>10</v>
      </c>
      <c r="C8" s="36" t="s">
        <v>23</v>
      </c>
      <c r="D8" s="36" t="s">
        <v>31</v>
      </c>
      <c r="E8" s="36" t="s">
        <v>23</v>
      </c>
      <c r="F8" s="36" t="s">
        <v>35</v>
      </c>
      <c r="G8" s="36"/>
      <c r="H8" s="36"/>
      <c r="I8" s="36"/>
      <c r="J8" s="36"/>
    </row>
    <row r="9" spans="1:10" ht="43.5">
      <c r="A9" s="42">
        <f t="shared" si="0"/>
        <v>8</v>
      </c>
      <c r="B9" s="36" t="s">
        <v>10</v>
      </c>
      <c r="C9" s="36" t="s">
        <v>23</v>
      </c>
      <c r="D9" s="36" t="s">
        <v>37</v>
      </c>
      <c r="E9" s="36">
        <v>1</v>
      </c>
      <c r="F9" s="36" t="s">
        <v>38</v>
      </c>
      <c r="G9" s="36"/>
      <c r="H9" s="36"/>
      <c r="I9" s="36"/>
      <c r="J9" s="36"/>
    </row>
    <row r="10" spans="1:10">
      <c r="A10" s="42">
        <f t="shared" si="0"/>
        <v>9</v>
      </c>
      <c r="B10" s="36" t="s">
        <v>14</v>
      </c>
      <c r="C10" s="36" t="s">
        <v>23</v>
      </c>
      <c r="D10" s="36" t="s">
        <v>40</v>
      </c>
      <c r="E10" s="36">
        <v>1</v>
      </c>
      <c r="F10" s="36" t="s">
        <v>41</v>
      </c>
      <c r="G10" s="5" t="s">
        <v>358</v>
      </c>
      <c r="H10" s="36"/>
      <c r="I10" s="36" t="s">
        <v>28</v>
      </c>
      <c r="J10" s="36"/>
    </row>
    <row r="11" spans="1:10" ht="29.1">
      <c r="A11" s="42">
        <f t="shared" si="0"/>
        <v>10</v>
      </c>
      <c r="B11" s="36" t="s">
        <v>14</v>
      </c>
      <c r="C11" s="36" t="s">
        <v>23</v>
      </c>
      <c r="D11" s="36" t="s">
        <v>40</v>
      </c>
      <c r="E11" s="36">
        <v>1</v>
      </c>
      <c r="F11" s="36" t="s">
        <v>42</v>
      </c>
      <c r="G11" s="36"/>
      <c r="H11" s="36" t="s">
        <v>359</v>
      </c>
      <c r="I11" s="36" t="s">
        <v>13</v>
      </c>
      <c r="J11" s="36"/>
    </row>
    <row r="12" spans="1:10">
      <c r="A12" s="42">
        <f t="shared" si="0"/>
        <v>11</v>
      </c>
      <c r="B12" s="36" t="s">
        <v>14</v>
      </c>
      <c r="C12" s="36" t="s">
        <v>23</v>
      </c>
      <c r="D12" s="36" t="s">
        <v>40</v>
      </c>
      <c r="E12" s="36">
        <v>1</v>
      </c>
      <c r="F12" s="36" t="s">
        <v>44</v>
      </c>
      <c r="G12" s="36"/>
      <c r="H12" s="36" t="s">
        <v>360</v>
      </c>
      <c r="I12" s="36" t="s">
        <v>352</v>
      </c>
      <c r="J12" s="36"/>
    </row>
    <row r="13" spans="1:10" ht="43.5">
      <c r="A13" s="42">
        <f t="shared" si="0"/>
        <v>12</v>
      </c>
      <c r="B13" s="36" t="s">
        <v>14</v>
      </c>
      <c r="C13" s="36" t="s">
        <v>23</v>
      </c>
      <c r="D13" s="36" t="s">
        <v>40</v>
      </c>
      <c r="E13" s="36">
        <v>1</v>
      </c>
      <c r="F13" s="36" t="s">
        <v>45</v>
      </c>
      <c r="G13" s="36" t="s">
        <v>361</v>
      </c>
      <c r="H13" s="36" t="s">
        <v>362</v>
      </c>
      <c r="I13" s="36" t="s">
        <v>28</v>
      </c>
      <c r="J13" s="36"/>
    </row>
    <row r="14" spans="1:10">
      <c r="A14" s="42">
        <f t="shared" si="0"/>
        <v>13</v>
      </c>
      <c r="B14" s="36" t="s">
        <v>10</v>
      </c>
      <c r="C14" s="36" t="s">
        <v>23</v>
      </c>
      <c r="D14" s="36" t="s">
        <v>47</v>
      </c>
      <c r="E14" s="36">
        <v>1</v>
      </c>
      <c r="F14" s="36" t="s">
        <v>48</v>
      </c>
      <c r="G14" s="36"/>
      <c r="H14" s="36"/>
      <c r="I14" s="36"/>
      <c r="J14" s="36"/>
    </row>
    <row r="15" spans="1:10" ht="29.1">
      <c r="A15" s="42">
        <f t="shared" si="0"/>
        <v>14</v>
      </c>
      <c r="B15" s="36" t="s">
        <v>10</v>
      </c>
      <c r="C15" s="36" t="s">
        <v>23</v>
      </c>
      <c r="D15" s="36" t="s">
        <v>49</v>
      </c>
      <c r="E15" s="36">
        <v>1</v>
      </c>
      <c r="F15" s="36" t="s">
        <v>50</v>
      </c>
      <c r="G15" s="36"/>
      <c r="H15" s="36"/>
      <c r="I15" s="36"/>
      <c r="J15" s="36"/>
    </row>
    <row r="16" spans="1:10">
      <c r="A16" s="42">
        <f t="shared" si="0"/>
        <v>15</v>
      </c>
      <c r="B16" s="36" t="s">
        <v>10</v>
      </c>
      <c r="C16" s="36" t="s">
        <v>23</v>
      </c>
      <c r="D16" s="36" t="s">
        <v>52</v>
      </c>
      <c r="E16" s="36">
        <v>1</v>
      </c>
      <c r="F16" s="36" t="s">
        <v>53</v>
      </c>
      <c r="G16" s="36"/>
      <c r="H16" s="36"/>
      <c r="I16" s="36"/>
      <c r="J16" s="36"/>
    </row>
    <row r="17" spans="1:10">
      <c r="A17" s="42">
        <f t="shared" si="0"/>
        <v>16</v>
      </c>
      <c r="B17" s="36" t="s">
        <v>10</v>
      </c>
      <c r="C17" s="36" t="s">
        <v>23</v>
      </c>
      <c r="D17" s="36" t="s">
        <v>54</v>
      </c>
      <c r="E17" s="36">
        <v>2</v>
      </c>
      <c r="F17" s="36" t="s">
        <v>55</v>
      </c>
      <c r="G17" s="36"/>
      <c r="H17" s="36"/>
      <c r="I17" s="36"/>
      <c r="J17" s="36"/>
    </row>
    <row r="18" spans="1:10" ht="29.1">
      <c r="A18" s="42">
        <f t="shared" si="0"/>
        <v>17</v>
      </c>
      <c r="B18" s="36" t="s">
        <v>10</v>
      </c>
      <c r="C18" s="36" t="s">
        <v>23</v>
      </c>
      <c r="D18" s="36" t="s">
        <v>56</v>
      </c>
      <c r="E18" s="36">
        <v>2</v>
      </c>
      <c r="F18" s="36" t="s">
        <v>57</v>
      </c>
      <c r="G18" s="36"/>
      <c r="H18" s="36"/>
      <c r="I18" s="36"/>
      <c r="J18" s="36"/>
    </row>
    <row r="19" spans="1:10" ht="29.1">
      <c r="A19" s="42">
        <f t="shared" si="0"/>
        <v>18</v>
      </c>
      <c r="B19" s="36" t="s">
        <v>10</v>
      </c>
      <c r="C19" s="36" t="s">
        <v>23</v>
      </c>
      <c r="D19" s="36" t="s">
        <v>59</v>
      </c>
      <c r="E19" s="36">
        <v>2</v>
      </c>
      <c r="F19" s="36" t="s">
        <v>60</v>
      </c>
      <c r="G19" s="36"/>
      <c r="H19" s="36"/>
      <c r="I19" s="36"/>
      <c r="J19" s="36"/>
    </row>
    <row r="20" spans="1:10">
      <c r="A20" s="42">
        <f t="shared" si="0"/>
        <v>19</v>
      </c>
      <c r="B20" s="36" t="s">
        <v>10</v>
      </c>
      <c r="C20" s="36" t="s">
        <v>23</v>
      </c>
      <c r="D20" s="36" t="s">
        <v>61</v>
      </c>
      <c r="E20" s="36">
        <v>2</v>
      </c>
      <c r="F20" s="36" t="s">
        <v>62</v>
      </c>
      <c r="G20" s="36"/>
      <c r="H20" s="36"/>
      <c r="I20" s="36"/>
      <c r="J20" s="36"/>
    </row>
    <row r="21" spans="1:10">
      <c r="A21" s="42">
        <f t="shared" si="0"/>
        <v>20</v>
      </c>
      <c r="B21" s="36" t="s">
        <v>10</v>
      </c>
      <c r="C21" s="36" t="s">
        <v>23</v>
      </c>
      <c r="D21" s="36" t="s">
        <v>63</v>
      </c>
      <c r="E21" s="36">
        <v>2</v>
      </c>
      <c r="F21" s="36" t="s">
        <v>64</v>
      </c>
      <c r="G21" s="36"/>
      <c r="H21" s="36"/>
      <c r="I21" s="36"/>
      <c r="J21" s="36"/>
    </row>
    <row r="22" spans="1:10">
      <c r="A22" s="42">
        <f t="shared" si="0"/>
        <v>21</v>
      </c>
      <c r="B22" s="36" t="s">
        <v>10</v>
      </c>
      <c r="C22" s="36" t="s">
        <v>23</v>
      </c>
      <c r="D22" s="36" t="s">
        <v>65</v>
      </c>
      <c r="E22" s="36">
        <v>3</v>
      </c>
      <c r="F22" s="36" t="s">
        <v>66</v>
      </c>
      <c r="G22" s="36"/>
      <c r="H22" s="36"/>
      <c r="I22" s="36"/>
      <c r="J22" s="36"/>
    </row>
    <row r="23" spans="1:10">
      <c r="A23" s="42">
        <f t="shared" si="0"/>
        <v>22</v>
      </c>
      <c r="B23" s="36" t="s">
        <v>10</v>
      </c>
      <c r="C23" s="36" t="s">
        <v>23</v>
      </c>
      <c r="D23" s="36" t="s">
        <v>67</v>
      </c>
      <c r="E23" s="36">
        <v>3</v>
      </c>
      <c r="F23" s="36" t="s">
        <v>68</v>
      </c>
      <c r="G23" s="36"/>
      <c r="H23" s="36"/>
      <c r="I23" s="36"/>
      <c r="J23" s="36"/>
    </row>
    <row r="24" spans="1:10">
      <c r="A24" s="42">
        <f t="shared" si="0"/>
        <v>23</v>
      </c>
      <c r="B24" s="36" t="s">
        <v>10</v>
      </c>
      <c r="C24" s="36" t="s">
        <v>23</v>
      </c>
      <c r="D24" s="36" t="s">
        <v>69</v>
      </c>
      <c r="E24" s="36">
        <v>3</v>
      </c>
      <c r="F24" s="36" t="s">
        <v>70</v>
      </c>
      <c r="G24" s="36"/>
      <c r="H24" s="36"/>
      <c r="I24" s="36"/>
      <c r="J24" s="36"/>
    </row>
    <row r="25" spans="1:10">
      <c r="A25" s="42">
        <f t="shared" si="0"/>
        <v>24</v>
      </c>
      <c r="B25" s="36" t="s">
        <v>10</v>
      </c>
      <c r="C25" s="36" t="s">
        <v>23</v>
      </c>
      <c r="D25" s="36" t="s">
        <v>71</v>
      </c>
      <c r="E25" s="36">
        <v>3</v>
      </c>
      <c r="F25" s="36" t="s">
        <v>72</v>
      </c>
      <c r="G25" s="36"/>
      <c r="H25" s="36"/>
      <c r="I25" s="36"/>
      <c r="J25" s="36"/>
    </row>
    <row r="26" spans="1:10">
      <c r="A26" s="42">
        <f t="shared" si="0"/>
        <v>25</v>
      </c>
      <c r="B26" s="36" t="s">
        <v>10</v>
      </c>
      <c r="C26" s="36" t="s">
        <v>23</v>
      </c>
      <c r="D26" s="36" t="s">
        <v>73</v>
      </c>
      <c r="E26" s="36">
        <v>4</v>
      </c>
      <c r="F26" s="36" t="s">
        <v>74</v>
      </c>
      <c r="G26" s="36"/>
      <c r="H26" s="36"/>
      <c r="I26" s="36"/>
      <c r="J26" s="36"/>
    </row>
    <row r="27" spans="1:10">
      <c r="A27" s="42">
        <f t="shared" si="0"/>
        <v>26</v>
      </c>
      <c r="B27" s="36" t="s">
        <v>10</v>
      </c>
      <c r="C27" s="36" t="s">
        <v>23</v>
      </c>
      <c r="D27" s="36" t="s">
        <v>75</v>
      </c>
      <c r="E27" s="36">
        <v>4</v>
      </c>
      <c r="F27" s="36" t="s">
        <v>76</v>
      </c>
      <c r="G27" s="36"/>
      <c r="H27" s="36"/>
      <c r="I27" s="36"/>
      <c r="J27" s="36"/>
    </row>
    <row r="28" spans="1:10" ht="29.1">
      <c r="A28" s="42">
        <f t="shared" si="0"/>
        <v>27</v>
      </c>
      <c r="B28" s="36" t="s">
        <v>10</v>
      </c>
      <c r="C28" s="36" t="s">
        <v>23</v>
      </c>
      <c r="D28" s="36" t="s">
        <v>77</v>
      </c>
      <c r="E28" s="36"/>
      <c r="F28" s="36" t="s">
        <v>78</v>
      </c>
      <c r="G28" s="6"/>
      <c r="H28" s="36"/>
      <c r="I28" s="36"/>
      <c r="J28" s="36"/>
    </row>
    <row r="29" spans="1:10" ht="33.950000000000003" customHeight="1">
      <c r="A29" s="42">
        <f t="shared" si="0"/>
        <v>28</v>
      </c>
      <c r="B29" s="36" t="s">
        <v>14</v>
      </c>
      <c r="C29" s="36" t="s">
        <v>23</v>
      </c>
      <c r="D29" s="36" t="s">
        <v>77</v>
      </c>
      <c r="E29" s="36"/>
      <c r="F29" s="36" t="s">
        <v>80</v>
      </c>
      <c r="G29" s="6" t="s">
        <v>363</v>
      </c>
      <c r="H29" s="36" t="s">
        <v>362</v>
      </c>
      <c r="I29" s="36" t="s">
        <v>28</v>
      </c>
      <c r="J29" s="36" t="s">
        <v>364</v>
      </c>
    </row>
    <row r="30" spans="1:10" ht="101.45">
      <c r="A30" s="42">
        <f t="shared" si="0"/>
        <v>29</v>
      </c>
      <c r="B30" s="36" t="s">
        <v>10</v>
      </c>
      <c r="C30" s="36" t="s">
        <v>81</v>
      </c>
      <c r="D30" s="36" t="s">
        <v>23</v>
      </c>
      <c r="E30" s="36" t="s">
        <v>23</v>
      </c>
      <c r="F30" s="36" t="s">
        <v>82</v>
      </c>
      <c r="G30" s="36"/>
      <c r="H30" s="36"/>
      <c r="I30" s="36"/>
      <c r="J30" s="36"/>
    </row>
    <row r="31" spans="1:10" ht="29.1">
      <c r="A31" s="42">
        <f t="shared" si="0"/>
        <v>30</v>
      </c>
      <c r="B31" s="36" t="s">
        <v>10</v>
      </c>
      <c r="C31" s="36" t="s">
        <v>81</v>
      </c>
      <c r="D31" s="36" t="s">
        <v>84</v>
      </c>
      <c r="E31" s="36" t="s">
        <v>23</v>
      </c>
      <c r="F31" s="36" t="s">
        <v>85</v>
      </c>
      <c r="G31" s="6"/>
      <c r="H31" s="36"/>
      <c r="I31" s="36"/>
      <c r="J31" s="36"/>
    </row>
    <row r="32" spans="1:10" ht="43.5">
      <c r="A32" s="42">
        <f t="shared" si="0"/>
        <v>31</v>
      </c>
      <c r="B32" s="36" t="s">
        <v>10</v>
      </c>
      <c r="C32" s="36" t="s">
        <v>81</v>
      </c>
      <c r="D32" s="36" t="s">
        <v>88</v>
      </c>
      <c r="E32" s="36" t="s">
        <v>23</v>
      </c>
      <c r="F32" s="36" t="s">
        <v>89</v>
      </c>
      <c r="G32" s="6"/>
      <c r="H32" s="6"/>
      <c r="I32" s="36"/>
      <c r="J32" s="36"/>
    </row>
    <row r="33" spans="1:10" ht="29.1">
      <c r="A33" s="42">
        <f t="shared" si="0"/>
        <v>32</v>
      </c>
      <c r="B33" s="36" t="s">
        <v>10</v>
      </c>
      <c r="C33" s="36" t="s">
        <v>81</v>
      </c>
      <c r="D33" s="36" t="s">
        <v>90</v>
      </c>
      <c r="E33" s="36" t="s">
        <v>91</v>
      </c>
      <c r="F33" s="36" t="s">
        <v>92</v>
      </c>
      <c r="G33" s="7"/>
      <c r="H33" s="36"/>
      <c r="I33" s="36"/>
      <c r="J33" s="36"/>
    </row>
    <row r="34" spans="1:10" ht="29.1">
      <c r="A34" s="42">
        <f t="shared" si="0"/>
        <v>33</v>
      </c>
      <c r="B34" s="36" t="s">
        <v>10</v>
      </c>
      <c r="C34" s="36" t="s">
        <v>81</v>
      </c>
      <c r="D34" s="36" t="s">
        <v>94</v>
      </c>
      <c r="E34" s="36" t="s">
        <v>95</v>
      </c>
      <c r="F34" s="36" t="s">
        <v>96</v>
      </c>
      <c r="G34" s="7"/>
      <c r="H34" s="36"/>
      <c r="I34" s="36"/>
      <c r="J34" s="36"/>
    </row>
    <row r="35" spans="1:10" ht="29.1">
      <c r="A35" s="42">
        <f t="shared" si="0"/>
        <v>34</v>
      </c>
      <c r="B35" s="36" t="s">
        <v>10</v>
      </c>
      <c r="C35" s="36" t="s">
        <v>81</v>
      </c>
      <c r="D35" s="36" t="s">
        <v>98</v>
      </c>
      <c r="E35" s="36" t="s">
        <v>99</v>
      </c>
      <c r="F35" s="36" t="s">
        <v>100</v>
      </c>
      <c r="G35" s="7"/>
      <c r="H35" s="36"/>
      <c r="I35" s="36"/>
      <c r="J35" s="36"/>
    </row>
    <row r="36" spans="1:10" ht="29.1">
      <c r="A36" s="42">
        <f t="shared" si="0"/>
        <v>35</v>
      </c>
      <c r="B36" s="36" t="s">
        <v>10</v>
      </c>
      <c r="C36" s="36" t="s">
        <v>81</v>
      </c>
      <c r="D36" s="36" t="s">
        <v>102</v>
      </c>
      <c r="E36" s="36" t="s">
        <v>103</v>
      </c>
      <c r="F36" s="36" t="s">
        <v>104</v>
      </c>
      <c r="G36" s="7"/>
      <c r="H36" s="36"/>
      <c r="I36" s="36"/>
      <c r="J36" s="36"/>
    </row>
    <row r="37" spans="1:10" ht="29.1">
      <c r="A37" s="42">
        <f t="shared" si="0"/>
        <v>36</v>
      </c>
      <c r="B37" s="36" t="s">
        <v>10</v>
      </c>
      <c r="C37" s="36" t="s">
        <v>81</v>
      </c>
      <c r="D37" s="36" t="s">
        <v>105</v>
      </c>
      <c r="E37" s="36" t="s">
        <v>106</v>
      </c>
      <c r="F37" s="36" t="s">
        <v>107</v>
      </c>
      <c r="G37" s="7"/>
      <c r="H37" s="36"/>
      <c r="I37" s="36"/>
      <c r="J37" s="36"/>
    </row>
    <row r="38" spans="1:10" ht="29.1">
      <c r="A38" s="42">
        <f t="shared" si="0"/>
        <v>37</v>
      </c>
      <c r="B38" s="36" t="s">
        <v>10</v>
      </c>
      <c r="C38" s="36" t="s">
        <v>81</v>
      </c>
      <c r="D38" s="36" t="s">
        <v>108</v>
      </c>
      <c r="E38" s="36" t="s">
        <v>109</v>
      </c>
      <c r="F38" s="36" t="s">
        <v>110</v>
      </c>
      <c r="G38" s="7"/>
      <c r="H38" s="36"/>
      <c r="I38" s="36"/>
      <c r="J38" s="36"/>
    </row>
    <row r="39" spans="1:10" ht="29.1">
      <c r="A39" s="42">
        <f t="shared" si="0"/>
        <v>38</v>
      </c>
      <c r="B39" s="36" t="s">
        <v>10</v>
      </c>
      <c r="C39" s="36" t="s">
        <v>81</v>
      </c>
      <c r="D39" s="36" t="s">
        <v>111</v>
      </c>
      <c r="E39" s="36" t="s">
        <v>112</v>
      </c>
      <c r="F39" s="36" t="s">
        <v>113</v>
      </c>
      <c r="G39" s="8"/>
      <c r="H39" s="6"/>
      <c r="I39" s="36"/>
      <c r="J39" s="36"/>
    </row>
    <row r="40" spans="1:10" ht="43.5">
      <c r="A40" s="42">
        <f t="shared" si="0"/>
        <v>39</v>
      </c>
      <c r="B40" s="36" t="s">
        <v>10</v>
      </c>
      <c r="C40" s="36" t="s">
        <v>81</v>
      </c>
      <c r="D40" s="36" t="s">
        <v>114</v>
      </c>
      <c r="E40" s="36" t="s">
        <v>115</v>
      </c>
      <c r="F40" s="36" t="s">
        <v>116</v>
      </c>
      <c r="G40" s="8"/>
      <c r="H40" s="36"/>
      <c r="I40" s="36"/>
      <c r="J40" s="36"/>
    </row>
    <row r="41" spans="1:10" ht="29.1">
      <c r="A41" s="42">
        <f t="shared" si="0"/>
        <v>40</v>
      </c>
      <c r="B41" s="36" t="s">
        <v>14</v>
      </c>
      <c r="C41" s="36" t="s">
        <v>81</v>
      </c>
      <c r="D41" s="36" t="s">
        <v>117</v>
      </c>
      <c r="E41" s="36"/>
      <c r="F41" s="36" t="s">
        <v>118</v>
      </c>
      <c r="G41" s="8" t="s">
        <v>365</v>
      </c>
      <c r="H41" s="36" t="s">
        <v>366</v>
      </c>
      <c r="I41" s="36" t="s">
        <v>352</v>
      </c>
      <c r="J41" s="36"/>
    </row>
    <row r="42" spans="1:10" ht="58.5" customHeight="1">
      <c r="A42" s="42">
        <f t="shared" si="0"/>
        <v>41</v>
      </c>
      <c r="B42" s="36" t="s">
        <v>14</v>
      </c>
      <c r="C42" s="36" t="s">
        <v>81</v>
      </c>
      <c r="D42" s="36" t="s">
        <v>119</v>
      </c>
      <c r="E42" s="36"/>
      <c r="F42" s="36" t="s">
        <v>120</v>
      </c>
      <c r="G42" s="8" t="s">
        <v>365</v>
      </c>
      <c r="H42" s="36" t="s">
        <v>367</v>
      </c>
      <c r="I42" s="36" t="s">
        <v>28</v>
      </c>
      <c r="J42" s="43" t="s">
        <v>368</v>
      </c>
    </row>
    <row r="43" spans="1:10" ht="72.599999999999994">
      <c r="A43" s="42">
        <f t="shared" si="0"/>
        <v>42</v>
      </c>
      <c r="B43" s="36" t="s">
        <v>14</v>
      </c>
      <c r="C43" s="36" t="s">
        <v>81</v>
      </c>
      <c r="D43" s="36" t="s">
        <v>122</v>
      </c>
      <c r="E43" s="36"/>
      <c r="F43" s="36" t="s">
        <v>123</v>
      </c>
      <c r="G43" s="8" t="s">
        <v>365</v>
      </c>
      <c r="H43" s="36" t="s">
        <v>367</v>
      </c>
      <c r="I43" s="36" t="s">
        <v>28</v>
      </c>
      <c r="J43" s="43" t="s">
        <v>369</v>
      </c>
    </row>
    <row r="44" spans="1:10" ht="29.1">
      <c r="A44" s="42">
        <f t="shared" si="0"/>
        <v>43</v>
      </c>
      <c r="B44" s="36" t="s">
        <v>14</v>
      </c>
      <c r="C44" s="36" t="s">
        <v>81</v>
      </c>
      <c r="D44" s="36" t="s">
        <v>84</v>
      </c>
      <c r="E44" s="36"/>
      <c r="F44" s="36" t="s">
        <v>124</v>
      </c>
      <c r="G44" s="8" t="s">
        <v>370</v>
      </c>
      <c r="H44" s="36" t="s">
        <v>371</v>
      </c>
      <c r="I44" s="36" t="s">
        <v>28</v>
      </c>
      <c r="J44" s="36" t="s">
        <v>372</v>
      </c>
    </row>
    <row r="45" spans="1:10" ht="29.1">
      <c r="A45" s="42">
        <f t="shared" si="0"/>
        <v>44</v>
      </c>
      <c r="B45" s="36" t="s">
        <v>14</v>
      </c>
      <c r="C45" s="36" t="s">
        <v>81</v>
      </c>
      <c r="D45" s="36" t="s">
        <v>84</v>
      </c>
      <c r="E45" s="36"/>
      <c r="F45" s="36" t="s">
        <v>126</v>
      </c>
      <c r="G45" s="8" t="s">
        <v>370</v>
      </c>
      <c r="H45" s="36" t="s">
        <v>373</v>
      </c>
      <c r="I45" s="36" t="s">
        <v>28</v>
      </c>
      <c r="J45" s="36" t="s">
        <v>372</v>
      </c>
    </row>
    <row r="46" spans="1:10" ht="72.599999999999994">
      <c r="A46" s="42">
        <f t="shared" si="0"/>
        <v>45</v>
      </c>
      <c r="B46" s="36" t="s">
        <v>14</v>
      </c>
      <c r="C46" s="36" t="s">
        <v>81</v>
      </c>
      <c r="D46" s="36" t="s">
        <v>84</v>
      </c>
      <c r="E46" s="36"/>
      <c r="F46" s="36" t="s">
        <v>128</v>
      </c>
      <c r="G46" s="8"/>
      <c r="H46" s="36" t="s">
        <v>374</v>
      </c>
      <c r="I46" s="36" t="s">
        <v>28</v>
      </c>
      <c r="J46" s="36" t="s">
        <v>372</v>
      </c>
    </row>
    <row r="47" spans="1:10" ht="72.599999999999994">
      <c r="A47" s="42">
        <f t="shared" si="0"/>
        <v>46</v>
      </c>
      <c r="B47" s="36" t="s">
        <v>14</v>
      </c>
      <c r="C47" s="36" t="s">
        <v>81</v>
      </c>
      <c r="D47" s="36" t="s">
        <v>84</v>
      </c>
      <c r="E47" s="36"/>
      <c r="F47" s="36" t="s">
        <v>131</v>
      </c>
      <c r="G47" s="36" t="s">
        <v>375</v>
      </c>
      <c r="H47" s="36" t="s">
        <v>376</v>
      </c>
      <c r="I47" s="36" t="s">
        <v>28</v>
      </c>
      <c r="J47" s="36" t="s">
        <v>372</v>
      </c>
    </row>
    <row r="48" spans="1:10" ht="29.1">
      <c r="A48" s="42">
        <f t="shared" si="0"/>
        <v>47</v>
      </c>
      <c r="B48" s="36" t="s">
        <v>14</v>
      </c>
      <c r="C48" s="36" t="s">
        <v>81</v>
      </c>
      <c r="D48" s="36" t="s">
        <v>84</v>
      </c>
      <c r="E48" s="36"/>
      <c r="F48" s="36" t="s">
        <v>134</v>
      </c>
      <c r="G48" s="36"/>
      <c r="H48" s="36" t="s">
        <v>377</v>
      </c>
      <c r="I48" s="36" t="s">
        <v>28</v>
      </c>
      <c r="J48" s="36" t="s">
        <v>378</v>
      </c>
    </row>
    <row r="49" spans="1:10" ht="43.5">
      <c r="A49" s="42">
        <f t="shared" si="0"/>
        <v>48</v>
      </c>
      <c r="B49" s="36" t="s">
        <v>14</v>
      </c>
      <c r="C49" s="36" t="s">
        <v>81</v>
      </c>
      <c r="D49" s="36" t="s">
        <v>84</v>
      </c>
      <c r="E49" s="36"/>
      <c r="F49" s="36" t="s">
        <v>136</v>
      </c>
      <c r="G49" s="36" t="s">
        <v>379</v>
      </c>
      <c r="H49" s="36" t="s">
        <v>377</v>
      </c>
      <c r="I49" s="36" t="s">
        <v>28</v>
      </c>
      <c r="J49" s="36" t="s">
        <v>378</v>
      </c>
    </row>
    <row r="50" spans="1:10" ht="29.1">
      <c r="A50" s="42">
        <f t="shared" si="0"/>
        <v>49</v>
      </c>
      <c r="B50" s="36" t="s">
        <v>14</v>
      </c>
      <c r="C50" s="36" t="s">
        <v>81</v>
      </c>
      <c r="D50" s="36" t="s">
        <v>88</v>
      </c>
      <c r="E50" s="36"/>
      <c r="F50" s="36" t="s">
        <v>137</v>
      </c>
      <c r="G50" s="36" t="s">
        <v>379</v>
      </c>
      <c r="H50" s="36" t="s">
        <v>380</v>
      </c>
      <c r="I50" s="36" t="s">
        <v>28</v>
      </c>
      <c r="J50" s="36" t="s">
        <v>381</v>
      </c>
    </row>
    <row r="51" spans="1:10" ht="69.95" customHeight="1">
      <c r="A51" s="42">
        <f t="shared" si="0"/>
        <v>50</v>
      </c>
      <c r="B51" s="36" t="s">
        <v>14</v>
      </c>
      <c r="C51" s="36" t="s">
        <v>81</v>
      </c>
      <c r="D51" s="36" t="s">
        <v>88</v>
      </c>
      <c r="E51" s="36"/>
      <c r="F51" s="36" t="s">
        <v>138</v>
      </c>
      <c r="G51" s="36" t="s">
        <v>382</v>
      </c>
      <c r="H51" s="12" t="s">
        <v>383</v>
      </c>
      <c r="I51" s="36" t="s">
        <v>28</v>
      </c>
      <c r="J51" s="36" t="s">
        <v>384</v>
      </c>
    </row>
    <row r="52" spans="1:10" ht="290.10000000000002">
      <c r="A52" s="42">
        <f t="shared" si="0"/>
        <v>51</v>
      </c>
      <c r="B52" s="36" t="s">
        <v>14</v>
      </c>
      <c r="C52" s="36" t="s">
        <v>81</v>
      </c>
      <c r="D52" s="36" t="s">
        <v>88</v>
      </c>
      <c r="E52" s="36"/>
      <c r="F52" s="36" t="s">
        <v>385</v>
      </c>
      <c r="G52" s="7" t="s">
        <v>386</v>
      </c>
      <c r="H52" s="36" t="s">
        <v>387</v>
      </c>
      <c r="I52" s="36" t="s">
        <v>28</v>
      </c>
      <c r="J52" s="36" t="s">
        <v>388</v>
      </c>
    </row>
    <row r="53" spans="1:10" ht="363.6" customHeight="1">
      <c r="A53" s="42">
        <f t="shared" si="0"/>
        <v>52</v>
      </c>
      <c r="B53" s="36" t="s">
        <v>14</v>
      </c>
      <c r="C53" s="36" t="s">
        <v>81</v>
      </c>
      <c r="D53" s="36" t="s">
        <v>88</v>
      </c>
      <c r="E53" s="36"/>
      <c r="F53" s="36" t="s">
        <v>389</v>
      </c>
      <c r="G53" s="7" t="s">
        <v>390</v>
      </c>
      <c r="H53" s="36" t="s">
        <v>391</v>
      </c>
      <c r="I53" s="36" t="s">
        <v>28</v>
      </c>
      <c r="J53" s="36" t="s">
        <v>392</v>
      </c>
    </row>
    <row r="54" spans="1:10" ht="29.1">
      <c r="A54" s="42">
        <f t="shared" si="0"/>
        <v>53</v>
      </c>
      <c r="B54" s="36" t="s">
        <v>14</v>
      </c>
      <c r="C54" s="36" t="s">
        <v>81</v>
      </c>
      <c r="D54" s="36" t="s">
        <v>88</v>
      </c>
      <c r="E54" s="36"/>
      <c r="F54" s="36" t="s">
        <v>142</v>
      </c>
      <c r="G54" s="7" t="s">
        <v>375</v>
      </c>
      <c r="H54" s="36"/>
      <c r="I54" s="36"/>
      <c r="J54" s="36"/>
    </row>
    <row r="55" spans="1:10" ht="43.5">
      <c r="A55" s="42">
        <f t="shared" si="0"/>
        <v>54</v>
      </c>
      <c r="B55" s="36" t="s">
        <v>14</v>
      </c>
      <c r="C55" s="36" t="s">
        <v>81</v>
      </c>
      <c r="D55" s="36" t="s">
        <v>88</v>
      </c>
      <c r="E55" s="36"/>
      <c r="F55" s="36" t="s">
        <v>143</v>
      </c>
      <c r="G55" s="7" t="s">
        <v>375</v>
      </c>
      <c r="H55" s="36"/>
      <c r="I55" s="36"/>
      <c r="J55" s="36"/>
    </row>
    <row r="56" spans="1:10" ht="29.1">
      <c r="A56" s="42">
        <f t="shared" si="0"/>
        <v>55</v>
      </c>
      <c r="B56" s="36" t="s">
        <v>14</v>
      </c>
      <c r="C56" s="36" t="s">
        <v>81</v>
      </c>
      <c r="D56" s="36" t="s">
        <v>144</v>
      </c>
      <c r="E56" s="36"/>
      <c r="F56" s="36" t="s">
        <v>124</v>
      </c>
      <c r="G56" s="36" t="s">
        <v>375</v>
      </c>
      <c r="H56" s="36"/>
      <c r="I56" s="36"/>
      <c r="J56" s="36"/>
    </row>
    <row r="57" spans="1:10" ht="29.1">
      <c r="A57" s="42">
        <f t="shared" si="0"/>
        <v>56</v>
      </c>
      <c r="B57" s="36" t="s">
        <v>14</v>
      </c>
      <c r="C57" s="36" t="s">
        <v>81</v>
      </c>
      <c r="D57" s="36" t="s">
        <v>144</v>
      </c>
      <c r="E57" s="36"/>
      <c r="F57" s="36" t="s">
        <v>126</v>
      </c>
      <c r="G57" s="7" t="s">
        <v>375</v>
      </c>
      <c r="H57" s="36"/>
      <c r="I57" s="36"/>
      <c r="J57" s="36"/>
    </row>
    <row r="58" spans="1:10" ht="72.599999999999994">
      <c r="A58" s="42">
        <f t="shared" si="0"/>
        <v>57</v>
      </c>
      <c r="B58" s="36" t="s">
        <v>14</v>
      </c>
      <c r="C58" s="36" t="s">
        <v>81</v>
      </c>
      <c r="D58" s="36" t="s">
        <v>144</v>
      </c>
      <c r="E58" s="36"/>
      <c r="F58" s="36" t="s">
        <v>128</v>
      </c>
      <c r="G58" s="7" t="s">
        <v>375</v>
      </c>
      <c r="H58" s="36"/>
      <c r="I58" s="36"/>
      <c r="J58" s="36"/>
    </row>
    <row r="59" spans="1:10" ht="72.599999999999994">
      <c r="A59" s="42">
        <f t="shared" si="0"/>
        <v>58</v>
      </c>
      <c r="B59" s="36" t="s">
        <v>14</v>
      </c>
      <c r="C59" s="36" t="s">
        <v>81</v>
      </c>
      <c r="D59" s="36" t="s">
        <v>144</v>
      </c>
      <c r="E59" s="36"/>
      <c r="F59" s="36" t="s">
        <v>131</v>
      </c>
      <c r="G59" s="36" t="s">
        <v>375</v>
      </c>
      <c r="H59" s="36"/>
      <c r="I59" s="36"/>
      <c r="J59" s="36"/>
    </row>
    <row r="60" spans="1:10" ht="29.1">
      <c r="A60" s="42">
        <f t="shared" si="0"/>
        <v>59</v>
      </c>
      <c r="B60" s="36" t="s">
        <v>14</v>
      </c>
      <c r="C60" s="36" t="s">
        <v>81</v>
      </c>
      <c r="D60" s="36" t="s">
        <v>148</v>
      </c>
      <c r="E60" s="36"/>
      <c r="F60" s="36" t="s">
        <v>137</v>
      </c>
      <c r="G60" s="36" t="s">
        <v>375</v>
      </c>
      <c r="H60" s="36"/>
      <c r="I60" s="36"/>
      <c r="J60" s="36"/>
    </row>
    <row r="61" spans="1:10" ht="29.1">
      <c r="A61" s="42">
        <f t="shared" si="0"/>
        <v>60</v>
      </c>
      <c r="B61" s="36" t="s">
        <v>14</v>
      </c>
      <c r="C61" s="36" t="s">
        <v>81</v>
      </c>
      <c r="D61" s="36" t="s">
        <v>148</v>
      </c>
      <c r="E61" s="36"/>
      <c r="F61" s="36" t="s">
        <v>138</v>
      </c>
      <c r="G61" s="7" t="s">
        <v>375</v>
      </c>
      <c r="H61" s="36"/>
      <c r="I61" s="36"/>
      <c r="J61" s="36"/>
    </row>
    <row r="62" spans="1:10" ht="29.1">
      <c r="A62" s="42">
        <f t="shared" si="0"/>
        <v>61</v>
      </c>
      <c r="B62" s="36" t="s">
        <v>14</v>
      </c>
      <c r="C62" s="36" t="s">
        <v>81</v>
      </c>
      <c r="D62" s="36" t="s">
        <v>148</v>
      </c>
      <c r="E62" s="36"/>
      <c r="F62" s="36" t="s">
        <v>140</v>
      </c>
      <c r="G62" s="7" t="s">
        <v>375</v>
      </c>
      <c r="H62" s="36"/>
      <c r="I62" s="36"/>
      <c r="J62" s="36"/>
    </row>
    <row r="63" spans="1:10" ht="29.1">
      <c r="A63" s="42">
        <f t="shared" si="0"/>
        <v>62</v>
      </c>
      <c r="B63" s="36" t="s">
        <v>14</v>
      </c>
      <c r="C63" s="36" t="s">
        <v>81</v>
      </c>
      <c r="D63" s="36" t="s">
        <v>148</v>
      </c>
      <c r="E63" s="36"/>
      <c r="F63" s="36" t="s">
        <v>141</v>
      </c>
      <c r="G63" s="36" t="s">
        <v>375</v>
      </c>
      <c r="H63" s="36"/>
      <c r="I63" s="36"/>
      <c r="J63" s="36"/>
    </row>
    <row r="64" spans="1:10" ht="72.599999999999994">
      <c r="A64" s="42">
        <f t="shared" si="0"/>
        <v>63</v>
      </c>
      <c r="B64" s="36" t="s">
        <v>14</v>
      </c>
      <c r="C64" s="36" t="s">
        <v>81</v>
      </c>
      <c r="D64" s="36" t="s">
        <v>149</v>
      </c>
      <c r="E64" s="36"/>
      <c r="F64" s="36" t="s">
        <v>393</v>
      </c>
      <c r="G64" s="36" t="s">
        <v>394</v>
      </c>
      <c r="H64" s="36" t="s">
        <v>395</v>
      </c>
      <c r="I64" s="36" t="s">
        <v>28</v>
      </c>
      <c r="J64" s="36" t="s">
        <v>396</v>
      </c>
    </row>
    <row r="65" spans="1:10" ht="30.95" customHeight="1">
      <c r="A65" s="42">
        <f t="shared" si="0"/>
        <v>64</v>
      </c>
      <c r="B65" s="36" t="s">
        <v>14</v>
      </c>
      <c r="C65" s="36" t="s">
        <v>81</v>
      </c>
      <c r="D65" s="36" t="s">
        <v>149</v>
      </c>
      <c r="E65" s="36"/>
      <c r="F65" s="36" t="s">
        <v>152</v>
      </c>
      <c r="G65" s="36" t="s">
        <v>397</v>
      </c>
      <c r="H65" s="36" t="s">
        <v>398</v>
      </c>
      <c r="I65" s="36" t="s">
        <v>352</v>
      </c>
      <c r="J65" s="36"/>
    </row>
    <row r="66" spans="1:10" ht="27.95" customHeight="1">
      <c r="A66" s="42">
        <f t="shared" ref="A66:A129" si="1">ROW()-1</f>
        <v>65</v>
      </c>
      <c r="B66" s="36" t="s">
        <v>14</v>
      </c>
      <c r="C66" s="36" t="s">
        <v>81</v>
      </c>
      <c r="D66" s="36" t="s">
        <v>149</v>
      </c>
      <c r="E66" s="36"/>
      <c r="F66" s="36" t="s">
        <v>154</v>
      </c>
      <c r="G66" s="36" t="s">
        <v>399</v>
      </c>
      <c r="H66" s="36" t="s">
        <v>400</v>
      </c>
      <c r="I66" s="36" t="s">
        <v>28</v>
      </c>
      <c r="J66" s="36"/>
    </row>
    <row r="67" spans="1:10" ht="72.95" customHeight="1">
      <c r="A67" s="42">
        <f t="shared" si="1"/>
        <v>66</v>
      </c>
      <c r="B67" s="36" t="s">
        <v>14</v>
      </c>
      <c r="C67" s="36" t="s">
        <v>81</v>
      </c>
      <c r="D67" s="36" t="s">
        <v>149</v>
      </c>
      <c r="E67" s="36"/>
      <c r="F67" s="36" t="s">
        <v>156</v>
      </c>
      <c r="G67" s="36" t="s">
        <v>375</v>
      </c>
      <c r="H67" s="36"/>
      <c r="I67" s="36"/>
      <c r="J67" s="36"/>
    </row>
    <row r="68" spans="1:10">
      <c r="A68" s="42">
        <f t="shared" si="1"/>
        <v>67</v>
      </c>
      <c r="B68" s="36" t="s">
        <v>14</v>
      </c>
      <c r="C68" s="36" t="s">
        <v>81</v>
      </c>
      <c r="D68" s="36" t="s">
        <v>149</v>
      </c>
      <c r="E68" s="36"/>
      <c r="F68" s="36" t="s">
        <v>160</v>
      </c>
      <c r="G68" s="36" t="s">
        <v>375</v>
      </c>
      <c r="H68" s="36"/>
      <c r="I68" s="36"/>
      <c r="J68" s="36"/>
    </row>
    <row r="69" spans="1:10" ht="29.1">
      <c r="A69" s="42">
        <f t="shared" si="1"/>
        <v>68</v>
      </c>
      <c r="B69" s="36" t="s">
        <v>14</v>
      </c>
      <c r="C69" s="36" t="s">
        <v>81</v>
      </c>
      <c r="D69" s="36" t="s">
        <v>149</v>
      </c>
      <c r="E69" s="36"/>
      <c r="F69" s="36" t="s">
        <v>162</v>
      </c>
      <c r="G69" s="36" t="s">
        <v>375</v>
      </c>
      <c r="H69" s="36"/>
      <c r="I69" s="36"/>
      <c r="J69" s="36"/>
    </row>
    <row r="70" spans="1:10" ht="43.5">
      <c r="A70" s="42">
        <f t="shared" si="1"/>
        <v>69</v>
      </c>
      <c r="B70" s="36" t="s">
        <v>14</v>
      </c>
      <c r="C70" s="36" t="s">
        <v>81</v>
      </c>
      <c r="D70" s="36" t="s">
        <v>149</v>
      </c>
      <c r="E70" s="36"/>
      <c r="F70" s="36" t="s">
        <v>164</v>
      </c>
      <c r="G70" s="36" t="s">
        <v>375</v>
      </c>
      <c r="H70" s="36"/>
      <c r="I70" s="36"/>
      <c r="J70" s="36"/>
    </row>
    <row r="71" spans="1:10" ht="29.1">
      <c r="A71" s="42">
        <f t="shared" si="1"/>
        <v>70</v>
      </c>
      <c r="B71" s="36" t="s">
        <v>14</v>
      </c>
      <c r="C71" s="36" t="s">
        <v>81</v>
      </c>
      <c r="D71" s="36" t="s">
        <v>165</v>
      </c>
      <c r="E71" s="36"/>
      <c r="F71" s="36" t="s">
        <v>166</v>
      </c>
      <c r="G71" s="7" t="s">
        <v>375</v>
      </c>
      <c r="H71" s="36"/>
      <c r="I71" s="36"/>
      <c r="J71" s="36"/>
    </row>
    <row r="72" spans="1:10" ht="29.1">
      <c r="A72" s="42">
        <f t="shared" si="1"/>
        <v>71</v>
      </c>
      <c r="B72" s="36" t="s">
        <v>14</v>
      </c>
      <c r="C72" s="36" t="s">
        <v>81</v>
      </c>
      <c r="D72" s="36" t="s">
        <v>165</v>
      </c>
      <c r="E72" s="36"/>
      <c r="F72" s="36" t="s">
        <v>168</v>
      </c>
      <c r="G72" s="36" t="s">
        <v>375</v>
      </c>
      <c r="H72" s="36"/>
      <c r="I72" s="36"/>
      <c r="J72" s="36"/>
    </row>
    <row r="73" spans="1:10" ht="29.1">
      <c r="A73" s="42">
        <f t="shared" si="1"/>
        <v>72</v>
      </c>
      <c r="B73" s="36" t="s">
        <v>10</v>
      </c>
      <c r="C73" s="36" t="s">
        <v>170</v>
      </c>
      <c r="D73" s="36" t="s">
        <v>23</v>
      </c>
      <c r="E73" s="36" t="s">
        <v>23</v>
      </c>
      <c r="F73" s="36" t="s">
        <v>171</v>
      </c>
      <c r="G73" s="36"/>
      <c r="H73" s="36"/>
      <c r="I73" s="36"/>
      <c r="J73" s="36"/>
    </row>
    <row r="74" spans="1:10" ht="29.1">
      <c r="A74" s="42">
        <f t="shared" si="1"/>
        <v>73</v>
      </c>
      <c r="B74" s="36" t="s">
        <v>10</v>
      </c>
      <c r="C74" s="36" t="s">
        <v>170</v>
      </c>
      <c r="D74" s="36" t="s">
        <v>173</v>
      </c>
      <c r="E74" s="36">
        <v>1</v>
      </c>
      <c r="F74" s="36" t="s">
        <v>174</v>
      </c>
      <c r="G74" s="36"/>
      <c r="H74" s="36"/>
      <c r="I74" s="36"/>
      <c r="J74" s="36"/>
    </row>
    <row r="75" spans="1:10" ht="29.1">
      <c r="A75" s="42">
        <f t="shared" si="1"/>
        <v>74</v>
      </c>
      <c r="B75" s="36" t="s">
        <v>10</v>
      </c>
      <c r="C75" s="36" t="s">
        <v>170</v>
      </c>
      <c r="D75" s="36" t="s">
        <v>176</v>
      </c>
      <c r="E75" s="36">
        <v>2</v>
      </c>
      <c r="F75" s="36" t="s">
        <v>177</v>
      </c>
      <c r="G75" s="36"/>
      <c r="H75" s="36"/>
      <c r="I75" s="36"/>
      <c r="J75" s="36"/>
    </row>
    <row r="76" spans="1:10" ht="29.1">
      <c r="A76" s="42">
        <f t="shared" si="1"/>
        <v>75</v>
      </c>
      <c r="B76" s="36" t="s">
        <v>10</v>
      </c>
      <c r="C76" s="36" t="s">
        <v>170</v>
      </c>
      <c r="D76" s="36" t="s">
        <v>178</v>
      </c>
      <c r="E76" s="36">
        <v>3</v>
      </c>
      <c r="F76" s="36" t="s">
        <v>179</v>
      </c>
      <c r="G76" s="36"/>
      <c r="H76" s="36"/>
      <c r="I76" s="36"/>
      <c r="J76" s="36"/>
    </row>
    <row r="77" spans="1:10" ht="57.95">
      <c r="A77" s="42">
        <f t="shared" si="1"/>
        <v>76</v>
      </c>
      <c r="B77" s="36" t="s">
        <v>10</v>
      </c>
      <c r="C77" s="36" t="s">
        <v>170</v>
      </c>
      <c r="D77" s="36" t="s">
        <v>180</v>
      </c>
      <c r="E77" s="36">
        <v>4</v>
      </c>
      <c r="F77" s="36" t="s">
        <v>181</v>
      </c>
      <c r="G77" s="36"/>
      <c r="H77" s="36"/>
      <c r="I77" s="36"/>
      <c r="J77" s="36"/>
    </row>
    <row r="78" spans="1:10" ht="29.1">
      <c r="A78" s="42">
        <f t="shared" si="1"/>
        <v>77</v>
      </c>
      <c r="B78" s="36" t="s">
        <v>10</v>
      </c>
      <c r="C78" s="36" t="s">
        <v>170</v>
      </c>
      <c r="D78" s="36" t="s">
        <v>183</v>
      </c>
      <c r="E78" s="36">
        <v>5</v>
      </c>
      <c r="F78" s="36" t="s">
        <v>184</v>
      </c>
      <c r="G78" s="36"/>
      <c r="H78" s="36"/>
      <c r="I78" s="36"/>
      <c r="J78" s="36"/>
    </row>
    <row r="79" spans="1:10" ht="43.5">
      <c r="A79" s="42">
        <f t="shared" si="1"/>
        <v>78</v>
      </c>
      <c r="B79" s="36" t="s">
        <v>10</v>
      </c>
      <c r="C79" s="36" t="s">
        <v>185</v>
      </c>
      <c r="D79" s="36" t="s">
        <v>186</v>
      </c>
      <c r="E79" s="36">
        <v>1</v>
      </c>
      <c r="F79" s="36" t="s">
        <v>187</v>
      </c>
      <c r="G79" s="36"/>
      <c r="H79" s="36"/>
      <c r="I79" s="36"/>
      <c r="J79" s="36"/>
    </row>
    <row r="80" spans="1:10" ht="43.5">
      <c r="A80" s="42">
        <f t="shared" si="1"/>
        <v>79</v>
      </c>
      <c r="B80" s="36" t="s">
        <v>10</v>
      </c>
      <c r="C80" s="36" t="s">
        <v>185</v>
      </c>
      <c r="D80" s="36" t="s">
        <v>189</v>
      </c>
      <c r="E80" s="36">
        <v>2</v>
      </c>
      <c r="F80" s="36" t="s">
        <v>190</v>
      </c>
      <c r="G80" s="36"/>
      <c r="H80" s="36"/>
      <c r="I80" s="36"/>
      <c r="J80" s="36"/>
    </row>
    <row r="81" spans="1:10" ht="43.5">
      <c r="A81" s="42">
        <f t="shared" si="1"/>
        <v>80</v>
      </c>
      <c r="B81" s="36" t="s">
        <v>10</v>
      </c>
      <c r="C81" s="36" t="s">
        <v>185</v>
      </c>
      <c r="D81" s="36" t="s">
        <v>191</v>
      </c>
      <c r="E81" s="36">
        <v>1</v>
      </c>
      <c r="F81" s="36" t="s">
        <v>192</v>
      </c>
      <c r="G81" s="36"/>
      <c r="H81" s="36"/>
      <c r="I81" s="36"/>
      <c r="J81" s="36"/>
    </row>
    <row r="82" spans="1:10">
      <c r="A82" s="42">
        <f t="shared" si="1"/>
        <v>81</v>
      </c>
      <c r="B82" s="36" t="s">
        <v>10</v>
      </c>
      <c r="C82" s="36" t="s">
        <v>194</v>
      </c>
      <c r="D82" s="36" t="s">
        <v>23</v>
      </c>
      <c r="E82" s="36" t="s">
        <v>23</v>
      </c>
      <c r="F82" s="36" t="s">
        <v>171</v>
      </c>
      <c r="G82" s="36"/>
      <c r="H82" s="36"/>
      <c r="I82" s="36"/>
      <c r="J82" s="36"/>
    </row>
    <row r="83" spans="1:10" ht="43.5">
      <c r="A83" s="42">
        <f t="shared" si="1"/>
        <v>82</v>
      </c>
      <c r="B83" s="36" t="s">
        <v>10</v>
      </c>
      <c r="C83" s="36" t="s">
        <v>194</v>
      </c>
      <c r="D83" s="36" t="s">
        <v>191</v>
      </c>
      <c r="E83" s="36">
        <v>1</v>
      </c>
      <c r="F83" s="36" t="s">
        <v>197</v>
      </c>
      <c r="G83" s="36"/>
      <c r="H83" s="36"/>
      <c r="I83" s="36"/>
      <c r="J83" s="36"/>
    </row>
    <row r="84" spans="1:10">
      <c r="A84" s="42">
        <f t="shared" si="1"/>
        <v>83</v>
      </c>
      <c r="B84" s="36" t="s">
        <v>10</v>
      </c>
      <c r="C84" s="36" t="s">
        <v>198</v>
      </c>
      <c r="D84" s="36" t="s">
        <v>23</v>
      </c>
      <c r="E84" s="36" t="s">
        <v>23</v>
      </c>
      <c r="F84" s="36" t="s">
        <v>171</v>
      </c>
      <c r="G84" s="36"/>
      <c r="H84" s="36"/>
      <c r="I84" s="36"/>
      <c r="J84" s="36"/>
    </row>
    <row r="85" spans="1:10" ht="29.1">
      <c r="A85" s="42">
        <f t="shared" si="1"/>
        <v>84</v>
      </c>
      <c r="B85" s="36" t="s">
        <v>10</v>
      </c>
      <c r="C85" s="36" t="s">
        <v>198</v>
      </c>
      <c r="D85" s="36" t="s">
        <v>199</v>
      </c>
      <c r="E85" s="36">
        <v>1</v>
      </c>
      <c r="F85" s="36" t="s">
        <v>200</v>
      </c>
      <c r="G85" s="36"/>
      <c r="H85" s="36"/>
      <c r="I85" s="36"/>
      <c r="J85" s="36"/>
    </row>
    <row r="86" spans="1:10" ht="29.1">
      <c r="A86" s="42">
        <f t="shared" si="1"/>
        <v>85</v>
      </c>
      <c r="B86" s="36" t="s">
        <v>10</v>
      </c>
      <c r="C86" s="36" t="s">
        <v>202</v>
      </c>
      <c r="D86" s="36" t="s">
        <v>203</v>
      </c>
      <c r="E86" s="36">
        <v>1</v>
      </c>
      <c r="F86" s="36" t="s">
        <v>204</v>
      </c>
      <c r="G86" s="36"/>
      <c r="H86" s="36"/>
      <c r="I86" s="36"/>
      <c r="J86" s="36"/>
    </row>
    <row r="87" spans="1:10" ht="29.1">
      <c r="A87" s="42">
        <f t="shared" si="1"/>
        <v>86</v>
      </c>
      <c r="B87" s="36" t="s">
        <v>10</v>
      </c>
      <c r="C87" s="36" t="s">
        <v>202</v>
      </c>
      <c r="D87" s="36" t="s">
        <v>206</v>
      </c>
      <c r="E87" s="36">
        <v>2</v>
      </c>
      <c r="F87" s="36" t="s">
        <v>207</v>
      </c>
      <c r="G87" s="36"/>
      <c r="H87" s="36"/>
      <c r="I87" s="36"/>
      <c r="J87" s="36"/>
    </row>
    <row r="88" spans="1:10" ht="29.1">
      <c r="A88" s="42">
        <f t="shared" si="1"/>
        <v>87</v>
      </c>
      <c r="B88" s="36" t="s">
        <v>10</v>
      </c>
      <c r="C88" s="36" t="s">
        <v>202</v>
      </c>
      <c r="D88" s="36" t="s">
        <v>208</v>
      </c>
      <c r="E88" s="36">
        <v>3</v>
      </c>
      <c r="F88" s="36" t="s">
        <v>209</v>
      </c>
      <c r="G88" s="36"/>
      <c r="H88" s="36"/>
      <c r="I88" s="36"/>
      <c r="J88" s="36"/>
    </row>
    <row r="89" spans="1:10" ht="57.95">
      <c r="A89" s="42">
        <f t="shared" si="1"/>
        <v>88</v>
      </c>
      <c r="B89" s="36" t="s">
        <v>10</v>
      </c>
      <c r="C89" s="36" t="s">
        <v>210</v>
      </c>
      <c r="D89" s="36" t="s">
        <v>211</v>
      </c>
      <c r="E89" s="36" t="s">
        <v>91</v>
      </c>
      <c r="F89" s="36" t="s">
        <v>212</v>
      </c>
      <c r="G89" s="36"/>
      <c r="H89" s="36"/>
      <c r="I89" s="36"/>
      <c r="J89" s="36"/>
    </row>
    <row r="90" spans="1:10" ht="43.5">
      <c r="A90" s="42">
        <f t="shared" si="1"/>
        <v>89</v>
      </c>
      <c r="B90" s="36" t="s">
        <v>10</v>
      </c>
      <c r="C90" s="36" t="s">
        <v>210</v>
      </c>
      <c r="D90" s="36" t="s">
        <v>214</v>
      </c>
      <c r="E90" s="36" t="s">
        <v>95</v>
      </c>
      <c r="F90" s="36" t="s">
        <v>215</v>
      </c>
      <c r="G90" s="36"/>
      <c r="H90" s="36"/>
      <c r="I90" s="36"/>
      <c r="J90" s="36"/>
    </row>
    <row r="91" spans="1:10" ht="57.95">
      <c r="A91" s="42">
        <f t="shared" si="1"/>
        <v>90</v>
      </c>
      <c r="B91" s="36" t="s">
        <v>10</v>
      </c>
      <c r="C91" s="36" t="s">
        <v>210</v>
      </c>
      <c r="D91" s="36" t="s">
        <v>216</v>
      </c>
      <c r="E91" s="36" t="s">
        <v>99</v>
      </c>
      <c r="F91" s="36" t="s">
        <v>217</v>
      </c>
      <c r="G91" s="36"/>
      <c r="H91" s="36"/>
      <c r="I91" s="36"/>
      <c r="J91" s="36"/>
    </row>
    <row r="92" spans="1:10">
      <c r="A92" s="42">
        <f t="shared" si="1"/>
        <v>91</v>
      </c>
      <c r="B92" s="36" t="s">
        <v>10</v>
      </c>
      <c r="C92" s="36" t="s">
        <v>218</v>
      </c>
      <c r="D92" s="36" t="s">
        <v>23</v>
      </c>
      <c r="E92" s="36" t="s">
        <v>23</v>
      </c>
      <c r="F92" s="36" t="s">
        <v>219</v>
      </c>
      <c r="G92" s="36"/>
      <c r="H92" s="36"/>
      <c r="I92" s="36"/>
      <c r="J92" s="36"/>
    </row>
    <row r="93" spans="1:10" ht="43.5">
      <c r="A93" s="42">
        <f t="shared" si="1"/>
        <v>92</v>
      </c>
      <c r="B93" s="36" t="s">
        <v>10</v>
      </c>
      <c r="C93" s="36" t="s">
        <v>218</v>
      </c>
      <c r="D93" s="36" t="s">
        <v>220</v>
      </c>
      <c r="E93" s="36" t="s">
        <v>91</v>
      </c>
      <c r="F93" s="36" t="s">
        <v>221</v>
      </c>
      <c r="G93" s="36"/>
      <c r="H93" s="36"/>
      <c r="I93" s="36"/>
      <c r="J93" s="36"/>
    </row>
    <row r="94" spans="1:10" ht="43.5">
      <c r="A94" s="42">
        <f t="shared" si="1"/>
        <v>93</v>
      </c>
      <c r="B94" s="36" t="s">
        <v>10</v>
      </c>
      <c r="C94" s="36" t="s">
        <v>218</v>
      </c>
      <c r="D94" s="36" t="s">
        <v>67</v>
      </c>
      <c r="E94" s="36" t="s">
        <v>95</v>
      </c>
      <c r="F94" s="36" t="s">
        <v>223</v>
      </c>
      <c r="G94" s="36"/>
      <c r="H94" s="36"/>
      <c r="I94" s="36"/>
      <c r="J94" s="36"/>
    </row>
    <row r="95" spans="1:10" ht="43.5">
      <c r="A95" s="42">
        <f t="shared" si="1"/>
        <v>94</v>
      </c>
      <c r="B95" s="36" t="s">
        <v>10</v>
      </c>
      <c r="C95" s="36" t="s">
        <v>218</v>
      </c>
      <c r="D95" s="36" t="s">
        <v>224</v>
      </c>
      <c r="E95" s="36" t="s">
        <v>99</v>
      </c>
      <c r="F95" s="36" t="s">
        <v>225</v>
      </c>
      <c r="G95" s="36"/>
      <c r="H95" s="36"/>
      <c r="I95" s="36"/>
      <c r="J95" s="36"/>
    </row>
    <row r="96" spans="1:10" ht="43.5">
      <c r="A96" s="42">
        <f t="shared" si="1"/>
        <v>95</v>
      </c>
      <c r="B96" s="36" t="s">
        <v>10</v>
      </c>
      <c r="C96" s="36" t="s">
        <v>218</v>
      </c>
      <c r="D96" s="36" t="s">
        <v>227</v>
      </c>
      <c r="E96" s="36" t="s">
        <v>103</v>
      </c>
      <c r="F96" s="36" t="s">
        <v>228</v>
      </c>
      <c r="G96" s="36"/>
      <c r="H96" s="36"/>
      <c r="I96" s="36"/>
      <c r="J96" s="36"/>
    </row>
    <row r="97" spans="1:10" ht="43.5">
      <c r="A97" s="42">
        <f t="shared" si="1"/>
        <v>96</v>
      </c>
      <c r="B97" s="36" t="s">
        <v>10</v>
      </c>
      <c r="C97" s="36" t="s">
        <v>218</v>
      </c>
      <c r="D97" s="36" t="s">
        <v>230</v>
      </c>
      <c r="E97" s="36" t="s">
        <v>106</v>
      </c>
      <c r="F97" s="36" t="s">
        <v>231</v>
      </c>
      <c r="G97" s="36"/>
      <c r="H97" s="36"/>
      <c r="I97" s="36"/>
      <c r="J97" s="36"/>
    </row>
    <row r="98" spans="1:10" ht="57.95">
      <c r="A98" s="42">
        <f t="shared" si="1"/>
        <v>97</v>
      </c>
      <c r="B98" s="36" t="s">
        <v>10</v>
      </c>
      <c r="C98" s="36" t="s">
        <v>218</v>
      </c>
      <c r="D98" s="36" t="s">
        <v>232</v>
      </c>
      <c r="E98" s="36" t="s">
        <v>109</v>
      </c>
      <c r="F98" s="36" t="s">
        <v>233</v>
      </c>
      <c r="G98" s="36"/>
      <c r="H98" s="36"/>
      <c r="I98" s="36"/>
      <c r="J98" s="36"/>
    </row>
    <row r="99" spans="1:10" ht="43.5">
      <c r="A99" s="42">
        <f t="shared" si="1"/>
        <v>98</v>
      </c>
      <c r="B99" s="36" t="s">
        <v>10</v>
      </c>
      <c r="C99" s="36" t="s">
        <v>218</v>
      </c>
      <c r="D99" s="36" t="s">
        <v>236</v>
      </c>
      <c r="E99" s="36" t="s">
        <v>112</v>
      </c>
      <c r="F99" s="36" t="s">
        <v>237</v>
      </c>
      <c r="G99" s="36"/>
      <c r="H99" s="36"/>
      <c r="I99" s="36"/>
      <c r="J99" s="36"/>
    </row>
    <row r="100" spans="1:10" ht="43.5">
      <c r="A100" s="42">
        <f t="shared" si="1"/>
        <v>99</v>
      </c>
      <c r="B100" s="36" t="s">
        <v>10</v>
      </c>
      <c r="C100" s="36" t="s">
        <v>218</v>
      </c>
      <c r="D100" s="36" t="s">
        <v>238</v>
      </c>
      <c r="E100" s="36" t="s">
        <v>115</v>
      </c>
      <c r="F100" s="36" t="s">
        <v>239</v>
      </c>
      <c r="G100" s="36"/>
      <c r="H100" s="36"/>
      <c r="I100" s="36"/>
      <c r="J100" s="36"/>
    </row>
    <row r="101" spans="1:10" ht="43.5">
      <c r="A101" s="42">
        <f t="shared" si="1"/>
        <v>100</v>
      </c>
      <c r="B101" s="36" t="s">
        <v>10</v>
      </c>
      <c r="C101" s="36" t="s">
        <v>218</v>
      </c>
      <c r="D101" s="36" t="s">
        <v>240</v>
      </c>
      <c r="E101" s="36" t="s">
        <v>241</v>
      </c>
      <c r="F101" s="36" t="s">
        <v>242</v>
      </c>
      <c r="G101" s="36"/>
      <c r="H101" s="36"/>
      <c r="I101" s="36"/>
      <c r="J101" s="36"/>
    </row>
    <row r="102" spans="1:10" ht="43.5">
      <c r="A102" s="42">
        <f t="shared" si="1"/>
        <v>101</v>
      </c>
      <c r="B102" s="36" t="s">
        <v>10</v>
      </c>
      <c r="C102" s="36" t="s">
        <v>218</v>
      </c>
      <c r="D102" s="36" t="s">
        <v>244</v>
      </c>
      <c r="E102" s="36" t="s">
        <v>245</v>
      </c>
      <c r="F102" s="36" t="s">
        <v>246</v>
      </c>
      <c r="G102" s="36"/>
      <c r="H102" s="36"/>
      <c r="I102" s="36"/>
      <c r="J102" s="36"/>
    </row>
    <row r="103" spans="1:10" ht="43.5">
      <c r="A103" s="42">
        <f t="shared" si="1"/>
        <v>102</v>
      </c>
      <c r="B103" s="36" t="s">
        <v>10</v>
      </c>
      <c r="C103" s="36" t="s">
        <v>218</v>
      </c>
      <c r="D103" s="36" t="s">
        <v>248</v>
      </c>
      <c r="E103" s="36" t="s">
        <v>249</v>
      </c>
      <c r="F103" s="36" t="s">
        <v>250</v>
      </c>
      <c r="G103" s="36"/>
      <c r="H103" s="36"/>
      <c r="I103" s="36"/>
      <c r="J103" s="36"/>
    </row>
    <row r="104" spans="1:10" ht="43.5">
      <c r="A104" s="42">
        <f t="shared" si="1"/>
        <v>103</v>
      </c>
      <c r="B104" s="36" t="s">
        <v>10</v>
      </c>
      <c r="C104" s="36" t="s">
        <v>218</v>
      </c>
      <c r="D104" s="36" t="s">
        <v>252</v>
      </c>
      <c r="E104" s="36" t="s">
        <v>253</v>
      </c>
      <c r="F104" s="36" t="s">
        <v>254</v>
      </c>
      <c r="G104" s="36"/>
      <c r="H104" s="36"/>
      <c r="I104" s="36"/>
      <c r="J104" s="36"/>
    </row>
    <row r="105" spans="1:10" ht="29.1">
      <c r="A105" s="42">
        <f t="shared" si="1"/>
        <v>104</v>
      </c>
      <c r="B105" s="36" t="s">
        <v>10</v>
      </c>
      <c r="C105" s="36" t="s">
        <v>218</v>
      </c>
      <c r="D105" s="36" t="s">
        <v>255</v>
      </c>
      <c r="E105" s="36"/>
      <c r="F105" s="36" t="s">
        <v>256</v>
      </c>
      <c r="G105" s="36"/>
      <c r="H105" s="36"/>
      <c r="I105" s="36"/>
      <c r="J105" s="36"/>
    </row>
    <row r="106" spans="1:10" ht="29.1">
      <c r="A106" s="42">
        <f t="shared" si="1"/>
        <v>105</v>
      </c>
      <c r="B106" s="36" t="s">
        <v>10</v>
      </c>
      <c r="C106" s="36" t="s">
        <v>218</v>
      </c>
      <c r="D106" s="36" t="s">
        <v>257</v>
      </c>
      <c r="E106" s="36"/>
      <c r="F106" s="36" t="s">
        <v>258</v>
      </c>
      <c r="G106" s="36"/>
      <c r="H106" s="36"/>
      <c r="I106" s="36"/>
      <c r="J106" s="36"/>
    </row>
    <row r="107" spans="1:10" ht="130.5">
      <c r="A107" s="42">
        <f t="shared" si="1"/>
        <v>106</v>
      </c>
      <c r="B107" s="36" t="s">
        <v>14</v>
      </c>
      <c r="C107" s="36" t="s">
        <v>218</v>
      </c>
      <c r="D107" s="36"/>
      <c r="E107" s="36"/>
      <c r="F107" s="36" t="s">
        <v>259</v>
      </c>
      <c r="G107" s="36" t="s">
        <v>401</v>
      </c>
      <c r="H107" s="36" t="s">
        <v>402</v>
      </c>
      <c r="I107" s="36" t="s">
        <v>28</v>
      </c>
      <c r="J107" s="36" t="s">
        <v>403</v>
      </c>
    </row>
    <row r="108" spans="1:10">
      <c r="A108" s="42">
        <f t="shared" si="1"/>
        <v>107</v>
      </c>
      <c r="B108" s="36" t="s">
        <v>10</v>
      </c>
      <c r="C108" s="36" t="s">
        <v>260</v>
      </c>
      <c r="D108" s="36" t="s">
        <v>23</v>
      </c>
      <c r="E108" s="36" t="s">
        <v>23</v>
      </c>
      <c r="F108" s="36" t="s">
        <v>219</v>
      </c>
      <c r="G108" s="36"/>
      <c r="H108" s="36"/>
      <c r="I108" s="36"/>
      <c r="J108" s="36"/>
    </row>
    <row r="109" spans="1:10" ht="29.1">
      <c r="A109" s="42">
        <f t="shared" si="1"/>
        <v>108</v>
      </c>
      <c r="B109" s="36" t="s">
        <v>10</v>
      </c>
      <c r="C109" s="36" t="s">
        <v>260</v>
      </c>
      <c r="D109" s="36" t="s">
        <v>261</v>
      </c>
      <c r="E109" s="36" t="s">
        <v>91</v>
      </c>
      <c r="F109" s="36" t="s">
        <v>262</v>
      </c>
      <c r="G109" s="36"/>
      <c r="H109" s="36"/>
      <c r="I109" s="36"/>
      <c r="J109" s="36"/>
    </row>
    <row r="110" spans="1:10" ht="29.1">
      <c r="A110" s="42">
        <f t="shared" si="1"/>
        <v>109</v>
      </c>
      <c r="B110" s="36" t="s">
        <v>10</v>
      </c>
      <c r="C110" s="36" t="s">
        <v>260</v>
      </c>
      <c r="D110" s="36" t="s">
        <v>264</v>
      </c>
      <c r="E110" s="36" t="s">
        <v>95</v>
      </c>
      <c r="F110" s="36" t="s">
        <v>404</v>
      </c>
      <c r="G110" s="36"/>
      <c r="H110" s="36"/>
      <c r="I110" s="36"/>
      <c r="J110" s="36"/>
    </row>
    <row r="111" spans="1:10" ht="29.1">
      <c r="A111" s="42">
        <f t="shared" si="1"/>
        <v>110</v>
      </c>
      <c r="B111" s="36" t="s">
        <v>10</v>
      </c>
      <c r="C111" s="36" t="s">
        <v>260</v>
      </c>
      <c r="D111" s="36" t="s">
        <v>267</v>
      </c>
      <c r="E111" s="36" t="s">
        <v>99</v>
      </c>
      <c r="F111" s="36" t="s">
        <v>405</v>
      </c>
      <c r="G111" s="36"/>
      <c r="H111" s="36"/>
      <c r="I111" s="36"/>
      <c r="J111" s="36"/>
    </row>
    <row r="112" spans="1:10" ht="29.1">
      <c r="A112" s="42">
        <f t="shared" si="1"/>
        <v>111</v>
      </c>
      <c r="B112" s="36" t="s">
        <v>10</v>
      </c>
      <c r="C112" s="36" t="s">
        <v>260</v>
      </c>
      <c r="D112" s="36" t="s">
        <v>270</v>
      </c>
      <c r="E112" s="36">
        <v>2</v>
      </c>
      <c r="F112" s="36" t="s">
        <v>271</v>
      </c>
      <c r="G112" s="36"/>
      <c r="H112" s="36"/>
      <c r="I112" s="36"/>
      <c r="J112" s="36"/>
    </row>
    <row r="113" spans="1:10" ht="29.1">
      <c r="A113" s="42">
        <f t="shared" si="1"/>
        <v>112</v>
      </c>
      <c r="B113" s="36" t="s">
        <v>10</v>
      </c>
      <c r="C113" s="36" t="s">
        <v>260</v>
      </c>
      <c r="D113" s="36" t="s">
        <v>272</v>
      </c>
      <c r="E113" s="36">
        <v>2</v>
      </c>
      <c r="F113" s="36" t="s">
        <v>273</v>
      </c>
      <c r="G113" s="36"/>
      <c r="H113" s="36"/>
      <c r="I113" s="36"/>
      <c r="J113" s="36"/>
    </row>
    <row r="114" spans="1:10">
      <c r="A114" s="42">
        <f t="shared" si="1"/>
        <v>113</v>
      </c>
      <c r="B114" s="36" t="s">
        <v>10</v>
      </c>
      <c r="C114" s="36" t="s">
        <v>274</v>
      </c>
      <c r="D114" s="36" t="s">
        <v>23</v>
      </c>
      <c r="E114" s="36" t="s">
        <v>23</v>
      </c>
      <c r="F114" s="36" t="s">
        <v>219</v>
      </c>
      <c r="G114" s="36"/>
      <c r="H114" s="36"/>
      <c r="I114" s="36"/>
      <c r="J114" s="36"/>
    </row>
    <row r="115" spans="1:10" ht="43.5">
      <c r="A115" s="42">
        <f t="shared" si="1"/>
        <v>114</v>
      </c>
      <c r="B115" s="36" t="s">
        <v>10</v>
      </c>
      <c r="C115" s="36" t="s">
        <v>274</v>
      </c>
      <c r="D115" s="36" t="s">
        <v>275</v>
      </c>
      <c r="E115" s="36" t="s">
        <v>91</v>
      </c>
      <c r="F115" s="36" t="s">
        <v>276</v>
      </c>
      <c r="G115" s="36"/>
      <c r="H115" s="36"/>
      <c r="I115" s="36"/>
      <c r="J115" s="36"/>
    </row>
    <row r="116" spans="1:10" ht="43.5">
      <c r="A116" s="42">
        <f t="shared" si="1"/>
        <v>115</v>
      </c>
      <c r="B116" s="36" t="s">
        <v>10</v>
      </c>
      <c r="C116" s="36" t="s">
        <v>274</v>
      </c>
      <c r="D116" s="36" t="s">
        <v>278</v>
      </c>
      <c r="E116" s="36" t="s">
        <v>95</v>
      </c>
      <c r="F116" s="36" t="s">
        <v>279</v>
      </c>
      <c r="G116" s="36"/>
      <c r="H116" s="36"/>
      <c r="I116" s="36"/>
      <c r="J116" s="36"/>
    </row>
    <row r="117" spans="1:10" ht="43.5">
      <c r="A117" s="42">
        <f t="shared" si="1"/>
        <v>116</v>
      </c>
      <c r="B117" s="36" t="s">
        <v>10</v>
      </c>
      <c r="C117" s="36" t="s">
        <v>274</v>
      </c>
      <c r="D117" s="36" t="s">
        <v>281</v>
      </c>
      <c r="E117" s="36" t="s">
        <v>99</v>
      </c>
      <c r="F117" s="36" t="s">
        <v>282</v>
      </c>
      <c r="G117" s="36"/>
      <c r="H117" s="36"/>
      <c r="I117" s="36"/>
      <c r="J117" s="36"/>
    </row>
    <row r="118" spans="1:10" ht="43.5">
      <c r="A118" s="42">
        <f t="shared" si="1"/>
        <v>117</v>
      </c>
      <c r="B118" s="36" t="s">
        <v>10</v>
      </c>
      <c r="C118" s="36" t="s">
        <v>274</v>
      </c>
      <c r="D118" s="36" t="s">
        <v>199</v>
      </c>
      <c r="E118" s="36" t="s">
        <v>103</v>
      </c>
      <c r="F118" s="36" t="s">
        <v>283</v>
      </c>
      <c r="G118" s="36"/>
      <c r="H118" s="36"/>
      <c r="I118" s="36"/>
      <c r="J118" s="36"/>
    </row>
    <row r="119" spans="1:10" ht="29.25" customHeight="1">
      <c r="A119" s="42">
        <f t="shared" si="1"/>
        <v>118</v>
      </c>
      <c r="B119" s="36" t="s">
        <v>10</v>
      </c>
      <c r="C119" s="36" t="s">
        <v>274</v>
      </c>
      <c r="D119" s="36" t="s">
        <v>284</v>
      </c>
      <c r="E119" s="36"/>
      <c r="F119" s="36" t="s">
        <v>285</v>
      </c>
      <c r="G119" s="36"/>
      <c r="H119" s="36"/>
      <c r="I119" s="36"/>
      <c r="J119" s="36"/>
    </row>
    <row r="120" spans="1:10" ht="29.1">
      <c r="A120" s="42">
        <f t="shared" si="1"/>
        <v>119</v>
      </c>
      <c r="B120" s="36" t="s">
        <v>10</v>
      </c>
      <c r="C120" s="36" t="s">
        <v>287</v>
      </c>
      <c r="D120" s="36" t="s">
        <v>23</v>
      </c>
      <c r="E120" s="36" t="s">
        <v>23</v>
      </c>
      <c r="F120" s="36" t="s">
        <v>288</v>
      </c>
      <c r="G120" s="36"/>
      <c r="H120" s="36"/>
      <c r="I120" s="36"/>
      <c r="J120" s="36"/>
    </row>
    <row r="121" spans="1:10" ht="29.1">
      <c r="A121" s="42">
        <f t="shared" si="1"/>
        <v>120</v>
      </c>
      <c r="B121" s="36" t="s">
        <v>10</v>
      </c>
      <c r="C121" s="36" t="s">
        <v>287</v>
      </c>
      <c r="D121" s="36" t="s">
        <v>178</v>
      </c>
      <c r="E121" s="36">
        <v>1</v>
      </c>
      <c r="F121" s="36" t="s">
        <v>290</v>
      </c>
      <c r="G121" s="36"/>
      <c r="H121" s="36"/>
      <c r="I121" s="36"/>
      <c r="J121" s="36"/>
    </row>
    <row r="122" spans="1:10" ht="29.1">
      <c r="A122" s="42">
        <f t="shared" si="1"/>
        <v>121</v>
      </c>
      <c r="B122" s="36" t="s">
        <v>10</v>
      </c>
      <c r="C122" s="36" t="s">
        <v>287</v>
      </c>
      <c r="D122" s="36" t="s">
        <v>292</v>
      </c>
      <c r="E122" s="36">
        <v>2</v>
      </c>
      <c r="F122" s="36" t="s">
        <v>293</v>
      </c>
      <c r="G122" s="36"/>
      <c r="H122" s="36"/>
      <c r="I122" s="36"/>
      <c r="J122" s="36"/>
    </row>
    <row r="123" spans="1:10" ht="29.1">
      <c r="A123" s="42">
        <f t="shared" si="1"/>
        <v>122</v>
      </c>
      <c r="B123" s="36" t="s">
        <v>10</v>
      </c>
      <c r="C123" s="36" t="s">
        <v>287</v>
      </c>
      <c r="D123" s="36" t="s">
        <v>284</v>
      </c>
      <c r="E123" s="36"/>
      <c r="F123" s="36" t="s">
        <v>294</v>
      </c>
      <c r="G123" s="36"/>
      <c r="H123" s="36"/>
      <c r="I123" s="36"/>
      <c r="J123" s="36"/>
    </row>
    <row r="124" spans="1:10" ht="29.25" customHeight="1">
      <c r="A124" s="42">
        <f t="shared" si="1"/>
        <v>123</v>
      </c>
      <c r="B124" s="36" t="s">
        <v>10</v>
      </c>
      <c r="C124" s="36" t="s">
        <v>296</v>
      </c>
      <c r="D124" s="36" t="s">
        <v>297</v>
      </c>
      <c r="E124" s="36"/>
      <c r="F124" s="36" t="s">
        <v>298</v>
      </c>
      <c r="G124" s="36"/>
      <c r="H124" s="36"/>
      <c r="I124" s="36"/>
      <c r="J124" s="36"/>
    </row>
    <row r="125" spans="1:10" ht="29.25" customHeight="1">
      <c r="A125" s="42">
        <f t="shared" si="1"/>
        <v>124</v>
      </c>
      <c r="B125" s="36" t="s">
        <v>10</v>
      </c>
      <c r="C125" s="36" t="s">
        <v>300</v>
      </c>
      <c r="D125" s="36" t="s">
        <v>23</v>
      </c>
      <c r="E125" s="36" t="s">
        <v>23</v>
      </c>
      <c r="F125" s="36" t="s">
        <v>219</v>
      </c>
      <c r="G125" s="36"/>
      <c r="H125" s="36"/>
      <c r="I125" s="36"/>
      <c r="J125" s="36"/>
    </row>
    <row r="126" spans="1:10" ht="29.25" customHeight="1">
      <c r="A126" s="42">
        <f t="shared" si="1"/>
        <v>125</v>
      </c>
      <c r="B126" s="36" t="s">
        <v>10</v>
      </c>
      <c r="C126" s="36" t="s">
        <v>300</v>
      </c>
      <c r="D126" s="36" t="s">
        <v>301</v>
      </c>
      <c r="E126" s="36" t="s">
        <v>23</v>
      </c>
      <c r="F126" s="36" t="s">
        <v>302</v>
      </c>
      <c r="G126" s="36"/>
      <c r="H126" s="36"/>
      <c r="I126" s="36"/>
      <c r="J126" s="36"/>
    </row>
    <row r="127" spans="1:10" ht="29.25" customHeight="1">
      <c r="A127" s="42">
        <f t="shared" si="1"/>
        <v>126</v>
      </c>
      <c r="B127" s="36" t="s">
        <v>10</v>
      </c>
      <c r="C127" s="36" t="s">
        <v>300</v>
      </c>
      <c r="D127" s="36" t="s">
        <v>305</v>
      </c>
      <c r="E127" s="36" t="s">
        <v>23</v>
      </c>
      <c r="F127" s="36" t="s">
        <v>306</v>
      </c>
      <c r="G127" s="36"/>
      <c r="H127" s="36"/>
      <c r="I127" s="36"/>
      <c r="J127" s="36"/>
    </row>
    <row r="128" spans="1:10" ht="57.95">
      <c r="A128" s="42">
        <f t="shared" si="1"/>
        <v>127</v>
      </c>
      <c r="B128" s="36" t="s">
        <v>10</v>
      </c>
      <c r="C128" s="36" t="s">
        <v>300</v>
      </c>
      <c r="D128" s="36" t="s">
        <v>308</v>
      </c>
      <c r="E128" s="36">
        <v>1</v>
      </c>
      <c r="F128" s="36" t="s">
        <v>309</v>
      </c>
      <c r="G128" s="36"/>
      <c r="H128" s="36"/>
      <c r="I128" s="36"/>
      <c r="J128" s="36"/>
    </row>
    <row r="129" spans="1:10" ht="87">
      <c r="A129" s="42">
        <f t="shared" si="1"/>
        <v>128</v>
      </c>
      <c r="B129" s="36" t="s">
        <v>14</v>
      </c>
      <c r="C129" s="36" t="s">
        <v>300</v>
      </c>
      <c r="D129" s="36" t="s">
        <v>308</v>
      </c>
      <c r="E129" s="36">
        <v>1</v>
      </c>
      <c r="F129" s="36" t="s">
        <v>311</v>
      </c>
      <c r="G129" s="36"/>
      <c r="H129" s="36"/>
      <c r="I129" s="36"/>
      <c r="J129" s="36"/>
    </row>
    <row r="130" spans="1:10" ht="43.5">
      <c r="A130" s="42">
        <f t="shared" ref="A130:A161" si="2">ROW()-1</f>
        <v>129</v>
      </c>
      <c r="B130" s="36" t="s">
        <v>10</v>
      </c>
      <c r="C130" s="36" t="s">
        <v>300</v>
      </c>
      <c r="D130" s="36" t="s">
        <v>314</v>
      </c>
      <c r="E130" s="36">
        <v>2</v>
      </c>
      <c r="F130" s="36" t="s">
        <v>315</v>
      </c>
      <c r="G130" s="36"/>
      <c r="H130" s="36"/>
      <c r="I130" s="36"/>
      <c r="J130" s="36"/>
    </row>
    <row r="131" spans="1:10" ht="43.5">
      <c r="A131" s="42">
        <f t="shared" si="2"/>
        <v>130</v>
      </c>
      <c r="B131" s="36" t="s">
        <v>14</v>
      </c>
      <c r="C131" s="36" t="s">
        <v>300</v>
      </c>
      <c r="D131" s="36" t="s">
        <v>314</v>
      </c>
      <c r="E131" s="36">
        <v>2</v>
      </c>
      <c r="F131" s="36" t="s">
        <v>316</v>
      </c>
      <c r="G131" s="36"/>
      <c r="H131" s="36"/>
      <c r="I131" s="36"/>
      <c r="J131" s="36"/>
    </row>
    <row r="132" spans="1:10" ht="43.5">
      <c r="A132" s="42">
        <f t="shared" si="2"/>
        <v>131</v>
      </c>
      <c r="B132" s="36" t="s">
        <v>10</v>
      </c>
      <c r="C132" s="36" t="s">
        <v>300</v>
      </c>
      <c r="D132" s="36" t="s">
        <v>319</v>
      </c>
      <c r="E132" s="36">
        <v>3</v>
      </c>
      <c r="F132" s="36" t="s">
        <v>315</v>
      </c>
      <c r="G132" s="36"/>
      <c r="H132" s="36"/>
      <c r="I132" s="36"/>
      <c r="J132" s="36"/>
    </row>
    <row r="133" spans="1:10" ht="87">
      <c r="A133" s="42">
        <f t="shared" si="2"/>
        <v>132</v>
      </c>
      <c r="B133" s="36" t="s">
        <v>14</v>
      </c>
      <c r="C133" s="36" t="s">
        <v>300</v>
      </c>
      <c r="D133" s="36" t="s">
        <v>319</v>
      </c>
      <c r="E133" s="36">
        <v>3</v>
      </c>
      <c r="F133" s="36" t="s">
        <v>311</v>
      </c>
      <c r="G133" s="36"/>
      <c r="H133" s="36"/>
      <c r="I133" s="36"/>
      <c r="J133" s="36"/>
    </row>
    <row r="134" spans="1:10" ht="57.95">
      <c r="A134" s="42">
        <f t="shared" si="2"/>
        <v>133</v>
      </c>
      <c r="B134" s="36" t="s">
        <v>10</v>
      </c>
      <c r="C134" s="36" t="s">
        <v>300</v>
      </c>
      <c r="D134" s="36" t="s">
        <v>324</v>
      </c>
      <c r="E134" s="36">
        <v>4</v>
      </c>
      <c r="F134" s="36" t="s">
        <v>309</v>
      </c>
      <c r="G134" s="36"/>
      <c r="H134" s="36"/>
      <c r="I134" s="36"/>
      <c r="J134" s="36"/>
    </row>
    <row r="135" spans="1:10" ht="87">
      <c r="A135" s="42">
        <f t="shared" si="2"/>
        <v>134</v>
      </c>
      <c r="B135" s="36" t="s">
        <v>14</v>
      </c>
      <c r="C135" s="36" t="s">
        <v>300</v>
      </c>
      <c r="D135" s="36" t="s">
        <v>324</v>
      </c>
      <c r="E135" s="36">
        <v>4</v>
      </c>
      <c r="F135" s="36" t="s">
        <v>311</v>
      </c>
      <c r="G135" s="36"/>
      <c r="H135" s="36"/>
      <c r="I135" s="36"/>
      <c r="J135" s="36"/>
    </row>
    <row r="136" spans="1:10" ht="43.5">
      <c r="A136" s="42">
        <f t="shared" si="2"/>
        <v>135</v>
      </c>
      <c r="B136" s="36" t="s">
        <v>10</v>
      </c>
      <c r="C136" s="36" t="s">
        <v>300</v>
      </c>
      <c r="D136" s="36" t="s">
        <v>326</v>
      </c>
      <c r="E136" s="36">
        <v>5</v>
      </c>
      <c r="F136" s="36" t="s">
        <v>315</v>
      </c>
      <c r="G136" s="36"/>
      <c r="H136" s="36"/>
      <c r="I136" s="36"/>
      <c r="J136" s="36"/>
    </row>
    <row r="137" spans="1:10" ht="87">
      <c r="A137" s="42">
        <f t="shared" si="2"/>
        <v>136</v>
      </c>
      <c r="B137" s="36" t="s">
        <v>14</v>
      </c>
      <c r="C137" s="36" t="s">
        <v>300</v>
      </c>
      <c r="D137" s="36" t="s">
        <v>326</v>
      </c>
      <c r="E137" s="36">
        <v>5</v>
      </c>
      <c r="F137" s="36" t="s">
        <v>311</v>
      </c>
      <c r="G137" s="36"/>
      <c r="H137" s="36"/>
      <c r="I137" s="36"/>
      <c r="J137" s="36"/>
    </row>
    <row r="138" spans="1:10" ht="43.5">
      <c r="A138" s="42">
        <f t="shared" si="2"/>
        <v>137</v>
      </c>
      <c r="B138" s="36" t="s">
        <v>10</v>
      </c>
      <c r="C138" s="36" t="s">
        <v>300</v>
      </c>
      <c r="D138" s="36" t="s">
        <v>328</v>
      </c>
      <c r="E138" s="36">
        <v>6</v>
      </c>
      <c r="F138" s="36" t="s">
        <v>315</v>
      </c>
      <c r="G138" s="36"/>
      <c r="H138" s="36"/>
      <c r="I138" s="36"/>
      <c r="J138" s="36"/>
    </row>
    <row r="139" spans="1:10" ht="159.6">
      <c r="A139" s="42">
        <f t="shared" si="2"/>
        <v>138</v>
      </c>
      <c r="B139" s="36" t="s">
        <v>14</v>
      </c>
      <c r="C139" s="36" t="s">
        <v>300</v>
      </c>
      <c r="D139" s="36" t="s">
        <v>328</v>
      </c>
      <c r="E139" s="36">
        <v>6</v>
      </c>
      <c r="F139" s="36" t="s">
        <v>311</v>
      </c>
      <c r="G139" s="43" t="s">
        <v>406</v>
      </c>
      <c r="H139" s="36" t="s">
        <v>407</v>
      </c>
      <c r="I139" s="36"/>
      <c r="J139" s="36"/>
    </row>
    <row r="140" spans="1:10" ht="43.5">
      <c r="A140" s="42">
        <f t="shared" si="2"/>
        <v>139</v>
      </c>
      <c r="B140" s="36" t="s">
        <v>10</v>
      </c>
      <c r="C140" s="36" t="s">
        <v>300</v>
      </c>
      <c r="D140" s="36" t="s">
        <v>329</v>
      </c>
      <c r="E140" s="36">
        <v>7</v>
      </c>
      <c r="F140" s="36" t="s">
        <v>315</v>
      </c>
      <c r="G140" s="36"/>
      <c r="H140" s="36"/>
      <c r="I140" s="36"/>
      <c r="J140" s="36"/>
    </row>
    <row r="141" spans="1:10" ht="87">
      <c r="A141" s="42">
        <f t="shared" si="2"/>
        <v>140</v>
      </c>
      <c r="B141" s="36" t="s">
        <v>14</v>
      </c>
      <c r="C141" s="36" t="s">
        <v>300</v>
      </c>
      <c r="D141" s="36" t="s">
        <v>329</v>
      </c>
      <c r="E141" s="36">
        <v>7</v>
      </c>
      <c r="F141" s="36" t="s">
        <v>311</v>
      </c>
      <c r="G141" s="36"/>
      <c r="H141" s="36"/>
      <c r="I141" s="36"/>
      <c r="J141" s="36"/>
    </row>
    <row r="142" spans="1:10" ht="43.5">
      <c r="A142" s="42">
        <f t="shared" si="2"/>
        <v>141</v>
      </c>
      <c r="B142" s="36" t="s">
        <v>10</v>
      </c>
      <c r="C142" s="36" t="s">
        <v>300</v>
      </c>
      <c r="D142" s="36" t="s">
        <v>330</v>
      </c>
      <c r="E142" s="36">
        <v>8</v>
      </c>
      <c r="F142" s="36" t="s">
        <v>315</v>
      </c>
      <c r="G142" s="36"/>
      <c r="H142" s="36"/>
      <c r="I142" s="36"/>
      <c r="J142" s="36"/>
    </row>
    <row r="143" spans="1:10" ht="87">
      <c r="A143" s="42">
        <f t="shared" si="2"/>
        <v>142</v>
      </c>
      <c r="B143" s="36" t="s">
        <v>14</v>
      </c>
      <c r="C143" s="36" t="s">
        <v>300</v>
      </c>
      <c r="D143" s="36" t="s">
        <v>330</v>
      </c>
      <c r="E143" s="36">
        <v>8</v>
      </c>
      <c r="F143" s="36" t="s">
        <v>311</v>
      </c>
      <c r="G143" s="36"/>
      <c r="H143" s="36"/>
      <c r="I143" s="36"/>
      <c r="J143" s="36"/>
    </row>
    <row r="144" spans="1:10" ht="43.5">
      <c r="A144" s="42">
        <f t="shared" si="2"/>
        <v>143</v>
      </c>
      <c r="B144" s="36" t="s">
        <v>10</v>
      </c>
      <c r="C144" s="36" t="s">
        <v>300</v>
      </c>
      <c r="D144" s="36" t="s">
        <v>331</v>
      </c>
      <c r="E144" s="36">
        <v>9</v>
      </c>
      <c r="F144" s="36" t="s">
        <v>315</v>
      </c>
      <c r="G144" s="36"/>
      <c r="H144" s="36"/>
      <c r="I144" s="36"/>
      <c r="J144" s="36"/>
    </row>
    <row r="145" spans="1:10" ht="57.95">
      <c r="A145" s="42">
        <f t="shared" si="2"/>
        <v>144</v>
      </c>
      <c r="B145" s="36" t="s">
        <v>14</v>
      </c>
      <c r="C145" s="36" t="s">
        <v>300</v>
      </c>
      <c r="D145" s="36" t="s">
        <v>331</v>
      </c>
      <c r="E145" s="36">
        <v>9</v>
      </c>
      <c r="F145" s="36" t="s">
        <v>309</v>
      </c>
      <c r="G145" s="36"/>
      <c r="H145" s="36"/>
      <c r="I145" s="36"/>
      <c r="J145" s="36"/>
    </row>
    <row r="146" spans="1:10" ht="43.5">
      <c r="A146" s="42">
        <f t="shared" si="2"/>
        <v>145</v>
      </c>
      <c r="B146" s="36" t="s">
        <v>10</v>
      </c>
      <c r="C146" s="36" t="s">
        <v>300</v>
      </c>
      <c r="D146" s="36" t="s">
        <v>332</v>
      </c>
      <c r="E146" s="36">
        <v>10</v>
      </c>
      <c r="F146" s="36" t="s">
        <v>315</v>
      </c>
      <c r="G146" s="36"/>
      <c r="H146" s="36"/>
      <c r="I146" s="36"/>
      <c r="J146" s="36"/>
    </row>
    <row r="147" spans="1:10" ht="87">
      <c r="A147" s="42">
        <f t="shared" si="2"/>
        <v>146</v>
      </c>
      <c r="B147" s="36" t="s">
        <v>14</v>
      </c>
      <c r="C147" s="36" t="s">
        <v>300</v>
      </c>
      <c r="D147" s="36" t="s">
        <v>332</v>
      </c>
      <c r="E147" s="36">
        <v>10</v>
      </c>
      <c r="F147" s="36" t="s">
        <v>311</v>
      </c>
      <c r="G147" s="36"/>
      <c r="H147" s="36"/>
      <c r="I147" s="36"/>
      <c r="J147" s="36"/>
    </row>
    <row r="148" spans="1:10" ht="43.5">
      <c r="A148" s="42">
        <f t="shared" si="2"/>
        <v>147</v>
      </c>
      <c r="B148" s="36" t="s">
        <v>10</v>
      </c>
      <c r="C148" s="36" t="s">
        <v>300</v>
      </c>
      <c r="D148" s="36" t="s">
        <v>333</v>
      </c>
      <c r="E148" s="36">
        <v>11</v>
      </c>
      <c r="F148" s="36" t="s">
        <v>315</v>
      </c>
      <c r="G148" s="36"/>
      <c r="H148" s="36"/>
      <c r="I148" s="36"/>
      <c r="J148" s="36"/>
    </row>
    <row r="149" spans="1:10" ht="87">
      <c r="A149" s="42">
        <f t="shared" si="2"/>
        <v>148</v>
      </c>
      <c r="B149" s="36" t="s">
        <v>14</v>
      </c>
      <c r="C149" s="36" t="s">
        <v>300</v>
      </c>
      <c r="D149" s="36" t="s">
        <v>333</v>
      </c>
      <c r="E149" s="36">
        <v>11</v>
      </c>
      <c r="F149" s="36" t="s">
        <v>311</v>
      </c>
      <c r="G149" s="36"/>
      <c r="H149" s="36"/>
      <c r="I149" s="36"/>
      <c r="J149" s="36"/>
    </row>
    <row r="150" spans="1:10" ht="43.5">
      <c r="A150" s="42">
        <f t="shared" si="2"/>
        <v>149</v>
      </c>
      <c r="B150" s="36" t="s">
        <v>10</v>
      </c>
      <c r="C150" s="36" t="s">
        <v>300</v>
      </c>
      <c r="D150" s="36" t="s">
        <v>334</v>
      </c>
      <c r="E150" s="36">
        <v>12</v>
      </c>
      <c r="F150" s="36" t="s">
        <v>315</v>
      </c>
      <c r="G150" s="36"/>
      <c r="H150" s="36"/>
      <c r="I150" s="36"/>
      <c r="J150" s="36"/>
    </row>
    <row r="151" spans="1:10" ht="87">
      <c r="A151" s="42">
        <f t="shared" si="2"/>
        <v>150</v>
      </c>
      <c r="B151" s="36" t="s">
        <v>14</v>
      </c>
      <c r="C151" s="36" t="s">
        <v>300</v>
      </c>
      <c r="D151" s="36" t="s">
        <v>334</v>
      </c>
      <c r="E151" s="36">
        <v>12</v>
      </c>
      <c r="F151" s="36" t="s">
        <v>311</v>
      </c>
      <c r="G151" s="36"/>
      <c r="H151" s="36"/>
      <c r="I151" s="36"/>
      <c r="J151" s="36"/>
    </row>
    <row r="152" spans="1:10" ht="43.5">
      <c r="A152" s="42">
        <f t="shared" si="2"/>
        <v>151</v>
      </c>
      <c r="B152" s="36" t="s">
        <v>10</v>
      </c>
      <c r="C152" s="36" t="s">
        <v>300</v>
      </c>
      <c r="D152" s="36" t="s">
        <v>336</v>
      </c>
      <c r="E152" s="36">
        <v>13</v>
      </c>
      <c r="F152" s="36" t="s">
        <v>315</v>
      </c>
      <c r="G152" s="36"/>
      <c r="H152" s="36"/>
      <c r="I152" s="36"/>
      <c r="J152" s="36"/>
    </row>
    <row r="153" spans="1:10" ht="87">
      <c r="A153" s="42">
        <f t="shared" si="2"/>
        <v>152</v>
      </c>
      <c r="B153" s="36" t="s">
        <v>14</v>
      </c>
      <c r="C153" s="36" t="s">
        <v>300</v>
      </c>
      <c r="D153" s="36" t="s">
        <v>336</v>
      </c>
      <c r="E153" s="36">
        <v>13</v>
      </c>
      <c r="F153" s="36" t="s">
        <v>311</v>
      </c>
      <c r="G153" s="36"/>
      <c r="H153" s="36"/>
      <c r="I153" s="36"/>
      <c r="J153" s="36"/>
    </row>
    <row r="154" spans="1:10">
      <c r="A154" s="42">
        <f t="shared" si="2"/>
        <v>153</v>
      </c>
      <c r="B154" s="36" t="s">
        <v>14</v>
      </c>
      <c r="C154" s="36" t="s">
        <v>300</v>
      </c>
      <c r="D154" s="36" t="s">
        <v>337</v>
      </c>
      <c r="E154" s="36"/>
      <c r="F154" s="36" t="s">
        <v>338</v>
      </c>
      <c r="G154" s="36"/>
      <c r="H154" s="36" t="s">
        <v>402</v>
      </c>
      <c r="I154" s="36" t="s">
        <v>352</v>
      </c>
      <c r="J154" s="36"/>
    </row>
    <row r="155" spans="1:10">
      <c r="A155" s="42">
        <f t="shared" si="2"/>
        <v>154</v>
      </c>
      <c r="B155" s="36" t="s">
        <v>10</v>
      </c>
      <c r="C155" s="36" t="s">
        <v>339</v>
      </c>
      <c r="D155" s="36" t="s">
        <v>23</v>
      </c>
      <c r="E155" s="36" t="s">
        <v>23</v>
      </c>
      <c r="F155" s="36" t="s">
        <v>340</v>
      </c>
      <c r="G155" s="36" t="s">
        <v>408</v>
      </c>
      <c r="H155" s="36" t="s">
        <v>362</v>
      </c>
      <c r="I155" s="36" t="s">
        <v>352</v>
      </c>
      <c r="J155" s="36"/>
    </row>
    <row r="156" spans="1:10" ht="29.1">
      <c r="A156" s="42">
        <f t="shared" si="2"/>
        <v>155</v>
      </c>
      <c r="B156" s="36" t="s">
        <v>10</v>
      </c>
      <c r="C156" s="36" t="s">
        <v>339</v>
      </c>
      <c r="D156" s="36" t="s">
        <v>341</v>
      </c>
      <c r="E156" s="36" t="s">
        <v>91</v>
      </c>
      <c r="F156" s="36" t="s">
        <v>342</v>
      </c>
      <c r="G156" s="36"/>
      <c r="H156" s="36" t="s">
        <v>362</v>
      </c>
      <c r="I156" s="36" t="s">
        <v>409</v>
      </c>
      <c r="J156" s="36" t="s">
        <v>410</v>
      </c>
    </row>
    <row r="157" spans="1:10" ht="29.1">
      <c r="A157" s="42">
        <f t="shared" si="2"/>
        <v>156</v>
      </c>
      <c r="B157" s="36" t="s">
        <v>10</v>
      </c>
      <c r="C157" s="36" t="s">
        <v>339</v>
      </c>
      <c r="D157" s="36" t="s">
        <v>102</v>
      </c>
      <c r="E157" s="36" t="s">
        <v>95</v>
      </c>
      <c r="F157" s="36" t="s">
        <v>345</v>
      </c>
      <c r="G157" s="36"/>
      <c r="H157" s="36"/>
      <c r="I157" s="36" t="s">
        <v>28</v>
      </c>
      <c r="J157" s="36" t="s">
        <v>411</v>
      </c>
    </row>
    <row r="158" spans="1:10" ht="29.1">
      <c r="A158" s="42">
        <f t="shared" si="2"/>
        <v>157</v>
      </c>
      <c r="B158" s="36" t="s">
        <v>10</v>
      </c>
      <c r="C158" s="36" t="s">
        <v>339</v>
      </c>
      <c r="D158" s="36" t="s">
        <v>105</v>
      </c>
      <c r="E158" s="36" t="s">
        <v>99</v>
      </c>
      <c r="F158" s="36" t="s">
        <v>346</v>
      </c>
      <c r="G158" s="36"/>
      <c r="H158" s="36"/>
      <c r="I158" s="36" t="s">
        <v>28</v>
      </c>
      <c r="J158" s="36" t="s">
        <v>412</v>
      </c>
    </row>
    <row r="159" spans="1:10" ht="29.1">
      <c r="A159" s="42">
        <f t="shared" si="2"/>
        <v>158</v>
      </c>
      <c r="B159" s="36" t="s">
        <v>10</v>
      </c>
      <c r="C159" s="36" t="s">
        <v>339</v>
      </c>
      <c r="D159" s="36" t="s">
        <v>94</v>
      </c>
      <c r="E159" s="36" t="s">
        <v>103</v>
      </c>
      <c r="F159" s="36" t="s">
        <v>347</v>
      </c>
      <c r="G159" s="36"/>
      <c r="H159" s="36"/>
      <c r="I159" s="36" t="s">
        <v>352</v>
      </c>
      <c r="J159" s="36"/>
    </row>
    <row r="160" spans="1:10" ht="29.1">
      <c r="A160" s="42">
        <f t="shared" si="2"/>
        <v>159</v>
      </c>
      <c r="B160" s="36" t="s">
        <v>10</v>
      </c>
      <c r="C160" s="36" t="s">
        <v>339</v>
      </c>
      <c r="D160" s="36" t="s">
        <v>108</v>
      </c>
      <c r="E160" s="36" t="s">
        <v>106</v>
      </c>
      <c r="F160" s="36" t="s">
        <v>348</v>
      </c>
      <c r="G160" s="36"/>
      <c r="H160" s="36"/>
      <c r="I160" s="36" t="s">
        <v>352</v>
      </c>
      <c r="J160" s="36"/>
    </row>
    <row r="161" spans="1:10" ht="29.1">
      <c r="A161" s="42">
        <f t="shared" si="2"/>
        <v>160</v>
      </c>
      <c r="B161" s="36" t="s">
        <v>14</v>
      </c>
      <c r="C161" s="36" t="s">
        <v>339</v>
      </c>
      <c r="D161" s="36" t="s">
        <v>349</v>
      </c>
      <c r="E161" s="36"/>
      <c r="F161" s="36" t="s">
        <v>350</v>
      </c>
      <c r="G161" s="36" t="s">
        <v>413</v>
      </c>
      <c r="H161" s="36" t="s">
        <v>414</v>
      </c>
      <c r="I161" s="36" t="s">
        <v>409</v>
      </c>
      <c r="J161" s="36" t="s">
        <v>415</v>
      </c>
    </row>
  </sheetData>
  <autoFilter ref="A1:J161" xr:uid="{A5AC5BAB-8BCF-40F7-80F9-820F6C14BEC5}"/>
  <conditionalFormatting sqref="I2:I1048576">
    <cfRule type="containsText" dxfId="8" priority="1" operator="containsText" text="Pass with Comments">
      <formula>NOT(ISERROR(SEARCH("Pass with Comments",I2)))</formula>
    </cfRule>
    <cfRule type="containsText" dxfId="7" priority="2" operator="containsText" text="Fail">
      <formula>NOT(ISERROR(SEARCH("Fail",I2)))</formula>
    </cfRule>
    <cfRule type="containsText" dxfId="6" priority="3" operator="containsText" text="Pass">
      <formula>NOT(ISERROR(SEARCH("Pass",I2)))</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78C1-2370-4190-A581-54DB7BCEB5DE}">
  <sheetPr filterMode="1"/>
  <dimension ref="A1:M112"/>
  <sheetViews>
    <sheetView tabSelected="1" zoomScale="115" zoomScaleNormal="115" workbookViewId="0">
      <pane ySplit="1" topLeftCell="E8" activePane="bottomLeft" state="frozen"/>
      <selection pane="bottomLeft" activeCell="F35" sqref="F35"/>
    </sheetView>
  </sheetViews>
  <sheetFormatPr defaultColWidth="9.140625" defaultRowHeight="15"/>
  <cols>
    <col min="1" max="1" width="5.7109375" style="57" customWidth="1"/>
    <col min="2" max="2" width="12.5703125" style="57" hidden="1" customWidth="1"/>
    <col min="3" max="3" width="23" style="57" bestFit="1" customWidth="1"/>
    <col min="4" max="4" width="31.85546875" style="57" customWidth="1"/>
    <col min="5" max="6" width="80.7109375" style="58" customWidth="1"/>
    <col min="7" max="7" width="22.5703125" style="58" bestFit="1" customWidth="1"/>
    <col min="8" max="8" width="7" style="57" bestFit="1" customWidth="1"/>
    <col min="9" max="10" width="15.7109375" style="57" customWidth="1"/>
    <col min="11" max="11" width="20.7109375" style="11" customWidth="1"/>
    <col min="12" max="12" width="45.7109375" style="11" customWidth="1"/>
    <col min="13" max="16384" width="9.140625" style="11"/>
  </cols>
  <sheetData>
    <row r="1" spans="1:12" s="10" customFormat="1" ht="14.45">
      <c r="A1" s="9" t="s">
        <v>0</v>
      </c>
      <c r="B1" s="9" t="s">
        <v>416</v>
      </c>
      <c r="C1" s="9" t="s">
        <v>417</v>
      </c>
      <c r="D1" s="9" t="s">
        <v>418</v>
      </c>
      <c r="E1" s="9" t="s">
        <v>419</v>
      </c>
      <c r="F1" s="9" t="s">
        <v>420</v>
      </c>
      <c r="G1" s="9" t="s">
        <v>421</v>
      </c>
      <c r="H1" s="9" t="s">
        <v>422</v>
      </c>
      <c r="I1" s="9" t="s">
        <v>423</v>
      </c>
      <c r="J1" s="9" t="s">
        <v>424</v>
      </c>
      <c r="K1" s="9" t="s">
        <v>8</v>
      </c>
      <c r="L1" s="9" t="s">
        <v>9</v>
      </c>
    </row>
    <row r="2" spans="1:12" ht="30" hidden="1">
      <c r="A2" s="49">
        <f>ROW()-1</f>
        <v>1</v>
      </c>
      <c r="B2" s="49" t="s">
        <v>14</v>
      </c>
      <c r="C2" s="19" t="s">
        <v>300</v>
      </c>
      <c r="D2" s="19" t="s">
        <v>425</v>
      </c>
      <c r="E2" s="20" t="s">
        <v>426</v>
      </c>
      <c r="F2" s="20" t="s">
        <v>427</v>
      </c>
      <c r="G2" s="20"/>
      <c r="H2" s="49" t="s">
        <v>428</v>
      </c>
      <c r="I2" s="50">
        <v>45833</v>
      </c>
      <c r="J2" s="49"/>
      <c r="K2" s="35"/>
      <c r="L2" s="51" t="s">
        <v>429</v>
      </c>
    </row>
    <row r="3" spans="1:12" ht="30.75" hidden="1">
      <c r="A3" s="52">
        <f>ROW()-1</f>
        <v>2</v>
      </c>
      <c r="B3" s="52" t="s">
        <v>14</v>
      </c>
      <c r="C3" s="52" t="s">
        <v>430</v>
      </c>
      <c r="D3" s="52" t="s">
        <v>431</v>
      </c>
      <c r="E3" s="53" t="s">
        <v>355</v>
      </c>
      <c r="F3" s="53" t="s">
        <v>432</v>
      </c>
      <c r="G3" s="53"/>
      <c r="H3" s="52" t="s">
        <v>433</v>
      </c>
      <c r="I3" s="54">
        <v>45833</v>
      </c>
      <c r="J3" s="54">
        <v>45834</v>
      </c>
      <c r="K3" s="35" t="s">
        <v>13</v>
      </c>
      <c r="L3" s="55" t="s">
        <v>434</v>
      </c>
    </row>
    <row r="4" spans="1:12" ht="45" hidden="1">
      <c r="A4" s="49">
        <f t="shared" ref="A4:A66" si="0">ROW()-1</f>
        <v>3</v>
      </c>
      <c r="B4" s="49" t="s">
        <v>14</v>
      </c>
      <c r="C4" s="49" t="s">
        <v>300</v>
      </c>
      <c r="D4" s="49" t="s">
        <v>435</v>
      </c>
      <c r="E4" s="35" t="s">
        <v>436</v>
      </c>
      <c r="F4" s="35" t="s">
        <v>437</v>
      </c>
      <c r="G4" s="35"/>
      <c r="H4" s="49" t="s">
        <v>428</v>
      </c>
      <c r="I4" s="50">
        <v>45833</v>
      </c>
      <c r="J4" s="49"/>
      <c r="K4" s="35"/>
      <c r="L4" s="51"/>
    </row>
    <row r="5" spans="1:12" ht="45" hidden="1">
      <c r="A5" s="31">
        <f t="shared" si="0"/>
        <v>4</v>
      </c>
      <c r="B5" s="31" t="s">
        <v>14</v>
      </c>
      <c r="C5" s="31" t="s">
        <v>430</v>
      </c>
      <c r="D5" s="31" t="s">
        <v>438</v>
      </c>
      <c r="E5" s="32" t="s">
        <v>439</v>
      </c>
      <c r="F5" s="32" t="s">
        <v>440</v>
      </c>
      <c r="G5" s="32"/>
      <c r="H5" s="31" t="s">
        <v>428</v>
      </c>
      <c r="I5" s="33">
        <v>45833</v>
      </c>
      <c r="J5" s="52"/>
      <c r="K5" s="35"/>
      <c r="L5" s="55"/>
    </row>
    <row r="6" spans="1:12" ht="45" hidden="1">
      <c r="A6" s="52">
        <f t="shared" si="0"/>
        <v>5</v>
      </c>
      <c r="B6" s="52" t="s">
        <v>14</v>
      </c>
      <c r="C6" s="52" t="s">
        <v>430</v>
      </c>
      <c r="D6" s="52" t="s">
        <v>441</v>
      </c>
      <c r="E6" s="53" t="s">
        <v>442</v>
      </c>
      <c r="F6" s="53" t="s">
        <v>443</v>
      </c>
      <c r="G6" s="53"/>
      <c r="H6" s="52" t="s">
        <v>428</v>
      </c>
      <c r="I6" s="54">
        <v>45833</v>
      </c>
      <c r="J6" s="54">
        <v>45834</v>
      </c>
      <c r="K6" s="35" t="s">
        <v>13</v>
      </c>
      <c r="L6" s="55" t="s">
        <v>444</v>
      </c>
    </row>
    <row r="7" spans="1:12" hidden="1">
      <c r="A7" s="49">
        <f t="shared" si="0"/>
        <v>6</v>
      </c>
      <c r="B7" s="49" t="s">
        <v>14</v>
      </c>
      <c r="C7" s="49" t="s">
        <v>81</v>
      </c>
      <c r="D7" s="49" t="s">
        <v>445</v>
      </c>
      <c r="E7" s="35" t="s">
        <v>446</v>
      </c>
      <c r="F7" s="35" t="s">
        <v>447</v>
      </c>
      <c r="G7" s="35"/>
      <c r="H7" s="49" t="s">
        <v>428</v>
      </c>
      <c r="I7" s="50">
        <v>45833</v>
      </c>
      <c r="J7" s="50"/>
      <c r="K7" s="35"/>
      <c r="L7" s="51"/>
    </row>
    <row r="8" spans="1:12">
      <c r="A8" s="49">
        <f t="shared" si="0"/>
        <v>7</v>
      </c>
      <c r="B8" s="49" t="s">
        <v>10</v>
      </c>
      <c r="C8" s="49" t="s">
        <v>81</v>
      </c>
      <c r="D8" s="49" t="s">
        <v>448</v>
      </c>
      <c r="E8" s="35" t="s">
        <v>449</v>
      </c>
      <c r="F8" s="35" t="s">
        <v>450</v>
      </c>
      <c r="G8" s="35"/>
      <c r="H8" s="49" t="s">
        <v>428</v>
      </c>
      <c r="I8" s="50">
        <v>45833</v>
      </c>
      <c r="J8" s="49"/>
      <c r="K8" s="35"/>
      <c r="L8" s="51"/>
    </row>
    <row r="9" spans="1:12">
      <c r="A9" s="49">
        <f t="shared" si="0"/>
        <v>8</v>
      </c>
      <c r="B9" s="49" t="s">
        <v>10</v>
      </c>
      <c r="C9" s="49" t="s">
        <v>81</v>
      </c>
      <c r="D9" s="49" t="s">
        <v>451</v>
      </c>
      <c r="E9" s="35" t="s">
        <v>452</v>
      </c>
      <c r="F9" s="36" t="s">
        <v>453</v>
      </c>
      <c r="G9" s="36"/>
      <c r="H9" s="49" t="s">
        <v>428</v>
      </c>
      <c r="I9" s="50">
        <v>45833</v>
      </c>
      <c r="J9" s="49"/>
      <c r="K9" s="35"/>
      <c r="L9" s="51"/>
    </row>
    <row r="10" spans="1:12" ht="30" hidden="1">
      <c r="A10" s="49">
        <f t="shared" si="0"/>
        <v>9</v>
      </c>
      <c r="B10" s="49" t="s">
        <v>14</v>
      </c>
      <c r="C10" s="49" t="s">
        <v>300</v>
      </c>
      <c r="D10" s="49" t="s">
        <v>308</v>
      </c>
      <c r="E10" s="35" t="s">
        <v>454</v>
      </c>
      <c r="F10" s="35" t="s">
        <v>455</v>
      </c>
      <c r="G10" s="35"/>
      <c r="H10" s="49" t="s">
        <v>428</v>
      </c>
      <c r="I10" s="50">
        <v>45833</v>
      </c>
      <c r="J10" s="49"/>
      <c r="K10" s="35"/>
      <c r="L10" s="51" t="s">
        <v>456</v>
      </c>
    </row>
    <row r="11" spans="1:12" hidden="1">
      <c r="A11" s="49">
        <f t="shared" si="0"/>
        <v>10</v>
      </c>
      <c r="B11" s="49" t="s">
        <v>14</v>
      </c>
      <c r="C11" s="49" t="s">
        <v>81</v>
      </c>
      <c r="D11" s="49" t="s">
        <v>457</v>
      </c>
      <c r="E11" s="34" t="s">
        <v>458</v>
      </c>
      <c r="F11" s="35" t="s">
        <v>459</v>
      </c>
      <c r="G11" s="35" t="s">
        <v>460</v>
      </c>
      <c r="H11" s="49" t="s">
        <v>428</v>
      </c>
      <c r="I11" s="50">
        <v>45833</v>
      </c>
      <c r="J11" s="49"/>
      <c r="K11" s="35"/>
      <c r="L11" s="51"/>
    </row>
    <row r="12" spans="1:12" ht="30" hidden="1">
      <c r="A12" s="49">
        <f t="shared" si="0"/>
        <v>11</v>
      </c>
      <c r="B12" s="49" t="s">
        <v>14</v>
      </c>
      <c r="C12" s="49" t="s">
        <v>81</v>
      </c>
      <c r="D12" s="49" t="s">
        <v>461</v>
      </c>
      <c r="E12" s="34" t="s">
        <v>462</v>
      </c>
      <c r="F12" s="35" t="s">
        <v>463</v>
      </c>
      <c r="G12" s="87" t="s">
        <v>86</v>
      </c>
      <c r="H12" s="49" t="s">
        <v>428</v>
      </c>
      <c r="I12" s="50">
        <v>45833</v>
      </c>
      <c r="J12" s="49"/>
      <c r="K12" s="35"/>
      <c r="L12" s="51" t="s">
        <v>464</v>
      </c>
    </row>
    <row r="13" spans="1:12" hidden="1">
      <c r="A13" s="49">
        <f t="shared" si="0"/>
        <v>12</v>
      </c>
      <c r="B13" s="49" t="s">
        <v>14</v>
      </c>
      <c r="C13" s="49" t="s">
        <v>23</v>
      </c>
      <c r="D13" s="49" t="s">
        <v>465</v>
      </c>
      <c r="E13" s="12" t="s">
        <v>466</v>
      </c>
      <c r="F13" s="12" t="s">
        <v>467</v>
      </c>
      <c r="G13" s="12"/>
      <c r="H13" s="82" t="s">
        <v>428</v>
      </c>
      <c r="I13" s="50">
        <v>45833</v>
      </c>
      <c r="J13" s="49"/>
      <c r="K13" s="35"/>
      <c r="L13" s="51"/>
    </row>
    <row r="14" spans="1:12" ht="30" hidden="1">
      <c r="A14" s="49">
        <f t="shared" si="0"/>
        <v>13</v>
      </c>
      <c r="B14" s="49" t="s">
        <v>14</v>
      </c>
      <c r="C14" s="49" t="s">
        <v>81</v>
      </c>
      <c r="D14" s="49" t="s">
        <v>468</v>
      </c>
      <c r="E14" s="18" t="s">
        <v>469</v>
      </c>
      <c r="F14" s="12" t="s">
        <v>470</v>
      </c>
      <c r="G14" s="12" t="s">
        <v>471</v>
      </c>
      <c r="H14" s="83" t="s">
        <v>428</v>
      </c>
      <c r="I14" s="50">
        <v>45833</v>
      </c>
      <c r="J14" s="49"/>
      <c r="K14" s="35"/>
      <c r="L14" s="51"/>
    </row>
    <row r="15" spans="1:12" hidden="1">
      <c r="A15" s="49">
        <f t="shared" si="0"/>
        <v>14</v>
      </c>
      <c r="B15" s="49" t="s">
        <v>14</v>
      </c>
      <c r="C15" s="49" t="s">
        <v>30</v>
      </c>
      <c r="D15" s="49" t="s">
        <v>472</v>
      </c>
      <c r="E15" s="12" t="s">
        <v>473</v>
      </c>
      <c r="F15" s="12" t="s">
        <v>474</v>
      </c>
      <c r="G15" s="12"/>
      <c r="H15" s="83" t="s">
        <v>428</v>
      </c>
      <c r="I15" s="50">
        <v>45833</v>
      </c>
      <c r="J15" s="49"/>
      <c r="K15" s="35"/>
      <c r="L15" s="51"/>
    </row>
    <row r="16" spans="1:12" ht="116.45" hidden="1" customHeight="1">
      <c r="A16" s="49">
        <f t="shared" si="0"/>
        <v>15</v>
      </c>
      <c r="B16" s="49" t="s">
        <v>14</v>
      </c>
      <c r="C16" s="49" t="s">
        <v>218</v>
      </c>
      <c r="D16" s="49" t="s">
        <v>475</v>
      </c>
      <c r="E16" s="12" t="s">
        <v>476</v>
      </c>
      <c r="F16" s="12"/>
      <c r="G16" s="12" t="s">
        <v>477</v>
      </c>
      <c r="H16" s="83" t="s">
        <v>433</v>
      </c>
      <c r="I16" s="50">
        <v>45833</v>
      </c>
      <c r="J16" s="49"/>
      <c r="K16" s="35"/>
      <c r="L16" s="51"/>
    </row>
    <row r="17" spans="1:12" ht="30">
      <c r="A17" s="49">
        <f t="shared" si="0"/>
        <v>16</v>
      </c>
      <c r="B17" s="49" t="s">
        <v>10</v>
      </c>
      <c r="C17" s="49" t="s">
        <v>81</v>
      </c>
      <c r="D17" s="49" t="s">
        <v>478</v>
      </c>
      <c r="E17" s="12" t="s">
        <v>479</v>
      </c>
      <c r="F17" s="12" t="s">
        <v>480</v>
      </c>
      <c r="G17" s="12" t="s">
        <v>86</v>
      </c>
      <c r="H17" s="83" t="s">
        <v>428</v>
      </c>
      <c r="I17" s="50">
        <v>45833</v>
      </c>
      <c r="J17" s="49"/>
      <c r="K17" s="35"/>
      <c r="L17" s="51"/>
    </row>
    <row r="18" spans="1:12" ht="27.95" customHeight="1">
      <c r="A18" s="49">
        <f t="shared" si="0"/>
        <v>17</v>
      </c>
      <c r="B18" s="49" t="s">
        <v>10</v>
      </c>
      <c r="C18" s="49" t="s">
        <v>81</v>
      </c>
      <c r="D18" s="49" t="s">
        <v>94</v>
      </c>
      <c r="E18" s="12" t="s">
        <v>481</v>
      </c>
      <c r="F18" s="12" t="s">
        <v>482</v>
      </c>
      <c r="G18" s="12" t="s">
        <v>86</v>
      </c>
      <c r="H18" s="83" t="s">
        <v>428</v>
      </c>
      <c r="I18" s="50">
        <v>45833</v>
      </c>
      <c r="J18" s="49"/>
      <c r="K18" s="35"/>
      <c r="L18" s="51"/>
    </row>
    <row r="19" spans="1:12" ht="140.1" hidden="1" customHeight="1">
      <c r="A19" s="49">
        <f t="shared" si="0"/>
        <v>18</v>
      </c>
      <c r="B19" s="49" t="s">
        <v>14</v>
      </c>
      <c r="C19" s="49" t="s">
        <v>300</v>
      </c>
      <c r="D19" s="49" t="s">
        <v>483</v>
      </c>
      <c r="E19" s="18" t="s">
        <v>484</v>
      </c>
      <c r="F19" s="12" t="s">
        <v>485</v>
      </c>
      <c r="G19" s="12"/>
      <c r="H19" s="83" t="s">
        <v>433</v>
      </c>
      <c r="I19" s="50">
        <v>45833</v>
      </c>
      <c r="J19" s="49"/>
      <c r="K19" s="35"/>
      <c r="L19" s="51"/>
    </row>
    <row r="20" spans="1:12" hidden="1">
      <c r="A20" s="49">
        <f t="shared" si="0"/>
        <v>19</v>
      </c>
      <c r="B20" s="49" t="s">
        <v>14</v>
      </c>
      <c r="C20" s="42" t="s">
        <v>339</v>
      </c>
      <c r="D20" s="42" t="s">
        <v>349</v>
      </c>
      <c r="E20" s="12" t="s">
        <v>415</v>
      </c>
      <c r="F20" s="12" t="s">
        <v>486</v>
      </c>
      <c r="G20" s="12"/>
      <c r="H20" s="83" t="s">
        <v>433</v>
      </c>
      <c r="I20" s="50">
        <v>45834</v>
      </c>
      <c r="J20" s="49"/>
      <c r="K20" s="35"/>
      <c r="L20" s="51"/>
    </row>
    <row r="21" spans="1:12" ht="59.45" customHeight="1">
      <c r="A21" s="49">
        <f t="shared" si="0"/>
        <v>20</v>
      </c>
      <c r="B21" s="49" t="s">
        <v>10</v>
      </c>
      <c r="C21" s="49" t="s">
        <v>300</v>
      </c>
      <c r="D21" s="49" t="s">
        <v>487</v>
      </c>
      <c r="E21" s="18" t="s">
        <v>488</v>
      </c>
      <c r="F21" s="18" t="s">
        <v>489</v>
      </c>
      <c r="G21" s="18"/>
      <c r="H21" s="83" t="s">
        <v>433</v>
      </c>
      <c r="I21" s="50">
        <v>45834</v>
      </c>
      <c r="J21" s="49"/>
      <c r="K21" s="35"/>
      <c r="L21" s="51"/>
    </row>
    <row r="22" spans="1:12" ht="30" hidden="1">
      <c r="A22" s="49">
        <f t="shared" si="0"/>
        <v>21</v>
      </c>
      <c r="B22" s="49" t="s">
        <v>14</v>
      </c>
      <c r="C22" s="49" t="s">
        <v>81</v>
      </c>
      <c r="D22" s="49" t="s">
        <v>490</v>
      </c>
      <c r="E22" s="12" t="s">
        <v>491</v>
      </c>
      <c r="F22" s="12" t="s">
        <v>492</v>
      </c>
      <c r="G22" s="12" t="s">
        <v>129</v>
      </c>
      <c r="H22" s="83" t="s">
        <v>428</v>
      </c>
      <c r="I22" s="50">
        <v>45834</v>
      </c>
      <c r="J22" s="49"/>
      <c r="K22" s="35"/>
      <c r="L22" s="51"/>
    </row>
    <row r="23" spans="1:12" hidden="1">
      <c r="A23" s="49">
        <f t="shared" si="0"/>
        <v>22</v>
      </c>
      <c r="B23" s="49" t="s">
        <v>14</v>
      </c>
      <c r="C23" s="49" t="s">
        <v>81</v>
      </c>
      <c r="D23" s="49" t="s">
        <v>493</v>
      </c>
      <c r="E23" s="35" t="s">
        <v>494</v>
      </c>
      <c r="F23" s="35" t="s">
        <v>495</v>
      </c>
      <c r="G23" s="35" t="s">
        <v>129</v>
      </c>
      <c r="H23" s="49" t="s">
        <v>428</v>
      </c>
      <c r="I23" s="50">
        <v>45834</v>
      </c>
      <c r="J23" s="49"/>
      <c r="K23" s="35"/>
      <c r="L23" s="51"/>
    </row>
    <row r="24" spans="1:12" ht="30" hidden="1">
      <c r="A24" s="49">
        <f t="shared" si="0"/>
        <v>23</v>
      </c>
      <c r="B24" s="49" t="s">
        <v>14</v>
      </c>
      <c r="C24" s="49" t="s">
        <v>81</v>
      </c>
      <c r="D24" s="49" t="s">
        <v>496</v>
      </c>
      <c r="E24" s="12" t="s">
        <v>491</v>
      </c>
      <c r="F24" s="12" t="s">
        <v>492</v>
      </c>
      <c r="G24" s="22" t="s">
        <v>132</v>
      </c>
      <c r="H24" s="49" t="s">
        <v>428</v>
      </c>
      <c r="I24" s="50">
        <v>45834</v>
      </c>
      <c r="J24" s="49"/>
      <c r="K24" s="35"/>
      <c r="L24" s="51"/>
    </row>
    <row r="25" spans="1:12" hidden="1">
      <c r="A25" s="49">
        <f t="shared" si="0"/>
        <v>24</v>
      </c>
      <c r="B25" s="49" t="s">
        <v>14</v>
      </c>
      <c r="C25" s="49" t="s">
        <v>81</v>
      </c>
      <c r="D25" s="49" t="s">
        <v>497</v>
      </c>
      <c r="E25" s="35" t="s">
        <v>498</v>
      </c>
      <c r="F25" s="35" t="s">
        <v>499</v>
      </c>
      <c r="G25" s="22" t="s">
        <v>132</v>
      </c>
      <c r="H25" s="49" t="s">
        <v>428</v>
      </c>
      <c r="I25" s="23">
        <v>45834</v>
      </c>
      <c r="J25" s="49"/>
      <c r="K25" s="35"/>
      <c r="L25" s="51"/>
    </row>
    <row r="26" spans="1:12" ht="45.75">
      <c r="A26" s="49">
        <f t="shared" si="0"/>
        <v>25</v>
      </c>
      <c r="B26" s="49" t="s">
        <v>10</v>
      </c>
      <c r="C26" s="49" t="s">
        <v>339</v>
      </c>
      <c r="D26" s="49" t="s">
        <v>500</v>
      </c>
      <c r="E26" s="35" t="s">
        <v>501</v>
      </c>
      <c r="F26" s="35" t="s">
        <v>502</v>
      </c>
      <c r="G26" s="35" t="s">
        <v>503</v>
      </c>
      <c r="H26" s="49" t="s">
        <v>433</v>
      </c>
      <c r="I26" s="50">
        <v>45834</v>
      </c>
      <c r="J26" s="49"/>
      <c r="K26" s="35"/>
      <c r="L26" s="51"/>
    </row>
    <row r="27" spans="1:12" ht="60.75" hidden="1">
      <c r="A27" s="49">
        <f t="shared" si="0"/>
        <v>26</v>
      </c>
      <c r="B27" s="49" t="s">
        <v>14</v>
      </c>
      <c r="C27" s="49" t="s">
        <v>23</v>
      </c>
      <c r="D27" s="49" t="s">
        <v>40</v>
      </c>
      <c r="E27" s="12" t="s">
        <v>504</v>
      </c>
      <c r="F27" s="12" t="s">
        <v>505</v>
      </c>
      <c r="G27" s="12" t="s">
        <v>503</v>
      </c>
      <c r="H27" s="83" t="s">
        <v>433</v>
      </c>
      <c r="I27" s="50">
        <v>45834</v>
      </c>
      <c r="J27" s="49"/>
      <c r="K27" s="35"/>
      <c r="L27" s="51"/>
    </row>
    <row r="28" spans="1:12" hidden="1">
      <c r="A28" s="49">
        <f t="shared" si="0"/>
        <v>27</v>
      </c>
      <c r="B28" s="49" t="s">
        <v>14</v>
      </c>
      <c r="C28" s="49" t="s">
        <v>23</v>
      </c>
      <c r="D28" s="49" t="s">
        <v>465</v>
      </c>
      <c r="E28" s="12" t="s">
        <v>506</v>
      </c>
      <c r="F28" s="12" t="s">
        <v>467</v>
      </c>
      <c r="G28" s="12" t="s">
        <v>503</v>
      </c>
      <c r="H28" s="83" t="s">
        <v>433</v>
      </c>
      <c r="I28" s="50">
        <v>45834</v>
      </c>
      <c r="J28" s="49"/>
      <c r="K28" s="35"/>
      <c r="L28" s="51"/>
    </row>
    <row r="29" spans="1:12" ht="106.5" hidden="1">
      <c r="A29" s="49">
        <f t="shared" si="0"/>
        <v>28</v>
      </c>
      <c r="B29" s="49" t="s">
        <v>14</v>
      </c>
      <c r="C29" s="49" t="s">
        <v>81</v>
      </c>
      <c r="D29" s="49" t="s">
        <v>507</v>
      </c>
      <c r="E29" s="12" t="s">
        <v>508</v>
      </c>
      <c r="F29" s="12" t="s">
        <v>509</v>
      </c>
      <c r="G29" s="12" t="s">
        <v>510</v>
      </c>
      <c r="H29" s="83" t="s">
        <v>433</v>
      </c>
      <c r="I29" s="50">
        <v>45834</v>
      </c>
      <c r="J29" s="49"/>
      <c r="K29" s="35"/>
      <c r="L29" s="51"/>
    </row>
    <row r="30" spans="1:12" ht="30">
      <c r="A30" s="49">
        <f t="shared" si="0"/>
        <v>29</v>
      </c>
      <c r="B30" s="49" t="s">
        <v>10</v>
      </c>
      <c r="C30" s="49" t="s">
        <v>300</v>
      </c>
      <c r="D30" s="49" t="s">
        <v>511</v>
      </c>
      <c r="E30" s="12" t="s">
        <v>512</v>
      </c>
      <c r="F30" s="12" t="s">
        <v>513</v>
      </c>
      <c r="G30" s="88" t="s">
        <v>27</v>
      </c>
      <c r="H30" s="83" t="s">
        <v>428</v>
      </c>
      <c r="I30" s="50">
        <v>45835</v>
      </c>
      <c r="J30" s="49"/>
      <c r="K30" s="35"/>
      <c r="L30" s="51"/>
    </row>
    <row r="31" spans="1:12">
      <c r="A31" s="49">
        <f t="shared" si="0"/>
        <v>30</v>
      </c>
      <c r="B31" s="49" t="s">
        <v>10</v>
      </c>
      <c r="C31" s="49" t="s">
        <v>300</v>
      </c>
      <c r="D31" s="28" t="s">
        <v>514</v>
      </c>
      <c r="E31" s="12" t="s">
        <v>515</v>
      </c>
      <c r="F31" s="12" t="s">
        <v>516</v>
      </c>
      <c r="G31" s="88" t="s">
        <v>27</v>
      </c>
      <c r="H31" s="83" t="s">
        <v>428</v>
      </c>
      <c r="I31" s="50">
        <v>45835</v>
      </c>
      <c r="J31" s="49"/>
      <c r="K31" s="35"/>
      <c r="L31" s="51"/>
    </row>
    <row r="32" spans="1:12" hidden="1">
      <c r="A32" s="49">
        <f t="shared" si="0"/>
        <v>31</v>
      </c>
      <c r="B32" s="49" t="s">
        <v>14</v>
      </c>
      <c r="C32" s="49" t="s">
        <v>300</v>
      </c>
      <c r="D32" s="49" t="s">
        <v>517</v>
      </c>
      <c r="E32" s="12" t="s">
        <v>518</v>
      </c>
      <c r="F32" s="12" t="s">
        <v>519</v>
      </c>
      <c r="G32" s="88" t="s">
        <v>27</v>
      </c>
      <c r="H32" s="83" t="s">
        <v>428</v>
      </c>
      <c r="I32" s="50">
        <v>45835</v>
      </c>
      <c r="J32" s="49"/>
      <c r="K32" s="35"/>
      <c r="L32" s="51"/>
    </row>
    <row r="33" spans="1:12" ht="60" hidden="1">
      <c r="A33" s="49">
        <f t="shared" si="0"/>
        <v>32</v>
      </c>
      <c r="B33" s="49" t="s">
        <v>14</v>
      </c>
      <c r="C33" s="49" t="s">
        <v>300</v>
      </c>
      <c r="D33" s="49" t="s">
        <v>336</v>
      </c>
      <c r="E33" s="12" t="s">
        <v>520</v>
      </c>
      <c r="F33" s="12" t="s">
        <v>521</v>
      </c>
      <c r="G33" s="88" t="s">
        <v>27</v>
      </c>
      <c r="H33" s="84" t="s">
        <v>428</v>
      </c>
      <c r="I33" s="23">
        <v>45835</v>
      </c>
      <c r="J33" s="49"/>
      <c r="K33" s="35"/>
      <c r="L33" s="51"/>
    </row>
    <row r="34" spans="1:12" ht="23.1" hidden="1" customHeight="1">
      <c r="A34" s="49">
        <f t="shared" si="0"/>
        <v>33</v>
      </c>
      <c r="B34" s="49" t="s">
        <v>14</v>
      </c>
      <c r="C34" s="49" t="s">
        <v>300</v>
      </c>
      <c r="D34" s="49" t="s">
        <v>308</v>
      </c>
      <c r="E34" s="12" t="s">
        <v>522</v>
      </c>
      <c r="F34" s="12" t="s">
        <v>523</v>
      </c>
      <c r="G34" s="88" t="s">
        <v>27</v>
      </c>
      <c r="H34" s="84" t="s">
        <v>428</v>
      </c>
      <c r="I34" s="23">
        <v>45835</v>
      </c>
      <c r="J34" s="49"/>
      <c r="K34" s="35"/>
      <c r="L34" s="51"/>
    </row>
    <row r="35" spans="1:12" ht="30">
      <c r="A35" s="49">
        <f t="shared" si="0"/>
        <v>34</v>
      </c>
      <c r="B35" s="49" t="s">
        <v>10</v>
      </c>
      <c r="C35" s="49" t="s">
        <v>300</v>
      </c>
      <c r="D35" s="49" t="s">
        <v>308</v>
      </c>
      <c r="E35" s="12" t="s">
        <v>524</v>
      </c>
      <c r="F35" s="12" t="s">
        <v>525</v>
      </c>
      <c r="G35" s="88" t="s">
        <v>27</v>
      </c>
      <c r="H35" s="84" t="s">
        <v>428</v>
      </c>
      <c r="I35" s="23">
        <v>45835</v>
      </c>
      <c r="J35" s="49"/>
      <c r="K35" s="35"/>
      <c r="L35" s="51"/>
    </row>
    <row r="36" spans="1:12" ht="30" hidden="1">
      <c r="A36" s="49">
        <f t="shared" si="0"/>
        <v>35</v>
      </c>
      <c r="B36" s="49" t="s">
        <v>14</v>
      </c>
      <c r="C36" s="49" t="s">
        <v>300</v>
      </c>
      <c r="D36" s="49" t="s">
        <v>526</v>
      </c>
      <c r="E36" s="12" t="s">
        <v>527</v>
      </c>
      <c r="F36" s="12" t="s">
        <v>528</v>
      </c>
      <c r="G36" s="88" t="s">
        <v>27</v>
      </c>
      <c r="H36" s="84" t="s">
        <v>428</v>
      </c>
      <c r="I36" s="23">
        <v>45835</v>
      </c>
      <c r="J36" s="49"/>
      <c r="K36" s="35"/>
      <c r="L36" s="51"/>
    </row>
    <row r="37" spans="1:12" ht="30">
      <c r="A37" s="49">
        <f t="shared" si="0"/>
        <v>36</v>
      </c>
      <c r="B37" s="49" t="s">
        <v>10</v>
      </c>
      <c r="C37" s="49" t="s">
        <v>300</v>
      </c>
      <c r="D37" s="49" t="s">
        <v>526</v>
      </c>
      <c r="E37" s="12" t="s">
        <v>529</v>
      </c>
      <c r="F37" s="12" t="s">
        <v>530</v>
      </c>
      <c r="G37" s="88" t="s">
        <v>27</v>
      </c>
      <c r="H37" s="84" t="s">
        <v>428</v>
      </c>
      <c r="I37" s="23">
        <v>45835</v>
      </c>
      <c r="J37" s="49"/>
      <c r="K37" s="35"/>
      <c r="L37" s="51" t="s">
        <v>531</v>
      </c>
    </row>
    <row r="38" spans="1:12" ht="30" hidden="1">
      <c r="A38" s="49">
        <f t="shared" si="0"/>
        <v>37</v>
      </c>
      <c r="B38" s="49" t="s">
        <v>14</v>
      </c>
      <c r="C38" s="49" t="s">
        <v>339</v>
      </c>
      <c r="D38" s="49" t="s">
        <v>532</v>
      </c>
      <c r="E38" s="12" t="s">
        <v>533</v>
      </c>
      <c r="F38" s="12"/>
      <c r="G38" s="88" t="s">
        <v>27</v>
      </c>
      <c r="H38" s="84" t="s">
        <v>428</v>
      </c>
      <c r="I38" s="23">
        <v>45835</v>
      </c>
      <c r="J38" s="49"/>
      <c r="K38" s="35"/>
      <c r="L38" s="51"/>
    </row>
    <row r="39" spans="1:12" ht="60">
      <c r="A39" s="49">
        <f t="shared" si="0"/>
        <v>38</v>
      </c>
      <c r="B39" s="49" t="s">
        <v>10</v>
      </c>
      <c r="C39" s="29" t="s">
        <v>23</v>
      </c>
      <c r="D39" s="29" t="s">
        <v>24</v>
      </c>
      <c r="E39" s="12" t="s">
        <v>534</v>
      </c>
      <c r="F39" s="12" t="s">
        <v>535</v>
      </c>
      <c r="G39" s="88" t="s">
        <v>27</v>
      </c>
      <c r="H39" s="84" t="s">
        <v>428</v>
      </c>
      <c r="I39" s="23">
        <v>45835</v>
      </c>
      <c r="J39" s="49"/>
      <c r="K39" s="35"/>
      <c r="L39" s="51"/>
    </row>
    <row r="40" spans="1:12" ht="180">
      <c r="A40" s="49">
        <f t="shared" si="0"/>
        <v>39</v>
      </c>
      <c r="B40" s="49" t="s">
        <v>10</v>
      </c>
      <c r="C40" s="29" t="s">
        <v>30</v>
      </c>
      <c r="D40" s="49" t="s">
        <v>31</v>
      </c>
      <c r="E40" s="12" t="s">
        <v>536</v>
      </c>
      <c r="F40" s="12" t="s">
        <v>537</v>
      </c>
      <c r="G40" s="88" t="s">
        <v>27</v>
      </c>
      <c r="H40" s="84" t="s">
        <v>428</v>
      </c>
      <c r="I40" s="23">
        <v>45835</v>
      </c>
      <c r="J40" s="49"/>
      <c r="K40" s="35"/>
      <c r="L40" s="51"/>
    </row>
    <row r="41" spans="1:12">
      <c r="A41" s="49">
        <f t="shared" si="0"/>
        <v>40</v>
      </c>
      <c r="B41" s="49" t="s">
        <v>10</v>
      </c>
      <c r="C41" s="49" t="s">
        <v>30</v>
      </c>
      <c r="D41" s="49" t="s">
        <v>538</v>
      </c>
      <c r="E41" s="12" t="s">
        <v>539</v>
      </c>
      <c r="F41" s="12" t="s">
        <v>540</v>
      </c>
      <c r="G41" s="88" t="s">
        <v>27</v>
      </c>
      <c r="H41" s="84" t="s">
        <v>428</v>
      </c>
      <c r="I41" s="23">
        <v>45835</v>
      </c>
      <c r="J41" s="49"/>
      <c r="K41" s="35"/>
      <c r="L41" s="51"/>
    </row>
    <row r="42" spans="1:12" ht="30">
      <c r="A42" s="49">
        <f>ROW()-1</f>
        <v>41</v>
      </c>
      <c r="B42" s="49" t="s">
        <v>10</v>
      </c>
      <c r="C42" s="29" t="s">
        <v>23</v>
      </c>
      <c r="D42" s="49" t="s">
        <v>31</v>
      </c>
      <c r="E42" s="12" t="s">
        <v>541</v>
      </c>
      <c r="F42" s="12" t="s">
        <v>542</v>
      </c>
      <c r="G42" s="88" t="s">
        <v>27</v>
      </c>
      <c r="H42" s="84" t="s">
        <v>428</v>
      </c>
      <c r="I42" s="23">
        <v>45835</v>
      </c>
      <c r="J42" s="49"/>
      <c r="K42" s="35"/>
      <c r="L42" s="51"/>
    </row>
    <row r="43" spans="1:12" ht="30">
      <c r="A43" s="49">
        <f t="shared" si="0"/>
        <v>42</v>
      </c>
      <c r="B43" s="49" t="s">
        <v>10</v>
      </c>
      <c r="C43" s="49" t="s">
        <v>23</v>
      </c>
      <c r="D43" s="49" t="s">
        <v>543</v>
      </c>
      <c r="E43" s="12" t="s">
        <v>544</v>
      </c>
      <c r="F43" s="12" t="s">
        <v>545</v>
      </c>
      <c r="G43" s="88" t="s">
        <v>27</v>
      </c>
      <c r="H43" s="84" t="s">
        <v>428</v>
      </c>
      <c r="I43" s="23">
        <v>45835</v>
      </c>
      <c r="J43" s="49"/>
      <c r="K43" s="35"/>
      <c r="L43" s="51"/>
    </row>
    <row r="44" spans="1:12" ht="60">
      <c r="A44" s="49">
        <f t="shared" si="0"/>
        <v>43</v>
      </c>
      <c r="B44" s="49" t="s">
        <v>10</v>
      </c>
      <c r="C44" s="49" t="s">
        <v>23</v>
      </c>
      <c r="D44" s="49" t="s">
        <v>546</v>
      </c>
      <c r="E44" s="12" t="s">
        <v>547</v>
      </c>
      <c r="F44" s="12" t="s">
        <v>548</v>
      </c>
      <c r="G44" s="88" t="s">
        <v>27</v>
      </c>
      <c r="H44" s="84" t="s">
        <v>428</v>
      </c>
      <c r="I44" s="23">
        <v>45835</v>
      </c>
      <c r="J44" s="49"/>
      <c r="K44" s="35"/>
      <c r="L44" s="51"/>
    </row>
    <row r="45" spans="1:12" ht="30">
      <c r="A45" s="49">
        <f t="shared" si="0"/>
        <v>44</v>
      </c>
      <c r="B45" s="49" t="s">
        <v>10</v>
      </c>
      <c r="C45" s="49" t="s">
        <v>23</v>
      </c>
      <c r="D45" s="28" t="s">
        <v>549</v>
      </c>
      <c r="E45" s="12" t="s">
        <v>550</v>
      </c>
      <c r="F45" s="12" t="s">
        <v>551</v>
      </c>
      <c r="G45" s="88" t="s">
        <v>27</v>
      </c>
      <c r="H45" s="84" t="s">
        <v>428</v>
      </c>
      <c r="I45" s="23">
        <v>45835</v>
      </c>
      <c r="J45" s="49"/>
      <c r="K45" s="35"/>
      <c r="L45" s="51"/>
    </row>
    <row r="46" spans="1:12" ht="150">
      <c r="A46" s="49">
        <f t="shared" si="0"/>
        <v>45</v>
      </c>
      <c r="B46" s="49" t="s">
        <v>10</v>
      </c>
      <c r="C46" s="49" t="s">
        <v>81</v>
      </c>
      <c r="D46" s="49" t="s">
        <v>31</v>
      </c>
      <c r="E46" s="12" t="s">
        <v>552</v>
      </c>
      <c r="F46" s="12" t="s">
        <v>553</v>
      </c>
      <c r="G46" s="88" t="s">
        <v>27</v>
      </c>
      <c r="H46" s="84" t="s">
        <v>428</v>
      </c>
      <c r="I46" s="23">
        <v>45835</v>
      </c>
      <c r="J46" s="49"/>
      <c r="K46" s="35"/>
      <c r="L46" s="51"/>
    </row>
    <row r="47" spans="1:12" ht="30">
      <c r="A47" s="49">
        <f t="shared" si="0"/>
        <v>46</v>
      </c>
      <c r="B47" s="49" t="s">
        <v>10</v>
      </c>
      <c r="C47" s="49" t="s">
        <v>170</v>
      </c>
      <c r="D47" s="49" t="s">
        <v>23</v>
      </c>
      <c r="E47" s="12" t="s">
        <v>554</v>
      </c>
      <c r="F47" s="22" t="s">
        <v>555</v>
      </c>
      <c r="G47" s="88" t="s">
        <v>27</v>
      </c>
      <c r="H47" s="84" t="s">
        <v>428</v>
      </c>
      <c r="I47" s="23">
        <v>45835</v>
      </c>
      <c r="J47" s="49"/>
      <c r="K47" s="35"/>
      <c r="L47" s="51"/>
    </row>
    <row r="48" spans="1:12" ht="45">
      <c r="A48" s="49">
        <f t="shared" si="0"/>
        <v>47</v>
      </c>
      <c r="B48" s="49" t="s">
        <v>10</v>
      </c>
      <c r="C48" s="49" t="s">
        <v>170</v>
      </c>
      <c r="D48" s="49" t="s">
        <v>556</v>
      </c>
      <c r="E48" s="12" t="s">
        <v>557</v>
      </c>
      <c r="F48" s="12" t="s">
        <v>558</v>
      </c>
      <c r="G48" s="88" t="s">
        <v>27</v>
      </c>
      <c r="H48" s="84" t="s">
        <v>428</v>
      </c>
      <c r="I48" s="23">
        <v>45835</v>
      </c>
      <c r="J48" s="49"/>
      <c r="K48" s="35"/>
      <c r="L48" s="51"/>
    </row>
    <row r="49" spans="1:12" ht="45">
      <c r="A49" s="49">
        <f t="shared" si="0"/>
        <v>48</v>
      </c>
      <c r="B49" s="49" t="s">
        <v>10</v>
      </c>
      <c r="C49" s="49" t="s">
        <v>170</v>
      </c>
      <c r="D49" s="49" t="s">
        <v>180</v>
      </c>
      <c r="E49" s="12" t="s">
        <v>559</v>
      </c>
      <c r="F49" s="12" t="s">
        <v>181</v>
      </c>
      <c r="G49" s="88" t="s">
        <v>27</v>
      </c>
      <c r="H49" s="84" t="s">
        <v>428</v>
      </c>
      <c r="I49" s="23">
        <v>45835</v>
      </c>
      <c r="J49" s="49"/>
      <c r="K49" s="35"/>
      <c r="L49" s="51"/>
    </row>
    <row r="50" spans="1:12" ht="45">
      <c r="A50" s="49">
        <f t="shared" si="0"/>
        <v>49</v>
      </c>
      <c r="B50" s="49" t="s">
        <v>10</v>
      </c>
      <c r="C50" s="29" t="s">
        <v>185</v>
      </c>
      <c r="D50" s="49" t="s">
        <v>560</v>
      </c>
      <c r="E50" s="12" t="s">
        <v>561</v>
      </c>
      <c r="F50" s="12" t="s">
        <v>562</v>
      </c>
      <c r="G50" s="88" t="s">
        <v>27</v>
      </c>
      <c r="H50" s="84" t="s">
        <v>428</v>
      </c>
      <c r="I50" s="23">
        <v>45835</v>
      </c>
      <c r="J50" s="49"/>
      <c r="K50" s="35"/>
      <c r="L50" s="51"/>
    </row>
    <row r="51" spans="1:12" ht="45">
      <c r="A51" s="49">
        <f t="shared" si="0"/>
        <v>50</v>
      </c>
      <c r="B51" s="49" t="s">
        <v>10</v>
      </c>
      <c r="C51" s="29" t="s">
        <v>185</v>
      </c>
      <c r="D51" s="49" t="s">
        <v>191</v>
      </c>
      <c r="E51" s="12" t="s">
        <v>563</v>
      </c>
      <c r="F51" s="12" t="s">
        <v>192</v>
      </c>
      <c r="G51" s="88" t="s">
        <v>27</v>
      </c>
      <c r="H51" s="84" t="s">
        <v>428</v>
      </c>
      <c r="I51" s="23">
        <v>45835</v>
      </c>
      <c r="J51" s="49"/>
      <c r="K51" s="35"/>
      <c r="L51" s="51"/>
    </row>
    <row r="52" spans="1:12" ht="72.95" customHeight="1">
      <c r="A52" s="49">
        <f t="shared" si="0"/>
        <v>51</v>
      </c>
      <c r="B52" s="49" t="s">
        <v>10</v>
      </c>
      <c r="C52" s="49" t="s">
        <v>564</v>
      </c>
      <c r="D52" s="49" t="s">
        <v>565</v>
      </c>
      <c r="E52" s="18" t="s">
        <v>566</v>
      </c>
      <c r="F52" s="12" t="s">
        <v>567</v>
      </c>
      <c r="G52" s="12"/>
      <c r="H52" s="83" t="s">
        <v>433</v>
      </c>
      <c r="I52" s="50">
        <v>45835</v>
      </c>
      <c r="J52" s="49"/>
      <c r="K52" s="35"/>
      <c r="L52" s="51"/>
    </row>
    <row r="53" spans="1:12" ht="30.75" hidden="1">
      <c r="A53" s="49">
        <f t="shared" si="0"/>
        <v>52</v>
      </c>
      <c r="B53" s="49" t="s">
        <v>14</v>
      </c>
      <c r="C53" s="49" t="s">
        <v>81</v>
      </c>
      <c r="D53" s="49" t="s">
        <v>568</v>
      </c>
      <c r="E53" s="12" t="s">
        <v>569</v>
      </c>
      <c r="F53" s="12" t="s">
        <v>570</v>
      </c>
      <c r="G53" s="12" t="s">
        <v>571</v>
      </c>
      <c r="H53" s="83" t="s">
        <v>433</v>
      </c>
      <c r="I53" s="50">
        <v>45835</v>
      </c>
      <c r="J53" s="49"/>
      <c r="K53" s="35"/>
      <c r="L53" s="51"/>
    </row>
    <row r="54" spans="1:12" ht="90">
      <c r="A54" s="49">
        <f t="shared" si="0"/>
        <v>53</v>
      </c>
      <c r="B54" s="49" t="s">
        <v>10</v>
      </c>
      <c r="C54" s="49" t="s">
        <v>572</v>
      </c>
      <c r="D54" s="49" t="s">
        <v>23</v>
      </c>
      <c r="E54" s="12" t="s">
        <v>573</v>
      </c>
      <c r="F54" s="12" t="s">
        <v>574</v>
      </c>
      <c r="G54" s="88" t="s">
        <v>27</v>
      </c>
      <c r="H54" s="84" t="s">
        <v>428</v>
      </c>
      <c r="I54" s="23">
        <v>45835</v>
      </c>
      <c r="J54" s="49"/>
      <c r="K54" s="35"/>
      <c r="L54" s="51"/>
    </row>
    <row r="55" spans="1:12" ht="75">
      <c r="A55" s="49">
        <f t="shared" si="0"/>
        <v>54</v>
      </c>
      <c r="B55" s="49" t="s">
        <v>10</v>
      </c>
      <c r="C55" s="49" t="s">
        <v>194</v>
      </c>
      <c r="D55" s="49" t="s">
        <v>196</v>
      </c>
      <c r="E55" s="12" t="s">
        <v>575</v>
      </c>
      <c r="F55" s="12" t="s">
        <v>576</v>
      </c>
      <c r="G55" s="88" t="s">
        <v>27</v>
      </c>
      <c r="H55" s="84" t="s">
        <v>428</v>
      </c>
      <c r="I55" s="23">
        <v>45835</v>
      </c>
      <c r="J55" s="49"/>
      <c r="K55" s="35"/>
      <c r="L55" s="51"/>
    </row>
    <row r="56" spans="1:12" ht="30">
      <c r="A56" s="49">
        <f t="shared" si="0"/>
        <v>55</v>
      </c>
      <c r="B56" s="49" t="s">
        <v>10</v>
      </c>
      <c r="C56" s="49" t="s">
        <v>198</v>
      </c>
      <c r="D56" s="49" t="s">
        <v>577</v>
      </c>
      <c r="E56" s="12" t="s">
        <v>578</v>
      </c>
      <c r="F56" s="12" t="s">
        <v>579</v>
      </c>
      <c r="G56" s="88" t="s">
        <v>27</v>
      </c>
      <c r="H56" s="84" t="s">
        <v>428</v>
      </c>
      <c r="I56" s="23">
        <v>45835</v>
      </c>
      <c r="J56" s="49"/>
      <c r="K56" s="35"/>
      <c r="L56" s="51"/>
    </row>
    <row r="57" spans="1:12" ht="30">
      <c r="A57" s="49">
        <f t="shared" si="0"/>
        <v>56</v>
      </c>
      <c r="B57" s="49" t="s">
        <v>10</v>
      </c>
      <c r="C57" s="49" t="s">
        <v>202</v>
      </c>
      <c r="D57" s="49" t="s">
        <v>580</v>
      </c>
      <c r="E57" s="12" t="s">
        <v>581</v>
      </c>
      <c r="F57" s="12" t="s">
        <v>582</v>
      </c>
      <c r="G57" s="88" t="s">
        <v>27</v>
      </c>
      <c r="H57" s="84" t="s">
        <v>428</v>
      </c>
      <c r="I57" s="23">
        <v>45835</v>
      </c>
      <c r="J57" s="49"/>
      <c r="K57" s="35"/>
      <c r="L57" s="51"/>
    </row>
    <row r="58" spans="1:12" ht="45">
      <c r="A58" s="49">
        <f t="shared" si="0"/>
        <v>57</v>
      </c>
      <c r="B58" s="49" t="s">
        <v>10</v>
      </c>
      <c r="C58" s="49" t="s">
        <v>210</v>
      </c>
      <c r="D58" s="49" t="s">
        <v>583</v>
      </c>
      <c r="E58" s="12" t="s">
        <v>584</v>
      </c>
      <c r="F58" s="12" t="s">
        <v>585</v>
      </c>
      <c r="G58" s="88" t="s">
        <v>27</v>
      </c>
      <c r="H58" s="84" t="s">
        <v>428</v>
      </c>
      <c r="I58" s="23">
        <v>45835</v>
      </c>
      <c r="J58" s="49"/>
      <c r="K58" s="35"/>
      <c r="L58" s="51"/>
    </row>
    <row r="59" spans="1:12" ht="45">
      <c r="A59" s="49">
        <f t="shared" si="0"/>
        <v>58</v>
      </c>
      <c r="B59" s="49" t="s">
        <v>10</v>
      </c>
      <c r="C59" s="49" t="s">
        <v>210</v>
      </c>
      <c r="D59" s="49" t="s">
        <v>586</v>
      </c>
      <c r="E59" s="12" t="s">
        <v>587</v>
      </c>
      <c r="F59" s="12" t="s">
        <v>588</v>
      </c>
      <c r="G59" s="88" t="s">
        <v>27</v>
      </c>
      <c r="H59" s="84" t="s">
        <v>428</v>
      </c>
      <c r="I59" s="23">
        <v>45835</v>
      </c>
      <c r="J59" s="49"/>
      <c r="K59" s="35"/>
      <c r="L59" s="51"/>
    </row>
    <row r="60" spans="1:12" ht="173.25" customHeight="1">
      <c r="A60" s="49">
        <f t="shared" si="0"/>
        <v>59</v>
      </c>
      <c r="B60" s="49" t="s">
        <v>10</v>
      </c>
      <c r="C60" s="49" t="s">
        <v>218</v>
      </c>
      <c r="D60" s="49" t="s">
        <v>589</v>
      </c>
      <c r="E60" s="12" t="s">
        <v>590</v>
      </c>
      <c r="F60" s="12" t="s">
        <v>591</v>
      </c>
      <c r="G60" s="88" t="s">
        <v>27</v>
      </c>
      <c r="H60" s="84" t="s">
        <v>428</v>
      </c>
      <c r="I60" s="23">
        <v>45835</v>
      </c>
      <c r="J60" s="49"/>
      <c r="K60" s="35"/>
      <c r="L60" s="51"/>
    </row>
    <row r="61" spans="1:12">
      <c r="A61" s="49">
        <f t="shared" si="0"/>
        <v>60</v>
      </c>
      <c r="B61" s="49" t="s">
        <v>10</v>
      </c>
      <c r="C61" s="49" t="s">
        <v>218</v>
      </c>
      <c r="D61" s="49" t="s">
        <v>99</v>
      </c>
      <c r="E61" s="12" t="s">
        <v>592</v>
      </c>
      <c r="F61" s="12" t="s">
        <v>593</v>
      </c>
      <c r="G61" s="88" t="s">
        <v>27</v>
      </c>
      <c r="H61" s="84" t="s">
        <v>428</v>
      </c>
      <c r="I61" s="23">
        <v>45835</v>
      </c>
      <c r="J61" s="49"/>
      <c r="K61" s="35"/>
      <c r="L61" s="51"/>
    </row>
    <row r="62" spans="1:12">
      <c r="A62" s="49">
        <f t="shared" si="0"/>
        <v>61</v>
      </c>
      <c r="B62" s="49" t="s">
        <v>10</v>
      </c>
      <c r="C62" s="49" t="s">
        <v>218</v>
      </c>
      <c r="D62" s="49" t="s">
        <v>103</v>
      </c>
      <c r="E62" s="12" t="s">
        <v>594</v>
      </c>
      <c r="F62" s="12" t="s">
        <v>595</v>
      </c>
      <c r="G62" s="88" t="s">
        <v>27</v>
      </c>
      <c r="H62" s="84" t="s">
        <v>428</v>
      </c>
      <c r="I62" s="23">
        <v>45835</v>
      </c>
      <c r="J62" s="49"/>
      <c r="K62" s="35"/>
      <c r="L62" s="51"/>
    </row>
    <row r="63" spans="1:12" ht="30">
      <c r="A63" s="49">
        <f t="shared" si="0"/>
        <v>62</v>
      </c>
      <c r="B63" s="49" t="s">
        <v>10</v>
      </c>
      <c r="C63" s="49" t="s">
        <v>218</v>
      </c>
      <c r="D63" s="49" t="s">
        <v>109</v>
      </c>
      <c r="E63" s="12" t="s">
        <v>596</v>
      </c>
      <c r="F63" s="12" t="s">
        <v>597</v>
      </c>
      <c r="G63" s="88" t="s">
        <v>27</v>
      </c>
      <c r="H63" s="84" t="s">
        <v>428</v>
      </c>
      <c r="I63" s="23">
        <v>45835</v>
      </c>
      <c r="J63" s="49"/>
      <c r="K63" s="35"/>
      <c r="L63" s="51"/>
    </row>
    <row r="64" spans="1:12">
      <c r="A64" s="49">
        <f t="shared" si="0"/>
        <v>63</v>
      </c>
      <c r="B64" s="49" t="s">
        <v>10</v>
      </c>
      <c r="C64" s="49" t="s">
        <v>218</v>
      </c>
      <c r="D64" s="49" t="s">
        <v>245</v>
      </c>
      <c r="E64" s="12" t="s">
        <v>598</v>
      </c>
      <c r="F64" s="12" t="s">
        <v>599</v>
      </c>
      <c r="G64" s="88" t="s">
        <v>27</v>
      </c>
      <c r="H64" s="84" t="s">
        <v>428</v>
      </c>
      <c r="I64" s="23">
        <v>45835</v>
      </c>
      <c r="J64" s="49"/>
      <c r="K64" s="35"/>
      <c r="L64" s="51"/>
    </row>
    <row r="65" spans="1:12">
      <c r="A65" s="49">
        <f t="shared" si="0"/>
        <v>64</v>
      </c>
      <c r="B65" s="49" t="s">
        <v>10</v>
      </c>
      <c r="C65" s="49" t="s">
        <v>218</v>
      </c>
      <c r="D65" s="49" t="s">
        <v>249</v>
      </c>
      <c r="E65" s="12" t="s">
        <v>600</v>
      </c>
      <c r="F65" s="12" t="s">
        <v>601</v>
      </c>
      <c r="G65" s="88" t="s">
        <v>27</v>
      </c>
      <c r="H65" s="84" t="s">
        <v>428</v>
      </c>
      <c r="I65" s="23">
        <v>45835</v>
      </c>
      <c r="J65" s="49"/>
      <c r="K65" s="35"/>
      <c r="L65" s="51"/>
    </row>
    <row r="66" spans="1:12">
      <c r="A66" s="49">
        <f t="shared" si="0"/>
        <v>65</v>
      </c>
      <c r="B66" s="49" t="s">
        <v>10</v>
      </c>
      <c r="C66" s="49" t="s">
        <v>260</v>
      </c>
      <c r="D66" s="49" t="s">
        <v>602</v>
      </c>
      <c r="E66" s="12" t="s">
        <v>603</v>
      </c>
      <c r="F66" s="12" t="s">
        <v>604</v>
      </c>
      <c r="G66" s="88" t="s">
        <v>27</v>
      </c>
      <c r="H66" s="84" t="s">
        <v>428</v>
      </c>
      <c r="I66" s="23">
        <v>45838</v>
      </c>
      <c r="J66" s="49"/>
      <c r="K66" s="35"/>
      <c r="L66" s="51"/>
    </row>
    <row r="67" spans="1:12" ht="30">
      <c r="A67" s="49">
        <f t="shared" ref="A67:A101" si="1">ROW()-1</f>
        <v>66</v>
      </c>
      <c r="B67" s="49" t="s">
        <v>10</v>
      </c>
      <c r="C67" s="49" t="s">
        <v>260</v>
      </c>
      <c r="D67" s="49" t="s">
        <v>91</v>
      </c>
      <c r="E67" s="12" t="s">
        <v>605</v>
      </c>
      <c r="F67" s="18" t="s">
        <v>606</v>
      </c>
      <c r="G67" s="88" t="s">
        <v>27</v>
      </c>
      <c r="H67" s="84" t="s">
        <v>428</v>
      </c>
      <c r="I67" s="23">
        <v>45838</v>
      </c>
      <c r="J67" s="49"/>
      <c r="K67" s="35"/>
      <c r="L67" s="51"/>
    </row>
    <row r="68" spans="1:12">
      <c r="A68" s="49">
        <f t="shared" si="1"/>
        <v>67</v>
      </c>
      <c r="B68" s="49" t="s">
        <v>10</v>
      </c>
      <c r="C68" s="49" t="s">
        <v>260</v>
      </c>
      <c r="D68" s="49" t="s">
        <v>95</v>
      </c>
      <c r="E68" s="12" t="s">
        <v>607</v>
      </c>
      <c r="F68" s="12" t="s">
        <v>607</v>
      </c>
      <c r="G68" s="88" t="s">
        <v>27</v>
      </c>
      <c r="H68" s="84" t="s">
        <v>428</v>
      </c>
      <c r="I68" s="23">
        <v>45838</v>
      </c>
      <c r="J68" s="49"/>
      <c r="K68" s="35"/>
      <c r="L68" s="51"/>
    </row>
    <row r="69" spans="1:12" ht="30">
      <c r="A69" s="49">
        <f t="shared" si="1"/>
        <v>68</v>
      </c>
      <c r="B69" s="49" t="s">
        <v>10</v>
      </c>
      <c r="C69" s="49" t="s">
        <v>260</v>
      </c>
      <c r="D69" s="49" t="s">
        <v>608</v>
      </c>
      <c r="E69" s="12" t="s">
        <v>609</v>
      </c>
      <c r="F69" s="12" t="s">
        <v>610</v>
      </c>
      <c r="G69" s="88" t="s">
        <v>27</v>
      </c>
      <c r="H69" s="84" t="s">
        <v>428</v>
      </c>
      <c r="I69" s="23">
        <v>45838</v>
      </c>
      <c r="J69" s="49"/>
      <c r="K69" s="35"/>
      <c r="L69" s="51"/>
    </row>
    <row r="70" spans="1:12" ht="30">
      <c r="A70" s="49">
        <f t="shared" si="1"/>
        <v>69</v>
      </c>
      <c r="B70" s="49" t="s">
        <v>10</v>
      </c>
      <c r="C70" s="49" t="s">
        <v>274</v>
      </c>
      <c r="D70" s="49" t="s">
        <v>91</v>
      </c>
      <c r="E70" s="12" t="s">
        <v>611</v>
      </c>
      <c r="F70" s="12" t="s">
        <v>612</v>
      </c>
      <c r="G70" s="88" t="s">
        <v>27</v>
      </c>
      <c r="H70" s="84" t="s">
        <v>428</v>
      </c>
      <c r="I70" s="23">
        <v>45838</v>
      </c>
      <c r="J70" s="49"/>
      <c r="K70" s="35"/>
      <c r="L70" s="51"/>
    </row>
    <row r="71" spans="1:12" ht="30">
      <c r="A71" s="49">
        <f t="shared" si="1"/>
        <v>70</v>
      </c>
      <c r="B71" s="49" t="s">
        <v>10</v>
      </c>
      <c r="C71" s="49" t="s">
        <v>274</v>
      </c>
      <c r="D71" s="49" t="s">
        <v>613</v>
      </c>
      <c r="E71" s="12" t="s">
        <v>614</v>
      </c>
      <c r="F71" s="12" t="s">
        <v>615</v>
      </c>
      <c r="G71" s="88" t="s">
        <v>27</v>
      </c>
      <c r="H71" s="84" t="s">
        <v>428</v>
      </c>
      <c r="I71" s="23">
        <v>45838</v>
      </c>
      <c r="J71" s="49"/>
      <c r="K71" s="35"/>
      <c r="L71" s="51"/>
    </row>
    <row r="72" spans="1:12" ht="30">
      <c r="A72" s="49">
        <f t="shared" si="1"/>
        <v>71</v>
      </c>
      <c r="B72" s="49" t="s">
        <v>10</v>
      </c>
      <c r="C72" s="49" t="s">
        <v>274</v>
      </c>
      <c r="D72" s="49" t="s">
        <v>284</v>
      </c>
      <c r="E72" s="12" t="s">
        <v>616</v>
      </c>
      <c r="F72" s="12" t="s">
        <v>617</v>
      </c>
      <c r="G72" s="88" t="s">
        <v>27</v>
      </c>
      <c r="H72" s="84" t="s">
        <v>428</v>
      </c>
      <c r="I72" s="23">
        <v>45838</v>
      </c>
      <c r="J72" s="49"/>
      <c r="K72" s="35"/>
      <c r="L72" s="51"/>
    </row>
    <row r="73" spans="1:12">
      <c r="A73" s="49">
        <f t="shared" si="1"/>
        <v>72</v>
      </c>
      <c r="B73" s="49" t="s">
        <v>10</v>
      </c>
      <c r="C73" s="49" t="s">
        <v>618</v>
      </c>
      <c r="D73" s="49" t="s">
        <v>23</v>
      </c>
      <c r="E73" s="18" t="s">
        <v>619</v>
      </c>
      <c r="F73" s="18" t="s">
        <v>620</v>
      </c>
      <c r="G73" s="88" t="s">
        <v>27</v>
      </c>
      <c r="H73" s="84" t="s">
        <v>428</v>
      </c>
      <c r="I73" s="23">
        <v>45838</v>
      </c>
      <c r="J73" s="49"/>
      <c r="K73" s="35"/>
      <c r="L73" s="51"/>
    </row>
    <row r="74" spans="1:12">
      <c r="A74" s="49">
        <f t="shared" si="1"/>
        <v>73</v>
      </c>
      <c r="B74" s="49" t="s">
        <v>10</v>
      </c>
      <c r="C74" s="49" t="s">
        <v>618</v>
      </c>
      <c r="D74" s="49" t="s">
        <v>621</v>
      </c>
      <c r="E74" s="12" t="s">
        <v>614</v>
      </c>
      <c r="F74" s="12" t="s">
        <v>615</v>
      </c>
      <c r="G74" s="88" t="s">
        <v>27</v>
      </c>
      <c r="H74" s="84" t="s">
        <v>428</v>
      </c>
      <c r="I74" s="23">
        <v>45838</v>
      </c>
      <c r="J74" s="49"/>
      <c r="K74" s="35"/>
      <c r="L74" s="51"/>
    </row>
    <row r="75" spans="1:12" ht="30">
      <c r="A75" s="49">
        <f t="shared" si="1"/>
        <v>74</v>
      </c>
      <c r="B75" s="49" t="s">
        <v>10</v>
      </c>
      <c r="C75" s="49" t="s">
        <v>618</v>
      </c>
      <c r="D75" s="49" t="s">
        <v>622</v>
      </c>
      <c r="E75" s="12" t="s">
        <v>623</v>
      </c>
      <c r="F75" s="12" t="s">
        <v>624</v>
      </c>
      <c r="G75" s="88" t="s">
        <v>27</v>
      </c>
      <c r="H75" s="84" t="s">
        <v>428</v>
      </c>
      <c r="I75" s="23">
        <v>45838</v>
      </c>
      <c r="J75" s="49"/>
      <c r="K75" s="35"/>
      <c r="L75" s="51"/>
    </row>
    <row r="76" spans="1:12">
      <c r="A76" s="49">
        <f t="shared" si="1"/>
        <v>75</v>
      </c>
      <c r="B76" s="49" t="s">
        <v>10</v>
      </c>
      <c r="C76" s="49" t="s">
        <v>178</v>
      </c>
      <c r="D76" s="49" t="s">
        <v>625</v>
      </c>
      <c r="E76" s="21" t="s">
        <v>626</v>
      </c>
      <c r="F76" s="21" t="s">
        <v>627</v>
      </c>
      <c r="G76" s="88" t="s">
        <v>27</v>
      </c>
      <c r="H76" s="84" t="s">
        <v>428</v>
      </c>
      <c r="I76" s="23">
        <v>45838</v>
      </c>
      <c r="J76" s="49"/>
      <c r="K76" s="35"/>
      <c r="L76" s="51"/>
    </row>
    <row r="77" spans="1:12" ht="30">
      <c r="A77" s="49">
        <f t="shared" si="1"/>
        <v>76</v>
      </c>
      <c r="B77" s="49" t="s">
        <v>10</v>
      </c>
      <c r="C77" s="49" t="s">
        <v>300</v>
      </c>
      <c r="D77" s="49" t="s">
        <v>23</v>
      </c>
      <c r="E77" s="12" t="s">
        <v>628</v>
      </c>
      <c r="F77" s="12" t="s">
        <v>629</v>
      </c>
      <c r="G77" s="88" t="s">
        <v>303</v>
      </c>
      <c r="H77" s="84" t="s">
        <v>428</v>
      </c>
      <c r="I77" s="23">
        <v>45838</v>
      </c>
      <c r="J77" s="49"/>
      <c r="K77" s="35"/>
      <c r="L77" s="51"/>
    </row>
    <row r="78" spans="1:12" ht="30">
      <c r="A78" s="49">
        <f t="shared" si="1"/>
        <v>77</v>
      </c>
      <c r="B78" s="49" t="s">
        <v>10</v>
      </c>
      <c r="C78" s="49" t="s">
        <v>300</v>
      </c>
      <c r="D78" s="49" t="s">
        <v>23</v>
      </c>
      <c r="E78" s="12" t="s">
        <v>630</v>
      </c>
      <c r="F78" s="12" t="s">
        <v>631</v>
      </c>
      <c r="G78" s="88" t="s">
        <v>303</v>
      </c>
      <c r="H78" s="84" t="s">
        <v>428</v>
      </c>
      <c r="I78" s="23">
        <v>45838</v>
      </c>
      <c r="J78" s="49"/>
      <c r="K78" s="35"/>
      <c r="L78" s="51"/>
    </row>
    <row r="79" spans="1:12" ht="90">
      <c r="A79" s="49">
        <f t="shared" si="1"/>
        <v>78</v>
      </c>
      <c r="B79" s="49" t="s">
        <v>10</v>
      </c>
      <c r="C79" s="49" t="s">
        <v>300</v>
      </c>
      <c r="D79" s="49" t="s">
        <v>632</v>
      </c>
      <c r="E79" s="12" t="s">
        <v>633</v>
      </c>
      <c r="F79" s="12" t="s">
        <v>634</v>
      </c>
      <c r="G79" s="88" t="s">
        <v>303</v>
      </c>
      <c r="H79" s="84" t="s">
        <v>428</v>
      </c>
      <c r="I79" s="23">
        <v>45838</v>
      </c>
      <c r="J79" s="49"/>
      <c r="K79" s="35"/>
      <c r="L79" s="51"/>
    </row>
    <row r="80" spans="1:12" ht="30">
      <c r="A80" s="49">
        <f t="shared" si="1"/>
        <v>79</v>
      </c>
      <c r="B80" s="49" t="s">
        <v>10</v>
      </c>
      <c r="C80" s="49" t="s">
        <v>339</v>
      </c>
      <c r="D80" s="49" t="s">
        <v>635</v>
      </c>
      <c r="E80" s="12" t="s">
        <v>636</v>
      </c>
      <c r="F80" s="12" t="s">
        <v>637</v>
      </c>
      <c r="G80" s="36" t="s">
        <v>343</v>
      </c>
      <c r="H80" s="83" t="s">
        <v>428</v>
      </c>
      <c r="I80" s="50">
        <v>45838</v>
      </c>
      <c r="J80" s="49"/>
      <c r="K80" s="35"/>
      <c r="L80" s="51" t="s">
        <v>638</v>
      </c>
    </row>
    <row r="81" spans="1:13" ht="30">
      <c r="A81" s="49">
        <f t="shared" si="1"/>
        <v>80</v>
      </c>
      <c r="B81" s="49" t="s">
        <v>10</v>
      </c>
      <c r="C81" s="49" t="s">
        <v>639</v>
      </c>
      <c r="D81" s="49" t="s">
        <v>640</v>
      </c>
      <c r="E81" s="12" t="s">
        <v>641</v>
      </c>
      <c r="F81" s="12" t="s">
        <v>642</v>
      </c>
      <c r="G81" s="36" t="s">
        <v>343</v>
      </c>
      <c r="H81" s="83" t="s">
        <v>428</v>
      </c>
      <c r="I81" s="50">
        <v>45838</v>
      </c>
      <c r="J81" s="49"/>
      <c r="K81" s="35"/>
      <c r="L81" s="51"/>
      <c r="M81" s="58"/>
    </row>
    <row r="82" spans="1:13">
      <c r="A82" s="49">
        <f t="shared" si="1"/>
        <v>81</v>
      </c>
      <c r="B82" s="49" t="s">
        <v>10</v>
      </c>
      <c r="C82" s="49" t="s">
        <v>194</v>
      </c>
      <c r="D82" s="49" t="s">
        <v>643</v>
      </c>
      <c r="E82" s="12" t="s">
        <v>644</v>
      </c>
      <c r="F82" s="12" t="s">
        <v>645</v>
      </c>
      <c r="G82" s="12" t="s">
        <v>646</v>
      </c>
      <c r="H82" s="83" t="s">
        <v>428</v>
      </c>
      <c r="I82" s="50">
        <v>45838</v>
      </c>
      <c r="J82" s="49"/>
      <c r="K82" s="35"/>
      <c r="L82" s="51"/>
      <c r="M82" s="58"/>
    </row>
    <row r="83" spans="1:13" ht="45" hidden="1">
      <c r="A83" s="49">
        <f t="shared" si="1"/>
        <v>82</v>
      </c>
      <c r="B83" s="49" t="s">
        <v>14</v>
      </c>
      <c r="C83" s="49" t="s">
        <v>81</v>
      </c>
      <c r="D83" s="49" t="s">
        <v>647</v>
      </c>
      <c r="E83" s="12" t="s">
        <v>648</v>
      </c>
      <c r="F83" s="12" t="s">
        <v>649</v>
      </c>
      <c r="G83" s="12" t="s">
        <v>650</v>
      </c>
      <c r="H83" s="83" t="s">
        <v>428</v>
      </c>
      <c r="I83" s="50">
        <v>45838</v>
      </c>
      <c r="J83" s="49"/>
      <c r="K83" s="35"/>
      <c r="L83" s="51"/>
      <c r="M83" s="58"/>
    </row>
    <row r="84" spans="1:13" ht="234.95" hidden="1" customHeight="1">
      <c r="A84" s="49">
        <f t="shared" si="1"/>
        <v>83</v>
      </c>
      <c r="B84" s="36" t="s">
        <v>14</v>
      </c>
      <c r="C84" s="36" t="s">
        <v>81</v>
      </c>
      <c r="D84" s="56" t="s">
        <v>651</v>
      </c>
      <c r="E84" s="18" t="s">
        <v>652</v>
      </c>
      <c r="F84" s="18" t="s">
        <v>653</v>
      </c>
      <c r="G84" s="12" t="s">
        <v>383</v>
      </c>
      <c r="H84" s="83" t="s">
        <v>433</v>
      </c>
      <c r="I84" s="50">
        <v>45839</v>
      </c>
      <c r="J84" s="49"/>
      <c r="K84" s="35"/>
      <c r="L84" s="51"/>
      <c r="M84" s="58"/>
    </row>
    <row r="85" spans="1:13" ht="274.5" hidden="1" customHeight="1">
      <c r="A85" s="49">
        <f t="shared" si="1"/>
        <v>84</v>
      </c>
      <c r="B85" s="49" t="s">
        <v>14</v>
      </c>
      <c r="C85" s="49" t="s">
        <v>81</v>
      </c>
      <c r="D85" s="49" t="s">
        <v>654</v>
      </c>
      <c r="E85" s="12" t="s">
        <v>655</v>
      </c>
      <c r="F85" s="12" t="s">
        <v>656</v>
      </c>
      <c r="G85" s="12" t="s">
        <v>387</v>
      </c>
      <c r="H85" s="83" t="s">
        <v>433</v>
      </c>
      <c r="I85" s="50">
        <v>45839</v>
      </c>
      <c r="J85" s="49"/>
      <c r="K85" s="35"/>
      <c r="L85" s="51"/>
      <c r="M85" s="58"/>
    </row>
    <row r="86" spans="1:13" ht="321" hidden="1">
      <c r="A86" s="49">
        <f t="shared" si="1"/>
        <v>85</v>
      </c>
      <c r="B86" s="49" t="s">
        <v>14</v>
      </c>
      <c r="C86" s="49" t="s">
        <v>81</v>
      </c>
      <c r="D86" s="49" t="s">
        <v>657</v>
      </c>
      <c r="E86" s="12" t="s">
        <v>658</v>
      </c>
      <c r="F86" s="12" t="s">
        <v>659</v>
      </c>
      <c r="G86" s="12" t="s">
        <v>660</v>
      </c>
      <c r="H86" s="83" t="s">
        <v>433</v>
      </c>
      <c r="I86" s="50">
        <v>45840</v>
      </c>
      <c r="J86" s="49"/>
      <c r="K86" s="35"/>
      <c r="L86" s="51"/>
      <c r="M86" s="58"/>
    </row>
    <row r="87" spans="1:13" ht="30.75" hidden="1">
      <c r="A87" s="49">
        <f t="shared" si="1"/>
        <v>86</v>
      </c>
      <c r="B87" s="49" t="s">
        <v>14</v>
      </c>
      <c r="C87" s="49" t="s">
        <v>661</v>
      </c>
      <c r="D87" s="49" t="s">
        <v>662</v>
      </c>
      <c r="E87" s="12" t="s">
        <v>663</v>
      </c>
      <c r="F87" s="12" t="s">
        <v>664</v>
      </c>
      <c r="G87" s="12" t="s">
        <v>660</v>
      </c>
      <c r="H87" s="83" t="s">
        <v>433</v>
      </c>
      <c r="I87" s="23">
        <v>45840</v>
      </c>
      <c r="J87" s="49"/>
      <c r="K87" s="35"/>
      <c r="L87" s="51"/>
      <c r="M87" s="58"/>
    </row>
    <row r="88" spans="1:13" ht="126" hidden="1" customHeight="1">
      <c r="A88" s="62">
        <f t="shared" si="1"/>
        <v>87</v>
      </c>
      <c r="B88" s="49" t="s">
        <v>14</v>
      </c>
      <c r="C88" s="49" t="s">
        <v>661</v>
      </c>
      <c r="D88" s="49" t="s">
        <v>81</v>
      </c>
      <c r="E88" s="18" t="s">
        <v>665</v>
      </c>
      <c r="F88" s="12" t="s">
        <v>666</v>
      </c>
      <c r="G88" s="12" t="s">
        <v>667</v>
      </c>
      <c r="H88" s="83" t="s">
        <v>433</v>
      </c>
      <c r="I88" s="50">
        <v>45841</v>
      </c>
      <c r="J88" s="49"/>
      <c r="K88" s="35"/>
      <c r="L88" s="51"/>
      <c r="M88" s="58"/>
    </row>
    <row r="89" spans="1:13" ht="45.75">
      <c r="A89" s="67">
        <f t="shared" si="1"/>
        <v>88</v>
      </c>
      <c r="B89" s="68" t="s">
        <v>10</v>
      </c>
      <c r="C89" s="68" t="s">
        <v>81</v>
      </c>
      <c r="D89" s="68" t="s">
        <v>668</v>
      </c>
      <c r="E89" s="69" t="s">
        <v>669</v>
      </c>
      <c r="F89" s="69" t="s">
        <v>670</v>
      </c>
      <c r="G89" s="69" t="s">
        <v>671</v>
      </c>
      <c r="H89" s="85" t="s">
        <v>433</v>
      </c>
      <c r="I89" s="70">
        <v>45841</v>
      </c>
      <c r="J89" s="68"/>
      <c r="K89" s="71"/>
      <c r="L89" s="72" t="s">
        <v>672</v>
      </c>
      <c r="M89" s="58"/>
    </row>
    <row r="90" spans="1:13" s="66" customFormat="1" ht="30.75" hidden="1">
      <c r="A90" s="77">
        <f t="shared" si="1"/>
        <v>89</v>
      </c>
      <c r="B90" s="78" t="s">
        <v>14</v>
      </c>
      <c r="C90" s="78" t="s">
        <v>81</v>
      </c>
      <c r="D90" s="78" t="s">
        <v>673</v>
      </c>
      <c r="E90" s="59" t="s">
        <v>674</v>
      </c>
      <c r="F90" s="59" t="s">
        <v>675</v>
      </c>
      <c r="G90" s="59" t="s">
        <v>676</v>
      </c>
      <c r="H90" s="78" t="s">
        <v>433</v>
      </c>
      <c r="I90" s="79">
        <v>45841</v>
      </c>
      <c r="J90" s="78"/>
      <c r="K90" s="78"/>
      <c r="L90" s="78"/>
    </row>
    <row r="91" spans="1:13" hidden="1">
      <c r="A91" s="73">
        <f t="shared" si="1"/>
        <v>90</v>
      </c>
      <c r="B91" s="73"/>
      <c r="C91" s="73"/>
      <c r="D91" s="73"/>
      <c r="E91" s="74"/>
      <c r="F91" s="74"/>
      <c r="G91" s="74"/>
      <c r="H91" s="86"/>
      <c r="I91" s="73"/>
      <c r="J91" s="73"/>
      <c r="K91" s="75"/>
      <c r="L91" s="76"/>
      <c r="M91" s="58"/>
    </row>
    <row r="92" spans="1:13" hidden="1">
      <c r="A92" s="49">
        <f t="shared" si="1"/>
        <v>91</v>
      </c>
      <c r="B92" s="49"/>
      <c r="C92" s="49"/>
      <c r="D92" s="49"/>
      <c r="E92" s="12"/>
      <c r="F92" s="12"/>
      <c r="G92" s="12"/>
      <c r="H92" s="83"/>
      <c r="I92" s="49"/>
      <c r="J92" s="49"/>
      <c r="K92" s="35"/>
      <c r="L92" s="51"/>
      <c r="M92" s="58"/>
    </row>
    <row r="93" spans="1:13" hidden="1">
      <c r="A93" s="49">
        <f t="shared" si="1"/>
        <v>92</v>
      </c>
      <c r="B93" s="49"/>
      <c r="C93" s="49"/>
      <c r="D93" s="49"/>
      <c r="E93" s="12"/>
      <c r="F93" s="12"/>
      <c r="G93" s="12"/>
      <c r="H93" s="83"/>
      <c r="I93" s="49"/>
      <c r="J93" s="49"/>
      <c r="K93" s="35"/>
      <c r="L93" s="51"/>
      <c r="M93" s="58"/>
    </row>
    <row r="94" spans="1:13" hidden="1">
      <c r="A94" s="49">
        <f t="shared" si="1"/>
        <v>93</v>
      </c>
      <c r="B94" s="49"/>
      <c r="C94" s="49"/>
      <c r="D94" s="49"/>
      <c r="E94" s="12"/>
      <c r="F94" s="12"/>
      <c r="G94" s="12"/>
      <c r="H94" s="83"/>
      <c r="I94" s="49"/>
      <c r="J94" s="49"/>
      <c r="K94" s="35"/>
      <c r="L94" s="51"/>
      <c r="M94" s="58"/>
    </row>
    <row r="95" spans="1:13" hidden="1">
      <c r="A95" s="49">
        <f t="shared" si="1"/>
        <v>94</v>
      </c>
      <c r="B95" s="49"/>
      <c r="C95" s="49"/>
      <c r="D95" s="49"/>
      <c r="E95" s="12"/>
      <c r="F95" s="12"/>
      <c r="G95" s="12"/>
      <c r="H95" s="83"/>
      <c r="I95" s="49"/>
      <c r="J95" s="49"/>
      <c r="K95" s="35"/>
      <c r="L95" s="51"/>
      <c r="M95" s="58"/>
    </row>
    <row r="96" spans="1:13" hidden="1">
      <c r="A96" s="49">
        <f t="shared" si="1"/>
        <v>95</v>
      </c>
      <c r="B96" s="49"/>
      <c r="C96" s="49"/>
      <c r="D96" s="49"/>
      <c r="E96" s="12"/>
      <c r="F96" s="12"/>
      <c r="G96" s="12"/>
      <c r="H96" s="83"/>
      <c r="I96" s="49"/>
      <c r="J96" s="49"/>
      <c r="K96" s="35"/>
      <c r="L96" s="51"/>
      <c r="M96" s="58"/>
    </row>
    <row r="97" spans="1:12" hidden="1">
      <c r="A97" s="49">
        <f t="shared" si="1"/>
        <v>96</v>
      </c>
      <c r="B97" s="49"/>
      <c r="C97" s="49"/>
      <c r="D97" s="49"/>
      <c r="E97" s="12"/>
      <c r="F97" s="12"/>
      <c r="G97" s="12"/>
      <c r="H97" s="83"/>
      <c r="I97" s="49"/>
      <c r="J97" s="49"/>
      <c r="K97" s="35"/>
      <c r="L97" s="51"/>
    </row>
    <row r="98" spans="1:12" hidden="1">
      <c r="A98" s="49">
        <f t="shared" si="1"/>
        <v>97</v>
      </c>
      <c r="B98" s="49"/>
      <c r="C98" s="49"/>
      <c r="D98" s="49"/>
      <c r="E98" s="12"/>
      <c r="F98" s="12"/>
      <c r="G98" s="12"/>
      <c r="H98" s="83"/>
      <c r="I98" s="49"/>
      <c r="J98" s="49"/>
      <c r="K98" s="35"/>
      <c r="L98" s="51"/>
    </row>
    <row r="99" spans="1:12" hidden="1">
      <c r="A99" s="49">
        <f t="shared" si="1"/>
        <v>98</v>
      </c>
      <c r="B99" s="49"/>
      <c r="C99" s="49"/>
      <c r="D99" s="49"/>
      <c r="E99" s="12"/>
      <c r="F99" s="12"/>
      <c r="G99" s="12"/>
      <c r="H99" s="83"/>
      <c r="I99" s="49"/>
      <c r="J99" s="49"/>
      <c r="K99" s="35"/>
      <c r="L99" s="51"/>
    </row>
    <row r="100" spans="1:12" hidden="1">
      <c r="A100" s="49">
        <f t="shared" si="1"/>
        <v>99</v>
      </c>
      <c r="B100" s="49"/>
      <c r="C100" s="49"/>
      <c r="D100" s="49"/>
      <c r="E100" s="12"/>
      <c r="F100" s="12"/>
      <c r="G100" s="12"/>
      <c r="H100" s="83"/>
      <c r="I100" s="49"/>
      <c r="J100" s="49"/>
      <c r="K100" s="35"/>
      <c r="L100" s="51"/>
    </row>
    <row r="101" spans="1:12" hidden="1">
      <c r="A101" s="49">
        <f t="shared" si="1"/>
        <v>100</v>
      </c>
      <c r="B101" s="49"/>
      <c r="C101" s="49"/>
      <c r="D101" s="49"/>
      <c r="E101" s="12"/>
      <c r="F101" s="12"/>
      <c r="G101" s="12"/>
      <c r="H101" s="83"/>
      <c r="I101" s="49"/>
      <c r="J101" s="49"/>
      <c r="K101" s="35"/>
      <c r="L101" s="51"/>
    </row>
    <row r="102" spans="1:12">
      <c r="K102" s="58"/>
      <c r="L102" s="58"/>
    </row>
    <row r="103" spans="1:12">
      <c r="K103" s="58"/>
      <c r="L103" s="58"/>
    </row>
    <row r="104" spans="1:12">
      <c r="K104" s="58"/>
      <c r="L104" s="58"/>
    </row>
    <row r="105" spans="1:12">
      <c r="K105" s="58"/>
      <c r="L105" s="58"/>
    </row>
    <row r="106" spans="1:12">
      <c r="K106" s="58"/>
      <c r="L106" s="58"/>
    </row>
    <row r="107" spans="1:12">
      <c r="K107" s="58"/>
      <c r="L107" s="58"/>
    </row>
    <row r="108" spans="1:12">
      <c r="K108" s="58"/>
      <c r="L108" s="58"/>
    </row>
    <row r="109" spans="1:12">
      <c r="K109" s="58"/>
      <c r="L109" s="58"/>
    </row>
    <row r="110" spans="1:12">
      <c r="K110" s="58"/>
      <c r="L110" s="58"/>
    </row>
    <row r="111" spans="1:12">
      <c r="K111" s="58"/>
      <c r="L111" s="58"/>
    </row>
    <row r="112" spans="1:12">
      <c r="K112" s="58"/>
      <c r="L112" s="58"/>
    </row>
  </sheetData>
  <autoFilter ref="A1:L101" xr:uid="{86CBEF23-A077-48D0-A21A-98DD290B17B8}">
    <filterColumn colId="1">
      <filters>
        <filter val="UI"/>
      </filters>
    </filterColumn>
  </autoFilter>
  <conditionalFormatting sqref="K2:K89 K91:K1048576">
    <cfRule type="containsText" dxfId="5" priority="1" operator="containsText" text="Pass with Comments">
      <formula>NOT(ISERROR(SEARCH("Pass with Comments",K2)))</formula>
    </cfRule>
    <cfRule type="containsText" dxfId="4" priority="2" operator="containsText" text="Fail">
      <formula>NOT(ISERROR(SEARCH("Fail",K2)))</formula>
    </cfRule>
    <cfRule type="containsText" dxfId="3" priority="3" operator="containsText" text="Pass">
      <formula>NOT(ISERROR(SEARCH("Pass",K2)))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E8C97-3464-4664-9C02-4EBA410840BD}">
  <dimension ref="A1:L27"/>
  <sheetViews>
    <sheetView workbookViewId="0">
      <selection activeCell="A4" sqref="A4"/>
    </sheetView>
  </sheetViews>
  <sheetFormatPr defaultRowHeight="15"/>
  <cols>
    <col min="1" max="1" width="4.5703125" customWidth="1"/>
    <col min="2" max="2" width="15.28515625" style="105" customWidth="1"/>
    <col min="3" max="3" width="21.85546875" style="105" customWidth="1"/>
    <col min="4" max="4" width="16.140625" style="107" bestFit="1" customWidth="1"/>
    <col min="5" max="5" width="31" customWidth="1"/>
    <col min="6" max="6" width="26.85546875" customWidth="1"/>
    <col min="7" max="7" width="19.42578125" bestFit="1" customWidth="1"/>
    <col min="8" max="8" width="4.7109375" bestFit="1" customWidth="1"/>
    <col min="9" max="9" width="14.28515625" bestFit="1" customWidth="1"/>
    <col min="10" max="10" width="14" bestFit="1" customWidth="1"/>
    <col min="11" max="11" width="9" bestFit="1" customWidth="1"/>
    <col min="12" max="12" width="22" style="63" customWidth="1"/>
  </cols>
  <sheetData>
    <row r="1" spans="1:12">
      <c r="A1" s="9" t="s">
        <v>0</v>
      </c>
      <c r="B1" s="9" t="s">
        <v>416</v>
      </c>
      <c r="C1" s="9" t="s">
        <v>417</v>
      </c>
      <c r="D1" s="106" t="s">
        <v>418</v>
      </c>
      <c r="E1" s="9" t="s">
        <v>419</v>
      </c>
      <c r="F1" s="9" t="s">
        <v>420</v>
      </c>
      <c r="G1" s="9" t="s">
        <v>421</v>
      </c>
      <c r="H1" s="9" t="s">
        <v>422</v>
      </c>
      <c r="I1" s="9" t="s">
        <v>423</v>
      </c>
      <c r="J1" s="9" t="s">
        <v>424</v>
      </c>
      <c r="K1" s="38" t="s">
        <v>8</v>
      </c>
      <c r="L1" s="37" t="s">
        <v>9</v>
      </c>
    </row>
    <row r="2" spans="1:12" s="114" customFormat="1" ht="30.75">
      <c r="A2" s="108">
        <f>ROW()-1</f>
        <v>1</v>
      </c>
      <c r="B2" s="108" t="s">
        <v>14</v>
      </c>
      <c r="C2" s="108" t="s">
        <v>81</v>
      </c>
      <c r="D2" s="108" t="s">
        <v>445</v>
      </c>
      <c r="E2" s="109" t="s">
        <v>446</v>
      </c>
      <c r="F2" s="109" t="s">
        <v>447</v>
      </c>
      <c r="G2" s="109"/>
      <c r="H2" s="109" t="s">
        <v>428</v>
      </c>
      <c r="I2" s="110">
        <v>45833</v>
      </c>
      <c r="J2" s="110"/>
      <c r="K2" s="115"/>
      <c r="L2" s="116" t="s">
        <v>677</v>
      </c>
    </row>
    <row r="3" spans="1:12" ht="137.25">
      <c r="A3" s="49">
        <f>ROW()-1</f>
        <v>2</v>
      </c>
      <c r="B3" s="49" t="s">
        <v>14</v>
      </c>
      <c r="C3" s="49" t="s">
        <v>81</v>
      </c>
      <c r="D3" s="49" t="s">
        <v>468</v>
      </c>
      <c r="E3" s="18" t="s">
        <v>678</v>
      </c>
      <c r="F3" s="89" t="s">
        <v>679</v>
      </c>
      <c r="G3" s="12" t="s">
        <v>471</v>
      </c>
      <c r="H3" s="12" t="s">
        <v>428</v>
      </c>
      <c r="I3" s="50">
        <v>45833</v>
      </c>
      <c r="J3" s="49"/>
      <c r="K3" s="51"/>
      <c r="L3" s="59"/>
    </row>
    <row r="4" spans="1:12" ht="121.5">
      <c r="A4" s="49">
        <f>ROW()-1</f>
        <v>3</v>
      </c>
      <c r="B4" s="61" t="s">
        <v>14</v>
      </c>
      <c r="C4" s="61" t="s">
        <v>81</v>
      </c>
      <c r="D4" s="61" t="s">
        <v>493</v>
      </c>
      <c r="E4" s="91" t="s">
        <v>680</v>
      </c>
      <c r="F4" s="91" t="s">
        <v>681</v>
      </c>
      <c r="G4" s="35" t="s">
        <v>129</v>
      </c>
      <c r="H4" s="35" t="s">
        <v>428</v>
      </c>
      <c r="I4" s="50">
        <v>45834</v>
      </c>
      <c r="J4" s="49"/>
      <c r="K4" s="51"/>
      <c r="L4" s="59"/>
    </row>
    <row r="5" spans="1:12" ht="121.5">
      <c r="A5" s="49">
        <f>ROW()-1</f>
        <v>4</v>
      </c>
      <c r="B5" s="49" t="s">
        <v>14</v>
      </c>
      <c r="C5" s="49" t="s">
        <v>81</v>
      </c>
      <c r="D5" s="49" t="s">
        <v>497</v>
      </c>
      <c r="E5" s="91" t="s">
        <v>682</v>
      </c>
      <c r="F5" s="91" t="s">
        <v>683</v>
      </c>
      <c r="G5" s="22" t="s">
        <v>132</v>
      </c>
      <c r="H5" s="35" t="s">
        <v>428</v>
      </c>
      <c r="I5" s="23">
        <v>45834</v>
      </c>
      <c r="J5" s="49"/>
      <c r="K5" s="51"/>
      <c r="L5" s="59"/>
    </row>
    <row r="6" spans="1:12" ht="121.5">
      <c r="A6" s="49">
        <f>ROW()-1</f>
        <v>5</v>
      </c>
      <c r="B6" s="49" t="s">
        <v>14</v>
      </c>
      <c r="C6" s="49" t="s">
        <v>81</v>
      </c>
      <c r="D6" s="49" t="s">
        <v>507</v>
      </c>
      <c r="E6" s="12" t="s">
        <v>684</v>
      </c>
      <c r="F6" s="12" t="s">
        <v>685</v>
      </c>
      <c r="G6" s="12" t="s">
        <v>510</v>
      </c>
      <c r="H6" s="12" t="s">
        <v>433</v>
      </c>
      <c r="I6" s="50">
        <v>45834</v>
      </c>
      <c r="J6" s="49"/>
      <c r="K6" s="51"/>
      <c r="L6" s="59"/>
    </row>
    <row r="7" spans="1:12" ht="60.75">
      <c r="A7" s="49">
        <f>ROW()-1</f>
        <v>6</v>
      </c>
      <c r="B7" s="49" t="s">
        <v>14</v>
      </c>
      <c r="C7" s="49" t="s">
        <v>81</v>
      </c>
      <c r="D7" s="49" t="s">
        <v>568</v>
      </c>
      <c r="E7" s="12" t="s">
        <v>569</v>
      </c>
      <c r="F7" s="12" t="s">
        <v>570</v>
      </c>
      <c r="G7" s="12" t="s">
        <v>571</v>
      </c>
      <c r="H7" s="12" t="s">
        <v>686</v>
      </c>
      <c r="I7" s="50">
        <v>45835</v>
      </c>
      <c r="J7" s="49"/>
      <c r="K7" s="51"/>
      <c r="L7" s="59"/>
    </row>
    <row r="8" spans="1:12" ht="121.5">
      <c r="A8" s="49">
        <f>ROW()-1</f>
        <v>7</v>
      </c>
      <c r="B8" s="49" t="s">
        <v>14</v>
      </c>
      <c r="C8" s="49" t="s">
        <v>81</v>
      </c>
      <c r="D8" s="49" t="s">
        <v>647</v>
      </c>
      <c r="E8" s="12" t="s">
        <v>648</v>
      </c>
      <c r="F8" s="12" t="s">
        <v>649</v>
      </c>
      <c r="G8" s="12" t="s">
        <v>650</v>
      </c>
      <c r="H8" s="12" t="s">
        <v>428</v>
      </c>
      <c r="I8" s="50">
        <v>45838</v>
      </c>
      <c r="J8" s="49"/>
      <c r="K8" s="51"/>
      <c r="L8" s="59"/>
    </row>
    <row r="9" spans="1:12" ht="409.6">
      <c r="A9" s="49">
        <f>ROW()-1</f>
        <v>8</v>
      </c>
      <c r="B9" s="42" t="s">
        <v>14</v>
      </c>
      <c r="C9" s="42" t="s">
        <v>81</v>
      </c>
      <c r="D9" s="42" t="s">
        <v>651</v>
      </c>
      <c r="E9" s="18" t="s">
        <v>687</v>
      </c>
      <c r="F9" s="18" t="s">
        <v>653</v>
      </c>
      <c r="G9" s="12" t="s">
        <v>688</v>
      </c>
      <c r="H9" s="12" t="s">
        <v>433</v>
      </c>
      <c r="I9" s="50">
        <v>45839</v>
      </c>
      <c r="J9" s="49"/>
      <c r="K9" s="51"/>
      <c r="L9" s="59"/>
    </row>
    <row r="10" spans="1:12" ht="409.6">
      <c r="A10" s="49">
        <f>ROW()-1</f>
        <v>9</v>
      </c>
      <c r="B10" s="49" t="s">
        <v>14</v>
      </c>
      <c r="C10" s="49" t="s">
        <v>81</v>
      </c>
      <c r="D10" s="49" t="s">
        <v>654</v>
      </c>
      <c r="E10" s="39" t="s">
        <v>689</v>
      </c>
      <c r="F10" s="39" t="s">
        <v>690</v>
      </c>
      <c r="G10" s="12" t="s">
        <v>691</v>
      </c>
      <c r="H10" s="12" t="s">
        <v>686</v>
      </c>
      <c r="I10" s="50">
        <v>45839</v>
      </c>
      <c r="J10" s="21" t="s">
        <v>692</v>
      </c>
      <c r="K10" s="51"/>
      <c r="L10" s="21" t="s">
        <v>692</v>
      </c>
    </row>
    <row r="11" spans="1:12" ht="409.6">
      <c r="A11" s="49">
        <f>ROW()-1</f>
        <v>10</v>
      </c>
      <c r="B11" s="49" t="s">
        <v>14</v>
      </c>
      <c r="C11" s="49" t="s">
        <v>81</v>
      </c>
      <c r="D11" s="49" t="s">
        <v>657</v>
      </c>
      <c r="E11" s="39" t="s">
        <v>693</v>
      </c>
      <c r="F11" s="12" t="s">
        <v>659</v>
      </c>
      <c r="G11" s="12" t="s">
        <v>660</v>
      </c>
      <c r="H11" s="12" t="s">
        <v>433</v>
      </c>
      <c r="I11" s="50">
        <v>45840</v>
      </c>
      <c r="J11" s="49"/>
      <c r="K11" s="51"/>
      <c r="L11" s="59"/>
    </row>
    <row r="12" spans="1:12" s="114" customFormat="1" ht="60.75">
      <c r="A12" s="108">
        <f>ROW()-1</f>
        <v>11</v>
      </c>
      <c r="B12" s="108" t="s">
        <v>14</v>
      </c>
      <c r="C12" s="108" t="s">
        <v>81</v>
      </c>
      <c r="D12" s="108" t="s">
        <v>694</v>
      </c>
      <c r="E12" s="109" t="s">
        <v>695</v>
      </c>
      <c r="F12" s="109" t="s">
        <v>696</v>
      </c>
      <c r="G12" s="108" t="s">
        <v>697</v>
      </c>
      <c r="H12" s="108" t="s">
        <v>698</v>
      </c>
      <c r="I12" s="110">
        <v>45841</v>
      </c>
      <c r="J12" s="111"/>
      <c r="K12" s="112"/>
      <c r="L12" s="113"/>
    </row>
    <row r="13" spans="1:12" s="114" customFormat="1" ht="60.75">
      <c r="A13" s="108">
        <f>ROW()-1</f>
        <v>12</v>
      </c>
      <c r="B13" s="108" t="s">
        <v>14</v>
      </c>
      <c r="C13" s="108" t="s">
        <v>81</v>
      </c>
      <c r="D13" s="108" t="s">
        <v>699</v>
      </c>
      <c r="E13" s="109" t="s">
        <v>674</v>
      </c>
      <c r="F13" s="109" t="s">
        <v>700</v>
      </c>
      <c r="G13" s="108" t="s">
        <v>701</v>
      </c>
      <c r="H13" s="108" t="s">
        <v>428</v>
      </c>
      <c r="I13" s="110">
        <v>45841</v>
      </c>
      <c r="J13" s="111"/>
      <c r="K13" s="112"/>
      <c r="L13" s="113"/>
    </row>
    <row r="14" spans="1:12" ht="259.5">
      <c r="A14" s="49">
        <f>ROW()-1</f>
        <v>13</v>
      </c>
      <c r="B14" s="49" t="s">
        <v>14</v>
      </c>
      <c r="C14" s="49" t="s">
        <v>218</v>
      </c>
      <c r="D14" s="49" t="s">
        <v>475</v>
      </c>
      <c r="E14" s="12" t="s">
        <v>702</v>
      </c>
      <c r="F14" s="12"/>
      <c r="G14" s="80" t="s">
        <v>477</v>
      </c>
      <c r="H14" s="12" t="s">
        <v>433</v>
      </c>
      <c r="I14" s="50">
        <v>45833</v>
      </c>
      <c r="J14" s="49"/>
      <c r="K14" s="51"/>
      <c r="L14" s="59" t="s">
        <v>703</v>
      </c>
    </row>
    <row r="15" spans="1:12" ht="91.5">
      <c r="A15" s="49">
        <f>ROW()-1</f>
        <v>14</v>
      </c>
      <c r="B15" s="49" t="s">
        <v>14</v>
      </c>
      <c r="C15" s="49" t="s">
        <v>300</v>
      </c>
      <c r="D15" s="49" t="s">
        <v>435</v>
      </c>
      <c r="E15" s="35" t="s">
        <v>704</v>
      </c>
      <c r="F15" s="35" t="s">
        <v>437</v>
      </c>
      <c r="G15" s="59"/>
      <c r="H15" s="96" t="s">
        <v>428</v>
      </c>
      <c r="I15" s="50">
        <v>45833</v>
      </c>
      <c r="J15" s="49"/>
      <c r="K15" s="51"/>
      <c r="L15" s="59"/>
    </row>
    <row r="16" spans="1:12" ht="409.6">
      <c r="A16" s="49">
        <f>ROW()-1</f>
        <v>15</v>
      </c>
      <c r="B16" s="49" t="s">
        <v>14</v>
      </c>
      <c r="C16" s="49" t="s">
        <v>300</v>
      </c>
      <c r="D16" s="49" t="s">
        <v>705</v>
      </c>
      <c r="E16" s="18" t="s">
        <v>706</v>
      </c>
      <c r="F16" s="18" t="s">
        <v>707</v>
      </c>
      <c r="G16" s="80"/>
      <c r="H16" s="27" t="s">
        <v>433</v>
      </c>
      <c r="I16" s="50">
        <v>45833</v>
      </c>
      <c r="J16" s="49"/>
      <c r="K16" s="51"/>
      <c r="L16" s="60" t="s">
        <v>708</v>
      </c>
    </row>
    <row r="17" spans="1:12" ht="45.75">
      <c r="A17" s="108">
        <f>ROW()-1</f>
        <v>16</v>
      </c>
      <c r="B17" s="108" t="s">
        <v>14</v>
      </c>
      <c r="C17" s="108" t="s">
        <v>300</v>
      </c>
      <c r="D17" s="108" t="s">
        <v>517</v>
      </c>
      <c r="E17" s="117" t="s">
        <v>518</v>
      </c>
      <c r="F17" s="117" t="s">
        <v>519</v>
      </c>
      <c r="G17" s="118" t="s">
        <v>27</v>
      </c>
      <c r="H17" s="119" t="s">
        <v>428</v>
      </c>
      <c r="I17" s="110">
        <v>45835</v>
      </c>
      <c r="J17" s="108"/>
      <c r="K17" s="115"/>
      <c r="L17" s="116"/>
    </row>
    <row r="18" spans="1:12" ht="121.5">
      <c r="A18" s="49">
        <f>ROW()-1</f>
        <v>17</v>
      </c>
      <c r="B18" s="49" t="s">
        <v>14</v>
      </c>
      <c r="C18" s="49" t="s">
        <v>300</v>
      </c>
      <c r="D18" s="49" t="s">
        <v>336</v>
      </c>
      <c r="E18" s="12" t="s">
        <v>520</v>
      </c>
      <c r="F18" s="12" t="s">
        <v>521</v>
      </c>
      <c r="G18" s="95" t="s">
        <v>27</v>
      </c>
      <c r="H18" s="12" t="s">
        <v>428</v>
      </c>
      <c r="I18" s="23">
        <v>45835</v>
      </c>
      <c r="J18" s="49"/>
      <c r="K18" s="51"/>
      <c r="L18" s="59"/>
    </row>
    <row r="19" spans="1:12" ht="60.75">
      <c r="A19" s="49">
        <f>ROW()-1</f>
        <v>18</v>
      </c>
      <c r="B19" s="49" t="s">
        <v>14</v>
      </c>
      <c r="C19" s="49" t="s">
        <v>300</v>
      </c>
      <c r="D19" s="49" t="s">
        <v>308</v>
      </c>
      <c r="E19" s="12" t="s">
        <v>522</v>
      </c>
      <c r="F19" s="12" t="s">
        <v>523</v>
      </c>
      <c r="G19" s="95" t="s">
        <v>27</v>
      </c>
      <c r="H19" s="12" t="s">
        <v>428</v>
      </c>
      <c r="I19" s="23">
        <v>45835</v>
      </c>
      <c r="J19" s="49"/>
      <c r="K19" s="51"/>
      <c r="L19" s="59"/>
    </row>
    <row r="20" spans="1:12" ht="76.5">
      <c r="A20" s="49">
        <f>ROW()-1</f>
        <v>19</v>
      </c>
      <c r="B20" s="49" t="s">
        <v>14</v>
      </c>
      <c r="C20" s="49" t="s">
        <v>300</v>
      </c>
      <c r="D20" s="49" t="s">
        <v>526</v>
      </c>
      <c r="E20" s="12" t="s">
        <v>527</v>
      </c>
      <c r="F20" s="90" t="s">
        <v>709</v>
      </c>
      <c r="G20" s="95" t="s">
        <v>27</v>
      </c>
      <c r="H20" s="12" t="s">
        <v>428</v>
      </c>
      <c r="I20" s="23">
        <v>45835</v>
      </c>
      <c r="J20" s="49"/>
      <c r="K20" s="51"/>
      <c r="L20" s="59"/>
    </row>
    <row r="21" spans="1:12" ht="91.5">
      <c r="A21" s="49">
        <f>ROW()-1</f>
        <v>20</v>
      </c>
      <c r="B21" s="49" t="s">
        <v>14</v>
      </c>
      <c r="C21" s="49" t="s">
        <v>661</v>
      </c>
      <c r="D21" s="49" t="s">
        <v>662</v>
      </c>
      <c r="E21" s="12" t="s">
        <v>710</v>
      </c>
      <c r="F21" s="12" t="s">
        <v>664</v>
      </c>
      <c r="G21" s="12" t="s">
        <v>660</v>
      </c>
      <c r="H21" s="12" t="s">
        <v>433</v>
      </c>
      <c r="I21" s="23">
        <v>45840</v>
      </c>
      <c r="J21" s="49"/>
      <c r="K21" s="51"/>
      <c r="L21" s="59"/>
    </row>
    <row r="22" spans="1:12" ht="305.25">
      <c r="A22" s="49">
        <f>ROW()-1</f>
        <v>21</v>
      </c>
      <c r="B22" s="49" t="s">
        <v>14</v>
      </c>
      <c r="C22" s="49" t="s">
        <v>661</v>
      </c>
      <c r="D22" s="49" t="s">
        <v>81</v>
      </c>
      <c r="E22" s="18" t="s">
        <v>711</v>
      </c>
      <c r="F22" s="12" t="s">
        <v>666</v>
      </c>
      <c r="G22" s="12" t="s">
        <v>667</v>
      </c>
      <c r="H22" s="12" t="s">
        <v>433</v>
      </c>
      <c r="I22" s="50">
        <v>45841</v>
      </c>
      <c r="J22" s="99"/>
      <c r="K22" s="102"/>
      <c r="L22" s="64"/>
    </row>
    <row r="23" spans="1:12" ht="167.25">
      <c r="A23" s="49">
        <f>ROW()-1</f>
        <v>22</v>
      </c>
      <c r="B23" s="49" t="s">
        <v>14</v>
      </c>
      <c r="C23" s="49" t="s">
        <v>23</v>
      </c>
      <c r="D23" s="49" t="s">
        <v>40</v>
      </c>
      <c r="E23" s="12" t="s">
        <v>712</v>
      </c>
      <c r="F23" s="12" t="s">
        <v>713</v>
      </c>
      <c r="G23" s="12" t="s">
        <v>503</v>
      </c>
      <c r="H23" s="12" t="s">
        <v>433</v>
      </c>
      <c r="I23" s="50">
        <v>45834</v>
      </c>
      <c r="J23" s="49"/>
      <c r="K23" s="51"/>
      <c r="L23" s="59"/>
    </row>
    <row r="24" spans="1:12" ht="45.75">
      <c r="A24" s="49">
        <f>ROW()-1</f>
        <v>23</v>
      </c>
      <c r="B24" s="78" t="s">
        <v>14</v>
      </c>
      <c r="C24" s="78" t="s">
        <v>23</v>
      </c>
      <c r="D24" s="78" t="s">
        <v>465</v>
      </c>
      <c r="E24" s="80" t="s">
        <v>714</v>
      </c>
      <c r="F24" s="80" t="s">
        <v>715</v>
      </c>
      <c r="G24" s="80" t="s">
        <v>716</v>
      </c>
      <c r="H24" s="80" t="s">
        <v>686</v>
      </c>
      <c r="I24" s="79">
        <v>45834</v>
      </c>
      <c r="J24" s="100"/>
      <c r="K24" s="104"/>
      <c r="L24" s="103"/>
    </row>
    <row r="25" spans="1:12" s="40" customFormat="1" ht="30.75">
      <c r="A25" s="49">
        <f>ROW()-1</f>
        <v>24</v>
      </c>
      <c r="B25" s="49" t="s">
        <v>14</v>
      </c>
      <c r="C25" s="42" t="s">
        <v>339</v>
      </c>
      <c r="D25" s="42" t="s">
        <v>349</v>
      </c>
      <c r="E25" s="12" t="s">
        <v>415</v>
      </c>
      <c r="F25" s="12" t="s">
        <v>486</v>
      </c>
      <c r="G25" s="69"/>
      <c r="H25" s="12" t="s">
        <v>686</v>
      </c>
      <c r="I25" s="65">
        <v>45834</v>
      </c>
      <c r="J25" s="100"/>
      <c r="K25" s="103"/>
      <c r="L25" s="103"/>
    </row>
    <row r="26" spans="1:12" s="40" customFormat="1" ht="137.25">
      <c r="A26" s="49">
        <f>ROW()-1</f>
        <v>25</v>
      </c>
      <c r="B26" s="49" t="s">
        <v>14</v>
      </c>
      <c r="C26" s="49" t="s">
        <v>30</v>
      </c>
      <c r="D26" s="49" t="s">
        <v>472</v>
      </c>
      <c r="E26" s="90" t="s">
        <v>717</v>
      </c>
      <c r="F26" s="81" t="s">
        <v>718</v>
      </c>
      <c r="G26" s="80" t="s">
        <v>719</v>
      </c>
      <c r="H26" s="27" t="s">
        <v>428</v>
      </c>
      <c r="I26" s="65">
        <v>45833</v>
      </c>
      <c r="J26" s="78"/>
      <c r="K26" s="59"/>
      <c r="L26" s="59"/>
    </row>
    <row r="27" spans="1:12" ht="60.75">
      <c r="A27" s="49">
        <f>ROW()-1</f>
        <v>26</v>
      </c>
      <c r="B27" s="92" t="s">
        <v>14</v>
      </c>
      <c r="C27" s="92" t="s">
        <v>30</v>
      </c>
      <c r="D27" s="92" t="s">
        <v>720</v>
      </c>
      <c r="E27" s="93" t="s">
        <v>721</v>
      </c>
      <c r="F27" s="94" t="s">
        <v>722</v>
      </c>
      <c r="G27" s="41" t="s">
        <v>723</v>
      </c>
      <c r="H27" s="97" t="s">
        <v>428</v>
      </c>
      <c r="I27" s="98">
        <v>45840</v>
      </c>
      <c r="J27" s="101"/>
      <c r="K27" s="101"/>
      <c r="L27" s="101"/>
    </row>
  </sheetData>
  <autoFilter ref="A1:M24" xr:uid="{AFDE8C97-3464-4664-9C02-4EBA410840BD}"/>
  <sortState xmlns:xlrd2="http://schemas.microsoft.com/office/spreadsheetml/2017/richdata2" ref="A2:L28">
    <sortCondition ref="C2:C28"/>
  </sortState>
  <conditionalFormatting sqref="K2:K23">
    <cfRule type="containsText" dxfId="2" priority="1" operator="containsText" text="Pass with Comments">
      <formula>NOT(ISERROR(SEARCH("Pass with Comments",K2)))</formula>
    </cfRule>
    <cfRule type="containsText" dxfId="1" priority="2" operator="containsText" text="Fail">
      <formula>NOT(ISERROR(SEARCH("Fail",K2)))</formula>
    </cfRule>
    <cfRule type="containsText" dxfId="0" priority="3" operator="containsText" text="Pass">
      <formula>NOT(ISERROR(SEARCH("Pass",K2)))</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 xsi:nil="true"/>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f35eed86a30b8a639447a8fc6c0911d6">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ec23d5f86c630d7f26975f255944c054"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08B9F8-EB39-4E1C-9FF2-A69519A666DE}"/>
</file>

<file path=customXml/itemProps2.xml><?xml version="1.0" encoding="utf-8"?>
<ds:datastoreItem xmlns:ds="http://schemas.openxmlformats.org/officeDocument/2006/customXml" ds:itemID="{0884A2E4-DFFC-4C15-B18C-E076B17C127A}"/>
</file>

<file path=customXml/itemProps3.xml><?xml version="1.0" encoding="utf-8"?>
<ds:datastoreItem xmlns:ds="http://schemas.openxmlformats.org/officeDocument/2006/customXml" ds:itemID="{14E9CE27-5333-4CD1-8814-D504EB4F1FB7}"/>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2025-06-23T16:21:16Z</dcterms:created>
  <dcterms:modified xsi:type="dcterms:W3CDTF">2025-07-08T18:24:20Z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