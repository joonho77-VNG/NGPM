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hidePivotFieldList="1"/>
  <mc:AlternateContent xmlns:mc="http://schemas.openxmlformats.org/markup-compatibility/2006">
    <mc:Choice Requires="x15">
      <x15ac:absPath xmlns:x15ac="http://schemas.microsoft.com/office/spreadsheetml/2010/11/ac" url="https://occourts.sharepoint.com/sites/Vision_ILJ/General Documentation/Knowledge Sharing Documents/Vision Team Knowledge/Vision NG - Grouping/"/>
    </mc:Choice>
  </mc:AlternateContent>
  <xr:revisionPtr revIDLastSave="1096" documentId="11_DBC740C8E6C5FFD1A25F542CA683D9A04BAAE493" xr6:coauthVersionLast="47" xr6:coauthVersionMax="47" xr10:uidLastSave="{EFF1B642-BF93-4F40-A03D-96BD89FC921D}"/>
  <bookViews>
    <workbookView xWindow="22932" yWindow="-2928" windowWidth="41496" windowHeight="16776" tabRatio="315" firstSheet="1" activeTab="1" xr2:uid="{00000000-000D-0000-FFFF-FFFF00000000}"/>
  </bookViews>
  <sheets>
    <sheet name="Sheet2" sheetId="7" r:id="rId1"/>
    <sheet name="Export Worksheet" sheetId="1" r:id="rId2"/>
    <sheet name="LOE" sheetId="3" r:id="rId3"/>
    <sheet name="Sheet1" sheetId="8" r:id="rId4"/>
    <sheet name="SQL" sheetId="2" r:id="rId5"/>
  </sheets>
  <definedNames>
    <definedName name="_xlnm._FilterDatabase" localSheetId="1" hidden="1">'Export Worksheet'!$A$1:$AA$287</definedName>
  </definedNames>
  <calcPr calcId="191028"/>
  <pivotCaches>
    <pivotCache cacheId="1272" r:id="rId6"/>
    <pivotCache cacheId="127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3" l="1"/>
  <c r="C41" i="3"/>
  <c r="L22" i="8"/>
  <c r="L21" i="8"/>
  <c r="L20" i="8"/>
  <c r="L19" i="8"/>
  <c r="L18" i="8"/>
  <c r="L25" i="8" s="1"/>
  <c r="H41" i="3"/>
  <c r="L48" i="3" s="1"/>
  <c r="M48" i="3" s="1"/>
  <c r="K22" i="8"/>
  <c r="K21" i="8"/>
  <c r="K20" i="8"/>
  <c r="K19" i="8"/>
  <c r="K18" i="8"/>
  <c r="K25" i="8" s="1"/>
  <c r="I23" i="8"/>
  <c r="K23" i="8" s="1"/>
  <c r="I22" i="8"/>
  <c r="I21" i="8"/>
  <c r="I20" i="8"/>
  <c r="I19" i="8"/>
  <c r="I18" i="8"/>
  <c r="M32" i="3"/>
  <c r="L32" i="3"/>
  <c r="H46" i="3"/>
  <c r="H45" i="3"/>
  <c r="H44" i="3"/>
  <c r="H43" i="3"/>
  <c r="H42" i="3"/>
  <c r="C46" i="3"/>
  <c r="F46" i="3"/>
  <c r="F45" i="3"/>
  <c r="F44" i="3"/>
  <c r="F43" i="3"/>
  <c r="F42" i="3"/>
  <c r="F41" i="3"/>
  <c r="C45" i="3"/>
  <c r="C44" i="3"/>
  <c r="C43" i="3"/>
  <c r="C42" i="3"/>
  <c r="M27" i="3"/>
  <c r="J36" i="3"/>
  <c r="N30" i="3"/>
  <c r="N29" i="3"/>
  <c r="N28" i="3"/>
  <c r="N27" i="3"/>
  <c r="N26" i="3"/>
  <c r="N25" i="3"/>
  <c r="M30" i="3"/>
  <c r="M29" i="3"/>
  <c r="M28" i="3"/>
  <c r="M26" i="3"/>
  <c r="M25" i="3"/>
  <c r="G23" i="7" l="1"/>
  <c r="H23" i="7" s="1"/>
  <c r="G22" i="7"/>
  <c r="H22" i="7" s="1"/>
  <c r="G21" i="7"/>
  <c r="H21" i="7" s="1"/>
  <c r="G20" i="7"/>
  <c r="G19" i="7"/>
  <c r="G18" i="7"/>
  <c r="G30" i="3"/>
  <c r="K30" i="3" s="1"/>
  <c r="G29" i="3"/>
  <c r="K29" i="3" s="1"/>
  <c r="G28" i="3"/>
  <c r="K28" i="3" s="1"/>
  <c r="G27" i="3"/>
  <c r="K27" i="3" s="1"/>
  <c r="G26" i="3"/>
  <c r="K26" i="3" s="1"/>
  <c r="G25" i="3"/>
  <c r="K25" i="3" s="1"/>
  <c r="K32" i="3" s="1"/>
  <c r="Z25" i="1"/>
  <c r="Z21" i="1"/>
  <c r="Z22" i="1"/>
  <c r="Z23" i="1"/>
  <c r="Z24" i="1"/>
  <c r="Z2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10" i="1"/>
  <c r="I10" i="7"/>
  <c r="I5" i="7"/>
  <c r="I9" i="7"/>
  <c r="J5" i="7"/>
  <c r="J9" i="7"/>
  <c r="I8" i="7"/>
  <c r="I6" i="7"/>
  <c r="J10" i="7"/>
  <c r="I7" i="7"/>
  <c r="H18" i="7" l="1"/>
  <c r="H19" i="7"/>
  <c r="H20" i="7"/>
  <c r="J7" i="7"/>
  <c r="J8" i="7"/>
  <c r="J6" i="7"/>
</calcChain>
</file>

<file path=xl/sharedStrings.xml><?xml version="1.0" encoding="utf-8"?>
<sst xmlns="http://schemas.openxmlformats.org/spreadsheetml/2006/main" count="939" uniqueCount="587">
  <si>
    <t>Count of Group</t>
  </si>
  <si>
    <t>Column Labels</t>
  </si>
  <si>
    <t>Row Labels</t>
  </si>
  <si>
    <t>Internal - CTS</t>
  </si>
  <si>
    <t>Business</t>
  </si>
  <si>
    <t>Grand Total</t>
  </si>
  <si>
    <t>High</t>
  </si>
  <si>
    <t>Low</t>
  </si>
  <si>
    <t>Low High</t>
  </si>
  <si>
    <t>Medium</t>
  </si>
  <si>
    <t>Medium high</t>
  </si>
  <si>
    <t>Very High</t>
  </si>
  <si>
    <t>(blank)</t>
  </si>
  <si>
    <t> Category</t>
  </si>
  <si>
    <t>Analysis/Migration</t>
  </si>
  <si>
    <t>Unit Testing</t>
  </si>
  <si>
    <t>QA Testing</t>
  </si>
  <si>
    <t>Defects Resolution</t>
  </si>
  <si>
    <t>Regression Testing</t>
  </si>
  <si>
    <t xml:space="preserve">Total </t>
  </si>
  <si>
    <t>WINDOW</t>
  </si>
  <si>
    <t>Group</t>
  </si>
  <si>
    <t>JL - Group</t>
  </si>
  <si>
    <t>Object name</t>
  </si>
  <si>
    <t>references by other modules</t>
  </si>
  <si>
    <t xml:space="preserve"> Referencingor calling other screens </t>
  </si>
  <si>
    <t>TABPAGES</t>
  </si>
  <si>
    <t xml:space="preserve"> DW</t>
  </si>
  <si>
    <t>METHODS</t>
  </si>
  <si>
    <t>Has Update functionality</t>
  </si>
  <si>
    <t>Lines of code</t>
  </si>
  <si>
    <t xml:space="preserve"> User Objects</t>
  </si>
  <si>
    <t xml:space="preserve"> Non-Visual Objects</t>
  </si>
  <si>
    <t>NB_ACCESS</t>
  </si>
  <si>
    <t>Access per Day</t>
  </si>
  <si>
    <t>Addl Info</t>
  </si>
  <si>
    <t>CTS</t>
  </si>
  <si>
    <t xml:space="preserve">CIS Sheet ( 16 Flavors) </t>
  </si>
  <si>
    <t>Receipts ( many flaors)</t>
  </si>
  <si>
    <t>NOT USED</t>
  </si>
  <si>
    <t>Non-Prod</t>
  </si>
  <si>
    <t>Log on Window ( Initial loading of config items)</t>
  </si>
  <si>
    <t>APPEALS</t>
  </si>
  <si>
    <t>Not for Migration</t>
  </si>
  <si>
    <t>Menu actions</t>
  </si>
  <si>
    <t>CTS Internal</t>
  </si>
  <si>
    <t>MOCS</t>
  </si>
  <si>
    <t>Case Calendar Summary (Main &gt; Reports &gt; Reports)</t>
  </si>
  <si>
    <t>IMPACT Follow-up</t>
  </si>
  <si>
    <t>Open Cases Report (Main &gt; Reports &gt; Reports)</t>
  </si>
  <si>
    <t>Barcode Print Window</t>
  </si>
  <si>
    <t>Externded Text entry window</t>
  </si>
  <si>
    <t>Minutes</t>
  </si>
  <si>
    <t>w_ct_m_docket_reporting</t>
  </si>
  <si>
    <t>DW</t>
  </si>
  <si>
    <t xml:space="preserve">Simple Case Search </t>
  </si>
  <si>
    <t>w_ct_r_simple_search</t>
  </si>
  <si>
    <t>Minutes Entry ( Courtroom + Admin)</t>
  </si>
  <si>
    <t>w_ct_courtroom</t>
  </si>
  <si>
    <t>w_ct_c_pdf_viewer</t>
  </si>
  <si>
    <t>Priors</t>
  </si>
  <si>
    <t>w_ct_m_case_priors</t>
  </si>
  <si>
    <t>10 &gt; DW &lt; 20</t>
  </si>
  <si>
    <t>Counter Payment</t>
  </si>
  <si>
    <t>w_ct_m_counter</t>
  </si>
  <si>
    <t>Docket Code Help</t>
  </si>
  <si>
    <t>w_ct_doc_help_rsp</t>
  </si>
  <si>
    <t>Case Summary</t>
  </si>
  <si>
    <t>w_ct_m_case_summary</t>
  </si>
  <si>
    <t>Case Maintenance</t>
  </si>
  <si>
    <t>w_ct_m_case_maint</t>
  </si>
  <si>
    <t>Collections</t>
  </si>
  <si>
    <t>w_ct_m_coll_collections</t>
  </si>
  <si>
    <t>Person Information Select</t>
  </si>
  <si>
    <t>w_ct_m_person_select</t>
  </si>
  <si>
    <t>Docket Selection ( MOCS)</t>
  </si>
  <si>
    <t>w_ct_r_mocs_dkt_entry</t>
  </si>
  <si>
    <t>Person Maintenance</t>
  </si>
  <si>
    <t>w_ct_m_person_maint</t>
  </si>
  <si>
    <t>Case Search ( Adv Search)</t>
  </si>
  <si>
    <t>w_ct_r_case_search</t>
  </si>
  <si>
    <t>Person Search</t>
  </si>
  <si>
    <t>w_ct_r_person_search</t>
  </si>
  <si>
    <t>Accept Payment</t>
  </si>
  <si>
    <t>w_ct_r_payment</t>
  </si>
  <si>
    <t>Print Imaging Barcode Sheet</t>
  </si>
  <si>
    <t>w_ct_r_barcode_print</t>
  </si>
  <si>
    <t>Calendar List</t>
  </si>
  <si>
    <t>w_ct_m_cal_list</t>
  </si>
  <si>
    <t>Bail Schedule Maintenance Response **</t>
  </si>
  <si>
    <t>w_ct_r_fscl_bail_sched_maint_response</t>
  </si>
  <si>
    <t>Case Payment History</t>
  </si>
  <si>
    <t>w_ct_m_fscl_payment_hist</t>
  </si>
  <si>
    <t>w_ct_m_mocs</t>
  </si>
  <si>
    <t>Reports</t>
  </si>
  <si>
    <t>w_ct_r_report_builder</t>
  </si>
  <si>
    <t>Image Viewer</t>
  </si>
  <si>
    <t>w_ct_m_image_viewer</t>
  </si>
  <si>
    <t>Report Selection</t>
  </si>
  <si>
    <t>w_ct_m_report_select</t>
  </si>
  <si>
    <t>Bail Maintenance ( Fiscal Menu)</t>
  </si>
  <si>
    <t>w_ct_m_bail_maint</t>
  </si>
  <si>
    <t>Docket Code Reference</t>
  </si>
  <si>
    <t>w_ct_m_docket_codes_reference</t>
  </si>
  <si>
    <t>Calendar Batch Print</t>
  </si>
  <si>
    <t>w_ct_r_batch_print</t>
  </si>
  <si>
    <t>Image Maintenance</t>
  </si>
  <si>
    <t>w_ct_m_case_docket_image</t>
  </si>
  <si>
    <t>Notes ( Accept Payment, Notes)</t>
  </si>
  <si>
    <t>w_ct_r_cmmn_note</t>
  </si>
  <si>
    <t>w_ct_r_pdf_viewer ( Batch and SJ)</t>
  </si>
  <si>
    <t>w_ct_r_pdf_viewer</t>
  </si>
  <si>
    <t>Cashier Reconciliation</t>
  </si>
  <si>
    <t>w_ct_m_cashier_recon</t>
  </si>
  <si>
    <t>Open Cashier Session</t>
  </si>
  <si>
    <t>w_ct_m_cashier_open_session</t>
  </si>
  <si>
    <t>Court Calendar Reporting</t>
  </si>
  <si>
    <t>w_ct_m_cal_report_list</t>
  </si>
  <si>
    <t>DMV Error Maintenance</t>
  </si>
  <si>
    <t>w_ct_m_dmv_abstract_maint</t>
  </si>
  <si>
    <t>Bail Schedule Maintenance</t>
  </si>
  <si>
    <t>w_ct_m_fscl_bail_sched_maint</t>
  </si>
  <si>
    <t>Courtroom Setup</t>
  </si>
  <si>
    <t>w_ct_m_ctrs_courtroom_setup</t>
  </si>
  <si>
    <t>Calendar Transfer</t>
  </si>
  <si>
    <t>w_ct_m_cal_transfer</t>
  </si>
  <si>
    <t>Fiscal Case Analysis</t>
  </si>
  <si>
    <t>w_ct_m_fiscal_case_analysis</t>
  </si>
  <si>
    <t>Misapplications and Voids</t>
  </si>
  <si>
    <t>w_ct_m_fscl_pmt_misapp_void</t>
  </si>
  <si>
    <t>Multi-Person Maintenance Datafix Report</t>
  </si>
  <si>
    <t>w_ct_r_mpm_report</t>
  </si>
  <si>
    <t>Multi-Person Maintenance</t>
  </si>
  <si>
    <t>w_ct_m_multi_person_maint</t>
  </si>
  <si>
    <t>Exhibit List</t>
  </si>
  <si>
    <t>w_ct_m_exhibit_list</t>
  </si>
  <si>
    <t>File Location</t>
  </si>
  <si>
    <t>w_ct_s_rcds_location</t>
  </si>
  <si>
    <t>Missing Complaint</t>
  </si>
  <si>
    <t>w_ct_m_case_missing_complaint</t>
  </si>
  <si>
    <t>Non Case Payment Window</t>
  </si>
  <si>
    <t>w_ct_m_noncase_pymt</t>
  </si>
  <si>
    <t>Multi-Case Payment</t>
  </si>
  <si>
    <t>w_ct_m_fscl_multi_case_payment</t>
  </si>
  <si>
    <t>Print - Copies Spec.</t>
  </si>
  <si>
    <t>w_ct_m_case_priors_print_spec</t>
  </si>
  <si>
    <t>Agreement To Pay and Forfeit Bail in Installment</t>
  </si>
  <si>
    <t>w_ct_r_agree_pay_bf</t>
  </si>
  <si>
    <t>Case Lock Maintenance</t>
  </si>
  <si>
    <t>w_ct_m_case_lock_maintenance</t>
  </si>
  <si>
    <t>File Request</t>
  </si>
  <si>
    <t>w_ct_s_rcds_request</t>
  </si>
  <si>
    <t>Prison Abstracts</t>
  </si>
  <si>
    <t>w_ct_m_prsn_abstract</t>
  </si>
  <si>
    <t>Docket Code Maintenance</t>
  </si>
  <si>
    <t>w_ct_m_docket_code_maint</t>
  </si>
  <si>
    <t>Y</t>
  </si>
  <si>
    <t>MOCS Multi Case Entry</t>
  </si>
  <si>
    <t>w_ct_r_mocs_multi</t>
  </si>
  <si>
    <t>JBSIS Maintenance</t>
  </si>
  <si>
    <t>w_jbsis_maintenance</t>
  </si>
  <si>
    <t>w_ct_r_cmmn_dw ( Error Message ?)</t>
  </si>
  <si>
    <t>w_ct_r_cmmn_dw</t>
  </si>
  <si>
    <t>Batch Entry (OneOC - Clerk Review Module)</t>
  </si>
  <si>
    <t>w_ct_m_oneoc_interface</t>
  </si>
  <si>
    <t>w_ct_r_docket_codes</t>
  </si>
  <si>
    <t>Warrant Maintenance</t>
  </si>
  <si>
    <t>w_ct_m_warrant_signal_mon</t>
  </si>
  <si>
    <t>Warrant Images</t>
  </si>
  <si>
    <t>w_ct_m_warrant_images</t>
  </si>
  <si>
    <t>w_ct_r_case_closure_eligible</t>
  </si>
  <si>
    <t>Post-Conviction Worksheet Report</t>
  </si>
  <si>
    <t>w_ct_r_pcw</t>
  </si>
  <si>
    <t>ATP Dashboard</t>
  </si>
  <si>
    <t>w_ct_m_atp_dashboard</t>
  </si>
  <si>
    <t>Batch Entry</t>
  </si>
  <si>
    <t>w_ct_m_cite_batch_entry</t>
  </si>
  <si>
    <t>JBSIS Case Listing</t>
  </si>
  <si>
    <t>w_ct_jbsis_case_person</t>
  </si>
  <si>
    <t>w_ct_m_case_ftbcod_select</t>
  </si>
  <si>
    <t>Victim Restitution Courtesy Notice</t>
  </si>
  <si>
    <t>w_ct_m_vr_notice</t>
  </si>
  <si>
    <t>w_ct_m_ftbcod_payment</t>
  </si>
  <si>
    <t>Check Approval</t>
  </si>
  <si>
    <t>w_ct_m_fscl_chk_apprv</t>
  </si>
  <si>
    <t>Attorney Maintenance</t>
  </si>
  <si>
    <t>w_ct_m_attorney</t>
  </si>
  <si>
    <t>Citation Entry</t>
  </si>
  <si>
    <t>w_ct_m_case_citation_entry</t>
  </si>
  <si>
    <t>Code Tables</t>
  </si>
  <si>
    <t>w_ct_m_codes</t>
  </si>
  <si>
    <t>DOJ Interface</t>
  </si>
  <si>
    <t>w_ct_m_intf_doj_review</t>
  </si>
  <si>
    <t>Monthly Fund Report</t>
  </si>
  <si>
    <t>w_ct_m_fscl_month_fund_report</t>
  </si>
  <si>
    <t>DMV Error Cases Report</t>
  </si>
  <si>
    <t>w_ct_m_dmv_error_queue_mon</t>
  </si>
  <si>
    <t>Security Administration ( Multiple flavors)</t>
  </si>
  <si>
    <t>w_ct_r_security_admin</t>
  </si>
  <si>
    <t>File Location History</t>
  </si>
  <si>
    <t>w_ct_s_rcds_location_history</t>
  </si>
  <si>
    <t>Warrant Report</t>
  </si>
  <si>
    <t>w_ct_r_main_report</t>
  </si>
  <si>
    <t>w_ct_m_violations</t>
  </si>
  <si>
    <t>Pending Warrant Review</t>
  </si>
  <si>
    <t>w_ct_m_warrant_review</t>
  </si>
  <si>
    <t>Victim Restitution Paid Indicator</t>
  </si>
  <si>
    <t>w_ct_m_fscl_vr_apprv</t>
  </si>
  <si>
    <t>w_ct_r_bail_sched_hist_rpt</t>
  </si>
  <si>
    <t>Check Maintenance</t>
  </si>
  <si>
    <t>w_ct_m_fscl_chk_maint</t>
  </si>
  <si>
    <t>Vision Public Case - Input</t>
  </si>
  <si>
    <t>w_ct_r_public_case_input</t>
  </si>
  <si>
    <t>Collection Campaign Queue</t>
  </si>
  <si>
    <t>w_ct_m_coll_campaign_queue</t>
  </si>
  <si>
    <t>Batch Payments on Hold</t>
  </si>
  <si>
    <t>w_ct_r_cntr_batch_pmt_on_hold</t>
  </si>
  <si>
    <t>Batch Payment</t>
  </si>
  <si>
    <t>w_ct_m_cntr_batch_pmt</t>
  </si>
  <si>
    <t>Bail Bond Notice</t>
  </si>
  <si>
    <t>w_ct_m_bail_bond_notice</t>
  </si>
  <si>
    <t>OCV Payment Processor</t>
  </si>
  <si>
    <t>w_ct_m_ocv_payment</t>
  </si>
  <si>
    <t>Calendar File Location</t>
  </si>
  <si>
    <t>w_ct_s_rcds_cal_loc</t>
  </si>
  <si>
    <t>JBSIS Reporting</t>
  </si>
  <si>
    <t>w_ct_jbsis_manrpt</t>
  </si>
  <si>
    <t>Person Link / Unlink</t>
  </si>
  <si>
    <t>w_ct_m_person_link_unlink</t>
  </si>
  <si>
    <t>Code Mover</t>
  </si>
  <si>
    <t>w_ct_m_code_mover</t>
  </si>
  <si>
    <t>w_ct_m_coll_person_interface</t>
  </si>
  <si>
    <t>Court Trial Transfer</t>
  </si>
  <si>
    <t>w_ct_m_cal_transfer_location</t>
  </si>
  <si>
    <t>w_ct_m_ftbti_payment</t>
  </si>
  <si>
    <t>Import Claim Schedule File</t>
  </si>
  <si>
    <t>w_ct_r_ftbcod_import_cs</t>
  </si>
  <si>
    <t>Warrant Signal Audit</t>
  </si>
  <si>
    <t>w_ct_m_warrant_signal_audit</t>
  </si>
  <si>
    <t>Court Control Setup</t>
  </si>
  <si>
    <t>w_ct_m_mnt_control</t>
  </si>
  <si>
    <t>JMS Dashboard</t>
  </si>
  <si>
    <t>w_ct_m_jms_dashboard_bzr</t>
  </si>
  <si>
    <t>w_ct_m_coll_ftbti_interface</t>
  </si>
  <si>
    <t>Bail Distribution Schedules</t>
  </si>
  <si>
    <t>w_ct_m_fscl_bail_dist_sched</t>
  </si>
  <si>
    <t>w_ct_r_fiscal_batch_cases</t>
  </si>
  <si>
    <t>Case File Purge</t>
  </si>
  <si>
    <t>w_ct_m_case_file_purge</t>
  </si>
  <si>
    <t>Parm Lookups</t>
  </si>
  <si>
    <t>w_ct_m_parm_lookups</t>
  </si>
  <si>
    <t>Reversals</t>
  </si>
  <si>
    <t>w_ct_m_fscl_pmt_reversals</t>
  </si>
  <si>
    <t>SP Registry</t>
  </si>
  <si>
    <t>w_ct_m_sp_registry</t>
  </si>
  <si>
    <t>Units</t>
  </si>
  <si>
    <t>w_ct_m_unit_codes</t>
  </si>
  <si>
    <t>Case Batch Purge</t>
  </si>
  <si>
    <t>w_ct_m_purged_cases</t>
  </si>
  <si>
    <t>Professional  Maintenance</t>
  </si>
  <si>
    <t>w_ct_m_professional_maint</t>
  </si>
  <si>
    <t>Auto Process Schedule Setup</t>
  </si>
  <si>
    <t>w_ct_m_mnt_auto_process_sched</t>
  </si>
  <si>
    <t>Bondsman Surety</t>
  </si>
  <si>
    <t>w_ct_m_bondsman_surety</t>
  </si>
  <si>
    <t>Violation Agency X-Ref</t>
  </si>
  <si>
    <t>w_ct_m_viol_agency_xref</t>
  </si>
  <si>
    <t>w_ct_m_fscl_fee_sched</t>
  </si>
  <si>
    <t>Interfaces</t>
  </si>
  <si>
    <t>w_ct_m_fscl_audit_controller</t>
  </si>
  <si>
    <t>Fund Maintenance</t>
  </si>
  <si>
    <t>w_ct_m_fscl_fund_maint</t>
  </si>
  <si>
    <t>Penalty Assessment Distribution Schedules</t>
  </si>
  <si>
    <t>w_ct_m_fscl_pa_dist_sched</t>
  </si>
  <si>
    <t>Case Packaging Noticing</t>
  </si>
  <si>
    <t>w_ct_m_case_package_list</t>
  </si>
  <si>
    <t>Interpreters  Maintenance</t>
  </si>
  <si>
    <t>w_ct_m_interpreters</t>
  </si>
  <si>
    <t>Calendar Plan Maintenance</t>
  </si>
  <si>
    <t>w_ct_m_calendar_plan</t>
  </si>
  <si>
    <t>Import Action File (part of FTBCOD window)</t>
  </si>
  <si>
    <t>w_ct_r_coll_ftbcod_import_actions</t>
  </si>
  <si>
    <t>Basic Menu Manager</t>
  </si>
  <si>
    <t>w_ct_m_menu_basic</t>
  </si>
  <si>
    <t>Special Distribution Schedules</t>
  </si>
  <si>
    <t>w_ct_m_fscl_spl_dist_sched</t>
  </si>
  <si>
    <t>Error Codes</t>
  </si>
  <si>
    <t>w_ct_m_error_codes</t>
  </si>
  <si>
    <t xml:space="preserve">VCJIS - Court Reports Preview </t>
  </si>
  <si>
    <t>w_ct_r_dckt_preview_docket_rpt</t>
  </si>
  <si>
    <t>Purge Duplicate Cases</t>
  </si>
  <si>
    <t>w_ct_m_purge_duplicate</t>
  </si>
  <si>
    <t>Interpreters in System</t>
  </si>
  <si>
    <t>w_ct_r_interpreters_lookup</t>
  </si>
  <si>
    <t>JBSIS Audit Report</t>
  </si>
  <si>
    <t>w_ct_m_jbsis_audit_report</t>
  </si>
  <si>
    <t>Batch Traffic School Completion</t>
  </si>
  <si>
    <t>w_ct_m_mark_ts_complete</t>
  </si>
  <si>
    <t>Docket Code Macro Configuration</t>
  </si>
  <si>
    <t>w_ct_m_docket_macro</t>
  </si>
  <si>
    <t>DOJ Abstract</t>
  </si>
  <si>
    <t>w_ct_r_doj_abstract_viewer</t>
  </si>
  <si>
    <t>Sentence Workflow Maintenance</t>
  </si>
  <si>
    <t>w_ct_case_sent_wkflow_mapping</t>
  </si>
  <si>
    <t>New Professional</t>
  </si>
  <si>
    <t>w_ct_r_professional_new</t>
  </si>
  <si>
    <t>JBSIS Report Detail Maintenance</t>
  </si>
  <si>
    <t>w_ct_m_jbsis_report_detail</t>
  </si>
  <si>
    <t>Docket Code Macros - Mover</t>
  </si>
  <si>
    <t>w_ct_m_docket_macro_move</t>
  </si>
  <si>
    <t>Court Closure Transfer</t>
  </si>
  <si>
    <t>w_ct_m_cal_close_transfer</t>
  </si>
  <si>
    <t>Cost of Collections</t>
  </si>
  <si>
    <t>w_ct_m_fscl_cost_of_collections</t>
  </si>
  <si>
    <t>DMV Admin Transactions</t>
  </si>
  <si>
    <t>w_ct_m_dmv_admin_tran</t>
  </si>
  <si>
    <t>Fee Distribution Schedules</t>
  </si>
  <si>
    <t>w_ct_m_fscl_fee_dist_sched</t>
  </si>
  <si>
    <t xml:space="preserve">Exhibit Maintenance </t>
  </si>
  <si>
    <t>w_ct_m_exhibit_maintenance</t>
  </si>
  <si>
    <t>Event Codes</t>
  </si>
  <si>
    <t>w_ct_m_event_codes</t>
  </si>
  <si>
    <t>Court Holidays</t>
  </si>
  <si>
    <t>w_ct_m_court_holidays</t>
  </si>
  <si>
    <t>Generic Notice Maintenance</t>
  </si>
  <si>
    <t>w_ct_m_letter_maint</t>
  </si>
  <si>
    <t>Warrant XML Viewer</t>
  </si>
  <si>
    <t>w_ct_m_warrant_awss_xml</t>
  </si>
  <si>
    <t>Agency Codes</t>
  </si>
  <si>
    <t>w_ct_m_agency_codes</t>
  </si>
  <si>
    <t>New Exhibit Hearing List</t>
  </si>
  <si>
    <t>w_ct_m_exhibit_new_hearing</t>
  </si>
  <si>
    <t>Calendar Transfer Notices</t>
  </si>
  <si>
    <t>w_ct_m_cal_transfer_notice</t>
  </si>
  <si>
    <t>Person Unlink</t>
  </si>
  <si>
    <t>w_ct_m_person_unlink</t>
  </si>
  <si>
    <t>XRef Maintenance</t>
  </si>
  <si>
    <t>w_ct_m_maint_xref</t>
  </si>
  <si>
    <t>Financial Evaluation</t>
  </si>
  <si>
    <t>w_ct_m_coll_fin_eval_list</t>
  </si>
  <si>
    <t>Exhibit Management Search</t>
  </si>
  <si>
    <t>w_ct_m_exhibit_management_srch</t>
  </si>
  <si>
    <t>PA Schedule Maintenance</t>
  </si>
  <si>
    <t>w_ct_m_maint_pa_sched</t>
  </si>
  <si>
    <t>Date of Action Maintenance</t>
  </si>
  <si>
    <t>w_ct_m_docket_date_of_action_maint</t>
  </si>
  <si>
    <t xml:space="preserve">Professional Consolidation </t>
  </si>
  <si>
    <t>w_ct_m_professional_consolidation</t>
  </si>
  <si>
    <t>Collections Campaign Maintenance</t>
  </si>
  <si>
    <t>w_ct_m_coll_campaign_maint</t>
  </si>
  <si>
    <t>Collector Maintenance</t>
  </si>
  <si>
    <t>w_ct_m_coll_collector_maint</t>
  </si>
  <si>
    <t>Advanced Menu Manager</t>
  </si>
  <si>
    <t>w_ct_m_menu_full</t>
  </si>
  <si>
    <t>File Request Inquiry</t>
  </si>
  <si>
    <t>w_ct_s_rcds_request_inquiry</t>
  </si>
  <si>
    <t>w_ct_m_fscl_speed_sched</t>
  </si>
  <si>
    <t>File Import</t>
  </si>
  <si>
    <t>w_ct_m_file_etl</t>
  </si>
  <si>
    <t>DMV Prior Missing Report</t>
  </si>
  <si>
    <t>w_ct_m_dmv_priors_missing_cases</t>
  </si>
  <si>
    <t>OCV Return</t>
  </si>
  <si>
    <t>w_ct_m_ocv_file_load</t>
  </si>
  <si>
    <t>Reapply Remittance</t>
  </si>
  <si>
    <t>w_ct_m_fscl_reapp_remit</t>
  </si>
  <si>
    <t>File Request Maintenance</t>
  </si>
  <si>
    <t>w_ct_s_rcds_request_maint</t>
  </si>
  <si>
    <t>w_ct_m_fscl_speed_sched_2</t>
  </si>
  <si>
    <t>Vision Menu Profile Report</t>
  </si>
  <si>
    <t>w_ct_r_menu_profile_report</t>
  </si>
  <si>
    <t>LEA Interface</t>
  </si>
  <si>
    <t>w_ct_m_case_lea_interface</t>
  </si>
  <si>
    <t>Chart of Accounts</t>
  </si>
  <si>
    <t>w_ct_m_fscl_chart_of_accts</t>
  </si>
  <si>
    <t>MOCS Docket Definition</t>
  </si>
  <si>
    <t>w_ct_m_mocs_dkt_defn</t>
  </si>
  <si>
    <t>Letter Maintenance</t>
  </si>
  <si>
    <t>w_ct_m_letter_maint_lm</t>
  </si>
  <si>
    <t>Agency Payment</t>
  </si>
  <si>
    <t>w_ct_m_agency_payment</t>
  </si>
  <si>
    <t>Vision Batch Processing</t>
  </si>
  <si>
    <t>Medium High</t>
  </si>
  <si>
    <t>w_ct_m_xl_batch_processing</t>
  </si>
  <si>
    <t>Agency X-Ref Maintenance</t>
  </si>
  <si>
    <t>w_ct_m_maint_agy_xref</t>
  </si>
  <si>
    <t>PA Distribution Cross-Reference</t>
  </si>
  <si>
    <t>w_ct_m_fscl_dist_xref</t>
  </si>
  <si>
    <t>w_ct_m_coll_work_queue</t>
  </si>
  <si>
    <t>Appeal Summary</t>
  </si>
  <si>
    <t>w_ct_apl_appeal_summary</t>
  </si>
  <si>
    <t>Case Search</t>
  </si>
  <si>
    <t>w_ct_r_appeal_search</t>
  </si>
  <si>
    <t>Person Delete</t>
  </si>
  <si>
    <t>w_ct_m_person_delete</t>
  </si>
  <si>
    <t>Distribution Override</t>
  </si>
  <si>
    <t>w_ct_m_fscl_dist_override</t>
  </si>
  <si>
    <t>Case Documents</t>
  </si>
  <si>
    <t>w_ct_apl_filed_docs</t>
  </si>
  <si>
    <t>w_ct_m_fscl_special_schedule</t>
  </si>
  <si>
    <t>Missing Complaints Purge</t>
  </si>
  <si>
    <t>w_ct_m_missing_complaints_purge</t>
  </si>
  <si>
    <t>Collection Account Assignment</t>
  </si>
  <si>
    <t>w_ct_m_coll_account_assign</t>
  </si>
  <si>
    <t>Warrant Control Maintenance</t>
  </si>
  <si>
    <t>w_ct_m_warr_ctrl_maint</t>
  </si>
  <si>
    <t>Metadata Sync  Error Report</t>
  </si>
  <si>
    <t>w_ct_m_case_docket_image_error_list</t>
  </si>
  <si>
    <t>Docket Code Lookup (Image maintenance)</t>
  </si>
  <si>
    <t>w_ct_r_case_docket</t>
  </si>
  <si>
    <t>Officer Merge</t>
  </si>
  <si>
    <t>w_ct_m_officer_merge</t>
  </si>
  <si>
    <t>Agency Location XReference</t>
  </si>
  <si>
    <t>w_ct_m_maint_agy_loc_xref</t>
  </si>
  <si>
    <t>Victim Restitution Distribution Schedules</t>
  </si>
  <si>
    <t>w_ct_m_fscl_vr_dist_sched</t>
  </si>
  <si>
    <t>Satellite Payment Approval</t>
  </si>
  <si>
    <t>w_ct_m_fscl_sat_pmt_apprv</t>
  </si>
  <si>
    <t>Base Distribution Cross-Reference</t>
  </si>
  <si>
    <t>w_ct_m_fscl_base_dist_xref</t>
  </si>
  <si>
    <t>Docket Macro Maintenence</t>
  </si>
  <si>
    <t>w_ct_m_docket_macro_maint</t>
  </si>
  <si>
    <t>w_ct_r_fiscal_multi_cases_reversal</t>
  </si>
  <si>
    <t>Print Checks</t>
  </si>
  <si>
    <t>w_ct_r_fscl_prnt_chks</t>
  </si>
  <si>
    <t>Copy Existing Speed Schedule  ( part of speed schedule)</t>
  </si>
  <si>
    <t>w_ct_r_fscl_speed_sched</t>
  </si>
  <si>
    <t>Copy Existing Speed Schedule ( part of speed schedule2)</t>
  </si>
  <si>
    <t>w_ct_r_fscl_speed_sched_2</t>
  </si>
  <si>
    <t>Interpreter Remarks ( part of maintenanc window. Ctrl+alt+T to launch under remarks column)</t>
  </si>
  <si>
    <t>w_ct_r_interpreter_remarks</t>
  </si>
  <si>
    <t>w_ct_r_lookup_nbr ( part of DC maintenance window)</t>
  </si>
  <si>
    <t>w_ct_r_lookup_nbr</t>
  </si>
  <si>
    <t>Maintenance Request Number</t>
  </si>
  <si>
    <t>w_ct_r_maintenance_request_get_nbr</t>
  </si>
  <si>
    <t>w_ct_r_per_select</t>
  </si>
  <si>
    <t>w_ct_r_report_builder_conv</t>
  </si>
  <si>
    <t>Select Defendant ( part of meta data sync error report)</t>
  </si>
  <si>
    <t>w_ct_r_select_defendant</t>
  </si>
  <si>
    <t>w_nui_progress ( Framework)</t>
  </si>
  <si>
    <t>w_nui_progress</t>
  </si>
  <si>
    <t>Select Hearings</t>
  </si>
  <si>
    <t>w_select_hearing</t>
  </si>
  <si>
    <t>w_xl_filter ( Framework)</t>
  </si>
  <si>
    <t>w_xl_filter</t>
  </si>
  <si>
    <t>Data Fix</t>
  </si>
  <si>
    <t>w_ct_m_data_fix</t>
  </si>
  <si>
    <t>Data Search</t>
  </si>
  <si>
    <t>w_ct_m_data_search</t>
  </si>
  <si>
    <t>Development Log</t>
  </si>
  <si>
    <t>w_ct_m_dev_log</t>
  </si>
  <si>
    <t>DMV Abstract On-demand</t>
  </si>
  <si>
    <t>w_ct_m_dmv_abstract_on_demand</t>
  </si>
  <si>
    <t>DMV Augmentation</t>
  </si>
  <si>
    <t>w_ct_m_dmv_aug</t>
  </si>
  <si>
    <t>Case Copy &amp; Restore ( DMV case copy)</t>
  </si>
  <si>
    <t>w_ct_m_dmv_case_copy_restore</t>
  </si>
  <si>
    <t>w_ct_m_doc_image</t>
  </si>
  <si>
    <t>In/Out File Mapping</t>
  </si>
  <si>
    <t>w_ct_m_file_in_out_mappings</t>
  </si>
  <si>
    <t>Generic Code Table XWalk</t>
  </si>
  <si>
    <t>w_ct_m_generic_codetable_xwalk</t>
  </si>
  <si>
    <t>Event ROC Code Table XWalk</t>
  </si>
  <si>
    <t>w_ct_m_generic_event_roc_xwalk</t>
  </si>
  <si>
    <t>w_ct_m_intf_file_display</t>
  </si>
  <si>
    <t>Job Error Log</t>
  </si>
  <si>
    <t>w_ct_m_job_error_log</t>
  </si>
  <si>
    <t>Mail Machine Interface</t>
  </si>
  <si>
    <t>w_ct_m_mail_machine_interface</t>
  </si>
  <si>
    <t>System Maintenance Request</t>
  </si>
  <si>
    <t>w_ct_m_maintenance_request</t>
  </si>
  <si>
    <t>System Maintenance Request Print</t>
  </si>
  <si>
    <t>w_ct_m_maintenance_request_print</t>
  </si>
  <si>
    <t>System Maintenance Request Report</t>
  </si>
  <si>
    <t>w_ct_m_maintenance_request_qry</t>
  </si>
  <si>
    <t>Mass Case Copy</t>
  </si>
  <si>
    <t>w_ct_m_mass_case_copy</t>
  </si>
  <si>
    <t>MOCS  BR / SP Assoc</t>
  </si>
  <si>
    <t>w_ct_m_mocs_br_sp_assoc</t>
  </si>
  <si>
    <t>MOCS Case Characteristics</t>
  </si>
  <si>
    <t>w_ct_m_mocs_case_characteristics</t>
  </si>
  <si>
    <t>MOCS Courtroom Setup</t>
  </si>
  <si>
    <t>w_ct_m_mocs_courtroom_setup</t>
  </si>
  <si>
    <t>Mocs Docket Definition</t>
  </si>
  <si>
    <t>w_ct_m_mocs_docket_definition</t>
  </si>
  <si>
    <t>MOCS SP Registry</t>
  </si>
  <si>
    <t>w_ct_m_mocs_sp_registry</t>
  </si>
  <si>
    <t>MOCS WorkFlow/Groups/Scenario Assoc</t>
  </si>
  <si>
    <t>w_ct_m_mocs_wk_grp_scenarios</t>
  </si>
  <si>
    <t>Name Maintenance</t>
  </si>
  <si>
    <t>w_ct_m_name_maintenance</t>
  </si>
  <si>
    <t>w_ct_m_pers_aug</t>
  </si>
  <si>
    <t>Pre-Calendar Night Court Dates</t>
  </si>
  <si>
    <t>w_ct_m_precal_nightcourt_dates</t>
  </si>
  <si>
    <t>w_ct_m_pwd_reset</t>
  </si>
  <si>
    <t>w_ct_m_report_select_conv</t>
  </si>
  <si>
    <t>Sentence Augmentation</t>
  </si>
  <si>
    <t>w_ct_m_sent_aug</t>
  </si>
  <si>
    <t>Summary Judgment</t>
  </si>
  <si>
    <t>w_ct_m_summary_judgement</t>
  </si>
  <si>
    <t>Task Maintenance</t>
  </si>
  <si>
    <t>w_ct_m_task_maintenance</t>
  </si>
  <si>
    <t>VLAN IP Ranges</t>
  </si>
  <si>
    <t>w_ct_m_vlan_ip_ranges</t>
  </si>
  <si>
    <t>Appeal Print</t>
  </si>
  <si>
    <t>w_ct_p_apl_lettr_printing</t>
  </si>
  <si>
    <t>PA distribution schedule update</t>
  </si>
  <si>
    <t>w_ct_pa_dist_mass_update</t>
  </si>
  <si>
    <t>w_ct_pa_dist_mass_update_prompt</t>
  </si>
  <si>
    <t>w_ct_r_case_amnesty_granted</t>
  </si>
  <si>
    <t>Appeal Maintenance</t>
  </si>
  <si>
    <t>w_ct_apl_appeal_maintenance</t>
  </si>
  <si>
    <t>Document Selection</t>
  </si>
  <si>
    <t>w_ct_apl_select_filed_docs</t>
  </si>
  <si>
    <t>Case - Defendants ( Appeals)</t>
  </si>
  <si>
    <t>w_ct_defn_lookup</t>
  </si>
  <si>
    <t>Activity Augmentation</t>
  </si>
  <si>
    <t>w_ct_m_act_aug</t>
  </si>
  <si>
    <t>Appeal Activity Maintenance</t>
  </si>
  <si>
    <t>w_ct_m_activity_code_maint</t>
  </si>
  <si>
    <t>Activity Maintenance</t>
  </si>
  <si>
    <t>w_ct_m_activity_maintenance</t>
  </si>
  <si>
    <t>w_ct_m_bail_sched_conv</t>
  </si>
  <si>
    <t>Case Augmentation</t>
  </si>
  <si>
    <t>w_ct_m_case_aug</t>
  </si>
  <si>
    <t>Case Copy &amp; Restore</t>
  </si>
  <si>
    <t>w_ct_m_case_backup_trg</t>
  </si>
  <si>
    <t>Conversion Case Initiation</t>
  </si>
  <si>
    <t>w_ct_m_case_maint_conv</t>
  </si>
  <si>
    <t>NCIC Case Initiation</t>
  </si>
  <si>
    <t>w_ct_m_case_maint_ncic</t>
  </si>
  <si>
    <t>w_ct_m_case_missing_complaint_aug</t>
  </si>
  <si>
    <t>w_ct_m_case_status_maint ( Conversion)</t>
  </si>
  <si>
    <t>w_ct_m_case_status_maint</t>
  </si>
  <si>
    <t>w_ct_m_case_summary_1170</t>
  </si>
  <si>
    <t>Case Transfer ( Case Copy) - Not used</t>
  </si>
  <si>
    <t>w_ct_m_case_transfer</t>
  </si>
  <si>
    <t>Case Transfer</t>
  </si>
  <si>
    <t>w_ct_m_case_transfer_cst</t>
  </si>
  <si>
    <t>Check 21 Interface</t>
  </si>
  <si>
    <t>w_ct_m_check_21_interface</t>
  </si>
  <si>
    <t>Code Entries XWalk</t>
  </si>
  <si>
    <t>w_ct_m_codetable_xwalk</t>
  </si>
  <si>
    <t>List Search ( FTBTI window)</t>
  </si>
  <si>
    <t>w_ct_r_cmmn_list_search</t>
  </si>
  <si>
    <t>Defendant List ( Batch Payment window)</t>
  </si>
  <si>
    <t>w_ct_r_cntr_batch_pmt_def_list</t>
  </si>
  <si>
    <t>Other Case Balances ( Batch Payment window)</t>
  </si>
  <si>
    <t>w_ct_r_cntr_case_balances</t>
  </si>
  <si>
    <t>Docket Macro Preview ( launched from docket macro window)</t>
  </si>
  <si>
    <t>w_ct_r_dckt_macro_preview</t>
  </si>
  <si>
    <t>Defendant Select Window ( agency payment)</t>
  </si>
  <si>
    <t>w_ct_r_defendant_name</t>
  </si>
  <si>
    <t>w_ct_r_ext_notes ( Launched from Job Eerror Log)</t>
  </si>
  <si>
    <t>w_ct_r_ext_notes</t>
  </si>
  <si>
    <t>Specify Check Number ( part of check approval process)</t>
  </si>
  <si>
    <t>w_ct_r_fscl_chk_nbr</t>
  </si>
  <si>
    <t>Quick Add (Person Maintenance)</t>
  </si>
  <si>
    <t>Unavailable Court Dates (Case Maintenance)</t>
  </si>
  <si>
    <t>Case Dates (Case Maintenance)</t>
  </si>
  <si>
    <t>Other Cases (Case Maintenance)</t>
  </si>
  <si>
    <t>ATP Elig? Button (Case Summary)</t>
  </si>
  <si>
    <t>Close Elig? Button (Case Summary)</t>
  </si>
  <si>
    <t>Post Bond (Bail Entry, insert/add row)</t>
  </si>
  <si>
    <t>Agency Unit Address List (Bail Entry, arrow button)</t>
  </si>
  <si>
    <t>Traffic School Payment Plan (Counter Payment)</t>
  </si>
  <si>
    <t>Multicase Entry</t>
  </si>
  <si>
    <t>Courtroom Print</t>
  </si>
  <si>
    <t>Remittance Distribution (Case Payment History, double click remit)</t>
  </si>
  <si>
    <t>Folder icon button (OneOC - Clerk Review Module, launches PDF image based on Report or Essay columns)</t>
  </si>
  <si>
    <t>Total</t>
  </si>
  <si>
    <t>DEV</t>
  </si>
  <si>
    <t>QA</t>
  </si>
  <si>
    <t>Total # of days</t>
  </si>
  <si>
    <t>#</t>
  </si>
  <si>
    <t>Dev Hours</t>
  </si>
  <si>
    <t>QA Hours</t>
  </si>
  <si>
    <t>Count</t>
  </si>
  <si>
    <t>Days</t>
  </si>
  <si>
    <t>(3.33 * 9 ) + ( 6.67 * 6)</t>
  </si>
  <si>
    <t>loe</t>
  </si>
  <si>
    <t>count</t>
  </si>
  <si>
    <t>average</t>
  </si>
  <si>
    <t>tot qa</t>
  </si>
  <si>
    <t>Number of Screens</t>
  </si>
  <si>
    <t>Baseline Estimate</t>
  </si>
  <si>
    <t>Velocity-Adjusted Forecast</t>
  </si>
  <si>
    <t>select decode (WINDOW_TITLE,'(no title)',Scanned_window,WINDOW_TITLE ) as Window,
(select count(1) from NG_SCANNED_WINDOWS sw2 where opened_window_list||',' like '%'||sw.scanned_window ||',%' ) as "referenced by",
nvl(REGEXP_COUNT(nvl2(opened_window_list,opened_window_list||',',''), ','),0) as "Referencing", 
--OPENED_WINDOW_LIST,
NB_TABPAGES,
NB_DW,
NB_METHODS,
HAS_UPDATE,
NB_LINES,
NB_UOS,
NB_NVOS,
--NB_NVO_METHODS,
--NB_NVO_LINES,
--NVO_LIST,
--NB_METHODS_LIST,
NB_ACCESS
FROM NG_SCANNED_WINDOWS sw
order by nb_access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</si>
</sst>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indexed="8"/>
      <name val="Aptos Narrow"/>
      <family val="2"/>
      <scheme val="minor"/>
    </font>
    <font>
      <sz val="11"/>
      <name val="Dialog"/>
    </font>
    <font>
      <b/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indexed="8"/>
      <name val="Aptos Narrow"/>
      <family val="2"/>
    </font>
    <font>
      <b/>
      <sz val="11"/>
      <color rgb="FFFF0000"/>
      <name val="Aptos Narrow"/>
      <family val="2"/>
      <scheme val="minor"/>
    </font>
    <font>
      <b/>
      <sz val="11"/>
      <color theme="2" tint="-9.9978637043366805E-2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2" fillId="2" borderId="1" xfId="0" applyFont="1" applyFill="1" applyBorder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0" borderId="1" xfId="0" applyBorder="1"/>
    <xf numFmtId="0" fontId="1" fillId="0" borderId="1" xfId="0" applyFont="1" applyBorder="1" applyAlignment="1">
      <alignment horizontal="right"/>
    </xf>
    <xf numFmtId="49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 applyAlignment="1">
      <alignment horizontal="right"/>
    </xf>
    <xf numFmtId="49" fontId="0" fillId="4" borderId="1" xfId="0" applyNumberFormat="1" applyFill="1" applyBorder="1"/>
    <xf numFmtId="0" fontId="2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/>
    </xf>
    <xf numFmtId="0" fontId="0" fillId="5" borderId="1" xfId="0" applyFill="1" applyBorder="1"/>
    <xf numFmtId="49" fontId="0" fillId="6" borderId="1" xfId="0" applyNumberFormat="1" applyFill="1" applyBorder="1"/>
    <xf numFmtId="0" fontId="0" fillId="6" borderId="1" xfId="0" applyFill="1" applyBorder="1"/>
    <xf numFmtId="0" fontId="1" fillId="6" borderId="1" xfId="0" applyFont="1" applyFill="1" applyBorder="1" applyAlignment="1">
      <alignment horizontal="right"/>
    </xf>
    <xf numFmtId="0" fontId="2" fillId="2" borderId="1" xfId="0" applyFont="1" applyFill="1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5" fillId="7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0" fillId="8" borderId="1" xfId="0" applyFill="1" applyBorder="1"/>
    <xf numFmtId="0" fontId="1" fillId="8" borderId="1" xfId="0" applyFont="1" applyFill="1" applyBorder="1" applyAlignment="1">
      <alignment horizontal="right"/>
    </xf>
    <xf numFmtId="49" fontId="0" fillId="8" borderId="1" xfId="0" applyNumberFormat="1" applyFill="1" applyBorder="1"/>
    <xf numFmtId="0" fontId="0" fillId="9" borderId="1" xfId="0" applyFill="1" applyBorder="1"/>
    <xf numFmtId="0" fontId="1" fillId="9" borderId="1" xfId="0" applyFont="1" applyFill="1" applyBorder="1" applyAlignment="1">
      <alignment horizontal="right"/>
    </xf>
    <xf numFmtId="49" fontId="0" fillId="9" borderId="1" xfId="0" applyNumberFormat="1" applyFill="1" applyBorder="1"/>
    <xf numFmtId="0" fontId="0" fillId="10" borderId="1" xfId="0" applyFill="1" applyBorder="1"/>
    <xf numFmtId="0" fontId="1" fillId="10" borderId="1" xfId="0" applyFont="1" applyFill="1" applyBorder="1" applyAlignment="1">
      <alignment horizontal="right"/>
    </xf>
    <xf numFmtId="49" fontId="0" fillId="10" borderId="1" xfId="0" applyNumberFormat="1" applyFill="1" applyBorder="1"/>
    <xf numFmtId="1" fontId="2" fillId="2" borderId="1" xfId="0" applyNumberFormat="1" applyFont="1" applyFill="1" applyBorder="1" applyAlignment="1">
      <alignment wrapText="1"/>
    </xf>
    <xf numFmtId="1" fontId="1" fillId="3" borderId="1" xfId="0" applyNumberFormat="1" applyFont="1" applyFill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0" fillId="0" borderId="1" xfId="0" applyNumberFormat="1" applyBorder="1"/>
    <xf numFmtId="1" fontId="1" fillId="10" borderId="1" xfId="0" applyNumberFormat="1" applyFont="1" applyFill="1" applyBorder="1" applyAlignment="1">
      <alignment horizontal="right"/>
    </xf>
    <xf numFmtId="0" fontId="2" fillId="10" borderId="1" xfId="0" applyFont="1" applyFill="1" applyBorder="1"/>
    <xf numFmtId="0" fontId="8" fillId="0" borderId="1" xfId="0" applyFont="1" applyBorder="1"/>
    <xf numFmtId="0" fontId="0" fillId="11" borderId="1" xfId="0" applyFill="1" applyBorder="1"/>
    <xf numFmtId="0" fontId="2" fillId="8" borderId="1" xfId="0" applyFont="1" applyFill="1" applyBorder="1"/>
    <xf numFmtId="1" fontId="1" fillId="8" borderId="1" xfId="0" applyNumberFormat="1" applyFont="1" applyFill="1" applyBorder="1" applyAlignment="1">
      <alignment horizontal="right"/>
    </xf>
    <xf numFmtId="0" fontId="0" fillId="12" borderId="1" xfId="0" applyFill="1" applyBorder="1"/>
    <xf numFmtId="0" fontId="1" fillId="12" borderId="1" xfId="0" applyFont="1" applyFill="1" applyBorder="1" applyAlignment="1">
      <alignment horizontal="right"/>
    </xf>
    <xf numFmtId="1" fontId="1" fillId="12" borderId="1" xfId="0" applyNumberFormat="1" applyFont="1" applyFill="1" applyBorder="1" applyAlignment="1">
      <alignment horizontal="right"/>
    </xf>
    <xf numFmtId="49" fontId="0" fillId="12" borderId="1" xfId="0" applyNumberFormat="1" applyFill="1" applyBorder="1"/>
    <xf numFmtId="0" fontId="2" fillId="12" borderId="1" xfId="0" applyFont="1" applyFill="1" applyBorder="1"/>
    <xf numFmtId="0" fontId="0" fillId="13" borderId="1" xfId="0" applyFill="1" applyBorder="1"/>
    <xf numFmtId="0" fontId="1" fillId="13" borderId="1" xfId="0" applyFont="1" applyFill="1" applyBorder="1" applyAlignment="1">
      <alignment horizontal="right"/>
    </xf>
    <xf numFmtId="1" fontId="1" fillId="13" borderId="1" xfId="0" applyNumberFormat="1" applyFont="1" applyFill="1" applyBorder="1" applyAlignment="1">
      <alignment horizontal="right"/>
    </xf>
    <xf numFmtId="49" fontId="0" fillId="13" borderId="1" xfId="0" applyNumberFormat="1" applyFill="1" applyBorder="1"/>
    <xf numFmtId="0" fontId="0" fillId="14" borderId="1" xfId="0" applyFill="1" applyBorder="1"/>
    <xf numFmtId="0" fontId="1" fillId="14" borderId="1" xfId="0" applyFont="1" applyFill="1" applyBorder="1" applyAlignment="1">
      <alignment horizontal="right"/>
    </xf>
    <xf numFmtId="1" fontId="1" fillId="14" borderId="1" xfId="0" applyNumberFormat="1" applyFont="1" applyFill="1" applyBorder="1" applyAlignment="1">
      <alignment horizontal="right"/>
    </xf>
    <xf numFmtId="49" fontId="0" fillId="14" borderId="1" xfId="0" applyNumberFormat="1" applyFill="1" applyBorder="1"/>
    <xf numFmtId="0" fontId="0" fillId="15" borderId="1" xfId="0" applyFill="1" applyBorder="1"/>
    <xf numFmtId="0" fontId="1" fillId="15" borderId="1" xfId="0" applyFont="1" applyFill="1" applyBorder="1" applyAlignment="1">
      <alignment horizontal="right"/>
    </xf>
    <xf numFmtId="1" fontId="1" fillId="15" borderId="1" xfId="0" applyNumberFormat="1" applyFont="1" applyFill="1" applyBorder="1" applyAlignment="1">
      <alignment horizontal="right"/>
    </xf>
    <xf numFmtId="49" fontId="0" fillId="15" borderId="1" xfId="0" applyNumberFormat="1" applyFill="1" applyBorder="1"/>
    <xf numFmtId="0" fontId="0" fillId="16" borderId="1" xfId="0" applyFill="1" applyBorder="1"/>
    <xf numFmtId="0" fontId="1" fillId="16" borderId="1" xfId="0" applyFont="1" applyFill="1" applyBorder="1" applyAlignment="1">
      <alignment horizontal="right"/>
    </xf>
    <xf numFmtId="1" fontId="1" fillId="16" borderId="1" xfId="0" applyNumberFormat="1" applyFont="1" applyFill="1" applyBorder="1" applyAlignment="1">
      <alignment horizontal="right"/>
    </xf>
    <xf numFmtId="49" fontId="0" fillId="16" borderId="1" xfId="0" applyNumberFormat="1" applyFill="1" applyBorder="1"/>
    <xf numFmtId="0" fontId="2" fillId="16" borderId="1" xfId="0" applyFont="1" applyFill="1" applyBorder="1"/>
    <xf numFmtId="0" fontId="9" fillId="15" borderId="1" xfId="0" applyFont="1" applyFill="1" applyBorder="1"/>
    <xf numFmtId="0" fontId="0" fillId="17" borderId="1" xfId="0" applyFill="1" applyBorder="1"/>
    <xf numFmtId="0" fontId="1" fillId="17" borderId="1" xfId="0" applyFont="1" applyFill="1" applyBorder="1" applyAlignment="1">
      <alignment horizontal="right"/>
    </xf>
    <xf numFmtId="1" fontId="1" fillId="17" borderId="1" xfId="0" applyNumberFormat="1" applyFont="1" applyFill="1" applyBorder="1" applyAlignment="1">
      <alignment horizontal="right"/>
    </xf>
    <xf numFmtId="49" fontId="0" fillId="17" borderId="1" xfId="0" applyNumberFormat="1" applyFill="1" applyBorder="1"/>
    <xf numFmtId="0" fontId="0" fillId="18" borderId="1" xfId="0" applyFill="1" applyBorder="1"/>
    <xf numFmtId="0" fontId="1" fillId="18" borderId="1" xfId="0" applyFont="1" applyFill="1" applyBorder="1" applyAlignment="1">
      <alignment horizontal="right"/>
    </xf>
    <xf numFmtId="1" fontId="1" fillId="18" borderId="1" xfId="0" applyNumberFormat="1" applyFont="1" applyFill="1" applyBorder="1" applyAlignment="1">
      <alignment horizontal="right"/>
    </xf>
    <xf numFmtId="49" fontId="0" fillId="18" borderId="1" xfId="0" applyNumberFormat="1" applyFill="1" applyBorder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14" borderId="1" xfId="0" applyFill="1" applyBorder="1" applyAlignment="1">
      <alignment wrapText="1"/>
    </xf>
    <xf numFmtId="0" fontId="0" fillId="12" borderId="1" xfId="0" applyFill="1" applyBorder="1" applyAlignment="1">
      <alignment wrapText="1"/>
    </xf>
    <xf numFmtId="0" fontId="0" fillId="15" borderId="1" xfId="0" applyFill="1" applyBorder="1" applyAlignment="1">
      <alignment wrapText="1"/>
    </xf>
    <xf numFmtId="0" fontId="0" fillId="18" borderId="1" xfId="0" applyFill="1" applyBorder="1" applyAlignment="1">
      <alignment wrapText="1"/>
    </xf>
    <xf numFmtId="0" fontId="0" fillId="16" borderId="1" xfId="0" applyFill="1" applyBorder="1" applyAlignment="1">
      <alignment wrapText="1"/>
    </xf>
    <xf numFmtId="0" fontId="0" fillId="13" borderId="1" xfId="0" applyFill="1" applyBorder="1" applyAlignment="1">
      <alignment wrapText="1"/>
    </xf>
    <xf numFmtId="0" fontId="0" fillId="17" borderId="1" xfId="0" applyFill="1" applyBorder="1" applyAlignment="1">
      <alignment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right"/>
    </xf>
    <xf numFmtId="49" fontId="0" fillId="2" borderId="1" xfId="0" applyNumberFormat="1" applyFill="1" applyBorder="1"/>
    <xf numFmtId="0" fontId="0" fillId="2" borderId="1" xfId="0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11" borderId="1" xfId="0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0" fillId="19" borderId="3" xfId="0" applyFill="1" applyBorder="1"/>
    <xf numFmtId="0" fontId="6" fillId="19" borderId="1" xfId="0" applyFont="1" applyFill="1" applyBorder="1" applyAlignment="1">
      <alignment vertical="center"/>
    </xf>
    <xf numFmtId="0" fontId="7" fillId="19" borderId="1" xfId="0" applyFont="1" applyFill="1" applyBorder="1" applyAlignment="1">
      <alignment vertical="center"/>
    </xf>
    <xf numFmtId="0" fontId="7" fillId="19" borderId="1" xfId="0" applyFont="1" applyFill="1" applyBorder="1" applyAlignment="1">
      <alignment vertical="center" wrapText="1"/>
    </xf>
    <xf numFmtId="0" fontId="0" fillId="19" borderId="1" xfId="0" applyFill="1" applyBorder="1"/>
    <xf numFmtId="0" fontId="5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 wrapText="1"/>
    </xf>
    <xf numFmtId="0" fontId="0" fillId="8" borderId="3" xfId="0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10" fillId="20" borderId="1" xfId="0" applyFont="1" applyFill="1" applyBorder="1"/>
    <xf numFmtId="0" fontId="10" fillId="20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49" fontId="8" fillId="0" borderId="1" xfId="0" applyNumberFormat="1" applyFont="1" applyBorder="1" applyAlignment="1">
      <alignment wrapText="1"/>
    </xf>
    <xf numFmtId="0" fontId="5" fillId="8" borderId="6" xfId="0" applyFont="1" applyFill="1" applyBorder="1" applyAlignment="1">
      <alignment vertical="center"/>
    </xf>
    <xf numFmtId="0" fontId="5" fillId="8" borderId="7" xfId="0" applyFont="1" applyFill="1" applyBorder="1" applyAlignment="1">
      <alignment vertical="center" wrapText="1"/>
    </xf>
    <xf numFmtId="0" fontId="7" fillId="21" borderId="1" xfId="0" applyFont="1" applyFill="1" applyBorder="1" applyAlignment="1">
      <alignment vertical="center" wrapText="1"/>
    </xf>
    <xf numFmtId="0" fontId="0" fillId="21" borderId="1" xfId="0" applyFill="1" applyBorder="1"/>
    <xf numFmtId="0" fontId="6" fillId="22" borderId="1" xfId="0" applyFont="1" applyFill="1" applyBorder="1" applyAlignment="1">
      <alignment vertical="center"/>
    </xf>
    <xf numFmtId="0" fontId="7" fillId="22" borderId="1" xfId="0" applyFont="1" applyFill="1" applyBorder="1" applyAlignment="1">
      <alignment vertical="center"/>
    </xf>
    <xf numFmtId="0" fontId="7" fillId="22" borderId="1" xfId="0" applyFont="1" applyFill="1" applyBorder="1" applyAlignment="1">
      <alignment vertical="center" wrapText="1"/>
    </xf>
    <xf numFmtId="0" fontId="5" fillId="8" borderId="6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wrapText="1"/>
    </xf>
    <xf numFmtId="0" fontId="6" fillId="23" borderId="1" xfId="0" applyFont="1" applyFill="1" applyBorder="1" applyAlignment="1">
      <alignment vertical="center"/>
    </xf>
    <xf numFmtId="0" fontId="7" fillId="23" borderId="1" xfId="0" applyFont="1" applyFill="1" applyBorder="1" applyAlignment="1">
      <alignment vertical="center"/>
    </xf>
    <xf numFmtId="0" fontId="7" fillId="23" borderId="1" xfId="0" applyFont="1" applyFill="1" applyBorder="1" applyAlignment="1">
      <alignment vertical="center" wrapText="1"/>
    </xf>
    <xf numFmtId="0" fontId="7" fillId="24" borderId="1" xfId="0" applyFont="1" applyFill="1" applyBorder="1" applyAlignment="1">
      <alignment vertical="center" wrapText="1"/>
    </xf>
    <xf numFmtId="0" fontId="0" fillId="24" borderId="1" xfId="0" applyFill="1" applyBorder="1"/>
    <xf numFmtId="0" fontId="5" fillId="24" borderId="1" xfId="0" applyFont="1" applyFill="1" applyBorder="1" applyAlignment="1">
      <alignment vertical="center" wrapText="1"/>
    </xf>
    <xf numFmtId="0" fontId="5" fillId="23" borderId="1" xfId="0" applyFont="1" applyFill="1" applyBorder="1" applyAlignment="1">
      <alignment vertical="center"/>
    </xf>
    <xf numFmtId="0" fontId="5" fillId="23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NumberFormat="1" applyBorder="1"/>
    <xf numFmtId="0" fontId="0" fillId="23" borderId="8" xfId="0" applyFill="1" applyBorder="1" applyAlignment="1">
      <alignment horizontal="center"/>
    </xf>
    <xf numFmtId="0" fontId="0" fillId="24" borderId="8" xfId="0" applyFill="1" applyBorder="1" applyAlignment="1">
      <alignment horizontal="center"/>
    </xf>
  </cellXfs>
  <cellStyles count="1">
    <cellStyle name="Normal" xfId="0" builtinId="0"/>
  </cellStyles>
  <dxfs count="2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ndhivel Anandhajothi" refreshedDate="45846.646137152777" createdVersion="8" refreshedVersion="8" minRefreshableVersion="3" recordCount="287" xr:uid="{D226A139-E76C-49FD-9E62-6D847B668CD3}">
  <cacheSource type="worksheet">
    <worksheetSource ref="A1:Q1048576" sheet="Export Worksheet"/>
  </cacheSource>
  <cacheFields count="15">
    <cacheField name="WINDOW" numFmtId="0">
      <sharedItems containsBlank="1"/>
    </cacheField>
    <cacheField name="Object name" numFmtId="0">
      <sharedItems containsBlank="1"/>
    </cacheField>
    <cacheField name="references by other modules" numFmtId="0">
      <sharedItems containsString="0" containsBlank="1" containsNumber="1" containsInteger="1" minValue="0" maxValue="35"/>
    </cacheField>
    <cacheField name=" Referencingor calling other screens " numFmtId="0">
      <sharedItems containsString="0" containsBlank="1" containsNumber="1" containsInteger="1" minValue="0" maxValue="13"/>
    </cacheField>
    <cacheField name="ABPAGES" numFmtId="0">
      <sharedItems containsString="0" containsBlank="1" containsNumber="1" containsInteger="1" minValue="0" maxValue="24"/>
    </cacheField>
    <cacheField name=" DW" numFmtId="0">
      <sharedItems containsString="0" containsBlank="1" containsNumber="1" containsInteger="1" minValue="0" maxValue="64"/>
    </cacheField>
    <cacheField name="METHODS" numFmtId="0">
      <sharedItems containsString="0" containsBlank="1" containsNumber="1" containsInteger="1" minValue="0" maxValue="420"/>
    </cacheField>
    <cacheField name="Has Update functionality" numFmtId="0">
      <sharedItems containsString="0" containsBlank="1" containsNumber="1" containsInteger="1" minValue="0" maxValue="1"/>
    </cacheField>
    <cacheField name="Lines of code" numFmtId="0">
      <sharedItems containsString="0" containsBlank="1" containsNumber="1" containsInteger="1" minValue="0" maxValue="22812"/>
    </cacheField>
    <cacheField name=" User Objects" numFmtId="0">
      <sharedItems containsString="0" containsBlank="1" containsNumber="1" containsInteger="1" minValue="0" maxValue="12"/>
    </cacheField>
    <cacheField name=" Non-Visual Objects" numFmtId="0">
      <sharedItems containsString="0" containsBlank="1" containsNumber="1" containsInteger="1" minValue="0" maxValue="16"/>
    </cacheField>
    <cacheField name="NB_ACCESS" numFmtId="0">
      <sharedItems containsString="0" containsBlank="1" containsNumber="1" containsInteger="1" minValue="0" maxValue="1974625"/>
    </cacheField>
    <cacheField name="Access per Day" numFmtId="1">
      <sharedItems containsString="0" containsBlank="1" containsNumber="1" minValue="0" maxValue="9873.125"/>
    </cacheField>
    <cacheField name="Group" numFmtId="0">
      <sharedItems containsBlank="1" count="7">
        <s v="Very High"/>
        <s v="Medium"/>
        <s v="Medium high"/>
        <m/>
        <s v="Low"/>
        <s v="Low High"/>
        <s v="High"/>
      </sharedItems>
    </cacheField>
    <cacheField name="CTS" numFmtId="0">
      <sharedItems containsBlank="1" count="2">
        <m/>
        <s v="Y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316.789689930556" createdVersion="8" refreshedVersion="8" minRefreshableVersion="3" recordCount="287" xr:uid="{63ECAD65-0DA2-4A0B-B741-68729ED4CA47}">
  <cacheSource type="worksheet">
    <worksheetSource ref="A1:O1048576" sheet="Export Worksheet"/>
  </cacheSource>
  <cacheFields count="15">
    <cacheField name="WINDOW" numFmtId="0">
      <sharedItems containsBlank="1"/>
    </cacheField>
    <cacheField name="Group" numFmtId="0">
      <sharedItems containsBlank="1" count="8">
        <s v="Very High"/>
        <s v="Medium"/>
        <s v="Medium high"/>
        <m/>
        <s v="Low High"/>
        <s v="Low"/>
        <s v="High"/>
        <s v="Low  " u="1"/>
      </sharedItems>
    </cacheField>
    <cacheField name="JL - Group" numFmtId="0">
      <sharedItems containsBlank="1"/>
    </cacheField>
    <cacheField name="Object name" numFmtId="0">
      <sharedItems containsBlank="1"/>
    </cacheField>
    <cacheField name="references by other modules" numFmtId="0">
      <sharedItems containsString="0" containsBlank="1" containsNumber="1" containsInteger="1" minValue="0" maxValue="35"/>
    </cacheField>
    <cacheField name=" Referencingor calling other screens " numFmtId="0">
      <sharedItems containsString="0" containsBlank="1" containsNumber="1" containsInteger="1" minValue="0" maxValue="13"/>
    </cacheField>
    <cacheField name="TABPAGES" numFmtId="0">
      <sharedItems containsString="0" containsBlank="1" containsNumber="1" containsInteger="1" minValue="0" maxValue="24"/>
    </cacheField>
    <cacheField name=" DW" numFmtId="0">
      <sharedItems containsString="0" containsBlank="1" containsNumber="1" containsInteger="1" minValue="0" maxValue="64"/>
    </cacheField>
    <cacheField name="METHODS" numFmtId="0">
      <sharedItems containsString="0" containsBlank="1" containsNumber="1" containsInteger="1" minValue="0" maxValue="420"/>
    </cacheField>
    <cacheField name="Has Update functionality" numFmtId="0">
      <sharedItems containsString="0" containsBlank="1" containsNumber="1" containsInteger="1" minValue="0" maxValue="1"/>
    </cacheField>
    <cacheField name="Lines of code" numFmtId="0">
      <sharedItems containsString="0" containsBlank="1" containsNumber="1" containsInteger="1" minValue="0" maxValue="22812"/>
    </cacheField>
    <cacheField name=" User Objects" numFmtId="0">
      <sharedItems containsString="0" containsBlank="1" containsNumber="1" containsInteger="1" minValue="0" maxValue="12"/>
    </cacheField>
    <cacheField name=" Non-Visual Objects" numFmtId="0">
      <sharedItems containsString="0" containsBlank="1" containsNumber="1" containsInteger="1" minValue="0" maxValue="16"/>
    </cacheField>
    <cacheField name="NB_ACCESS" numFmtId="0">
      <sharedItems containsString="0" containsBlank="1" containsNumber="1" containsInteger="1" minValue="0" maxValue="1974625"/>
    </cacheField>
    <cacheField name="Access per Day" numFmtId="1">
      <sharedItems containsString="0" containsBlank="1" containsNumber="1" minValue="0" maxValue="9873.12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s v="CIS Sheet ( 16 Flavors) "/>
    <m/>
    <m/>
    <m/>
    <m/>
    <m/>
    <m/>
    <m/>
    <m/>
    <m/>
    <m/>
    <m/>
    <m/>
    <x v="0"/>
    <x v="0"/>
  </r>
  <r>
    <s v="Receipts ( many flaors)"/>
    <m/>
    <m/>
    <m/>
    <m/>
    <m/>
    <m/>
    <m/>
    <m/>
    <m/>
    <m/>
    <m/>
    <m/>
    <x v="1"/>
    <x v="0"/>
  </r>
  <r>
    <s v="Log on Window ( Initial loading of config items)"/>
    <m/>
    <m/>
    <m/>
    <m/>
    <m/>
    <m/>
    <m/>
    <m/>
    <m/>
    <m/>
    <m/>
    <m/>
    <x v="2"/>
    <x v="0"/>
  </r>
  <r>
    <s v="Menu actions"/>
    <m/>
    <m/>
    <m/>
    <m/>
    <m/>
    <m/>
    <m/>
    <m/>
    <m/>
    <m/>
    <m/>
    <m/>
    <x v="3"/>
    <x v="0"/>
  </r>
  <r>
    <s v="Case Calendar Summary (Main &gt; Reports &gt; Reports)"/>
    <m/>
    <m/>
    <m/>
    <m/>
    <m/>
    <m/>
    <m/>
    <m/>
    <m/>
    <m/>
    <m/>
    <m/>
    <x v="3"/>
    <x v="0"/>
  </r>
  <r>
    <s v="Open Cases Repoart (Main &gt; Reports &gt; Reports)"/>
    <m/>
    <m/>
    <m/>
    <m/>
    <m/>
    <m/>
    <m/>
    <m/>
    <m/>
    <m/>
    <m/>
    <m/>
    <x v="3"/>
    <x v="0"/>
  </r>
  <r>
    <s v="Barcode Print Window"/>
    <m/>
    <m/>
    <m/>
    <m/>
    <m/>
    <m/>
    <m/>
    <m/>
    <m/>
    <m/>
    <m/>
    <m/>
    <x v="3"/>
    <x v="0"/>
  </r>
  <r>
    <s v="Externded Text entry window"/>
    <m/>
    <m/>
    <m/>
    <m/>
    <m/>
    <m/>
    <m/>
    <m/>
    <m/>
    <m/>
    <m/>
    <m/>
    <x v="4"/>
    <x v="0"/>
  </r>
  <r>
    <s v="Minutes"/>
    <s v="w_ct_m_docket_reporting"/>
    <n v="25"/>
    <n v="8"/>
    <n v="0"/>
    <n v="3"/>
    <n v="32"/>
    <n v="0"/>
    <n v="1594"/>
    <n v="0"/>
    <n v="5"/>
    <n v="1974625"/>
    <n v="9873.125"/>
    <x v="2"/>
    <x v="0"/>
  </r>
  <r>
    <s v="Simple Case Search "/>
    <s v="w_ct_r_simple_search"/>
    <n v="22"/>
    <n v="0"/>
    <n v="0"/>
    <n v="2"/>
    <n v="12"/>
    <n v="0"/>
    <n v="563"/>
    <n v="0"/>
    <n v="4"/>
    <n v="1878026"/>
    <n v="9390.1299999999992"/>
    <x v="1"/>
    <x v="0"/>
  </r>
  <r>
    <s v="Minutes Entry ( Courtroom + Admin)"/>
    <s v="w_ct_courtroom"/>
    <n v="3"/>
    <n v="9"/>
    <n v="0"/>
    <n v="0"/>
    <n v="46"/>
    <n v="0"/>
    <n v="529"/>
    <n v="0"/>
    <n v="8"/>
    <n v="1061955"/>
    <n v="5309.7749999999996"/>
    <x v="0"/>
    <x v="0"/>
  </r>
  <r>
    <s v="w_ct_c_pdf_viewer"/>
    <s v="w_ct_c_pdf_viewer"/>
    <n v="2"/>
    <n v="0"/>
    <n v="0"/>
    <n v="0"/>
    <n v="5"/>
    <n v="0"/>
    <n v="293"/>
    <n v="0"/>
    <n v="4"/>
    <n v="764960"/>
    <n v="3824.8"/>
    <x v="5"/>
    <x v="0"/>
  </r>
  <r>
    <s v="Priors"/>
    <s v="w_ct_m_case_priors"/>
    <n v="0"/>
    <n v="6"/>
    <n v="2"/>
    <n v="19"/>
    <n v="105"/>
    <n v="1"/>
    <n v="1608"/>
    <n v="0"/>
    <n v="6"/>
    <n v="417876"/>
    <n v="2089.38"/>
    <x v="6"/>
    <x v="0"/>
  </r>
  <r>
    <s v="Counter Payment"/>
    <s v="w_ct_m_counter"/>
    <n v="3"/>
    <n v="7"/>
    <n v="8"/>
    <n v="24"/>
    <n v="256"/>
    <n v="1"/>
    <n v="13480"/>
    <n v="1"/>
    <n v="16"/>
    <n v="347492"/>
    <n v="1737.46"/>
    <x v="0"/>
    <x v="0"/>
  </r>
  <r>
    <s v="Docket Code Help"/>
    <s v="w_ct_doc_help_rsp"/>
    <n v="3"/>
    <n v="0"/>
    <n v="0"/>
    <n v="4"/>
    <n v="19"/>
    <n v="0"/>
    <n v="116"/>
    <n v="0"/>
    <n v="4"/>
    <n v="242499"/>
    <n v="1212.4949999999999"/>
    <x v="5"/>
    <x v="0"/>
  </r>
  <r>
    <s v="Case Summary"/>
    <s v="w_ct_m_case_summary"/>
    <n v="1"/>
    <n v="6"/>
    <n v="24"/>
    <n v="64"/>
    <n v="162"/>
    <n v="0"/>
    <n v="9007"/>
    <n v="1"/>
    <n v="7"/>
    <n v="237720"/>
    <n v="1188.5999999999999"/>
    <x v="2"/>
    <x v="0"/>
  </r>
  <r>
    <s v="Case Maintenance"/>
    <s v="w_ct_m_case_maint"/>
    <n v="7"/>
    <n v="12"/>
    <n v="11"/>
    <n v="24"/>
    <n v="222"/>
    <n v="1"/>
    <n v="12464"/>
    <n v="3"/>
    <n v="10"/>
    <n v="235413"/>
    <n v="1177.0650000000001"/>
    <x v="0"/>
    <x v="0"/>
  </r>
  <r>
    <s v="Collections"/>
    <s v="w_ct_m_coll_collections"/>
    <n v="3"/>
    <n v="7"/>
    <n v="14"/>
    <n v="54"/>
    <n v="344"/>
    <n v="1"/>
    <n v="11426"/>
    <n v="1"/>
    <n v="10"/>
    <n v="230271"/>
    <n v="1151.355"/>
    <x v="0"/>
    <x v="0"/>
  </r>
  <r>
    <s v="Person Information Select"/>
    <s v="w_ct_m_person_select"/>
    <n v="10"/>
    <n v="9"/>
    <n v="5"/>
    <n v="5"/>
    <n v="32"/>
    <n v="0"/>
    <n v="984"/>
    <n v="0"/>
    <n v="7"/>
    <n v="192463"/>
    <n v="962.31500000000005"/>
    <x v="5"/>
    <x v="0"/>
  </r>
  <r>
    <s v="Docket Selection ( MOCS)"/>
    <s v="w_ct_r_mocs_dkt_entry"/>
    <n v="1"/>
    <n v="0"/>
    <n v="2"/>
    <n v="3"/>
    <n v="33"/>
    <n v="0"/>
    <n v="3324"/>
    <n v="0"/>
    <n v="5"/>
    <n v="185816"/>
    <n v="929.08"/>
    <x v="1"/>
    <x v="0"/>
  </r>
  <r>
    <s v="Person Maintenance"/>
    <s v="w_ct_m_person_maint"/>
    <n v="10"/>
    <n v="9"/>
    <n v="10"/>
    <n v="17"/>
    <n v="136"/>
    <n v="1"/>
    <n v="4274"/>
    <n v="0"/>
    <n v="7"/>
    <n v="168338"/>
    <n v="841.69"/>
    <x v="1"/>
    <x v="0"/>
  </r>
  <r>
    <s v="Case Search ( Adv Search)"/>
    <s v="w_ct_r_case_search"/>
    <n v="35"/>
    <n v="2"/>
    <n v="3"/>
    <n v="4"/>
    <n v="51"/>
    <n v="0"/>
    <n v="2197"/>
    <n v="0"/>
    <n v="5"/>
    <n v="144939"/>
    <n v="724.69500000000005"/>
    <x v="2"/>
    <x v="0"/>
  </r>
  <r>
    <s v="Person Search"/>
    <s v="w_ct_r_person_search"/>
    <n v="8"/>
    <n v="2"/>
    <n v="2"/>
    <n v="4"/>
    <n v="48"/>
    <n v="0"/>
    <n v="1946"/>
    <n v="0"/>
    <n v="6"/>
    <n v="133035"/>
    <n v="665.17499999999995"/>
    <x v="2"/>
    <x v="0"/>
  </r>
  <r>
    <s v="Accept Payment"/>
    <s v="w_ct_r_payment"/>
    <n v="3"/>
    <n v="2"/>
    <n v="2"/>
    <n v="3"/>
    <n v="25"/>
    <n v="0"/>
    <n v="699"/>
    <n v="0"/>
    <n v="4"/>
    <n v="130543"/>
    <n v="652.71500000000003"/>
    <x v="1"/>
    <x v="0"/>
  </r>
  <r>
    <s v="Print Imaging Barcode Sheet"/>
    <s v="w_ct_r_barcode_print"/>
    <n v="2"/>
    <n v="0"/>
    <n v="0"/>
    <n v="2"/>
    <n v="23"/>
    <n v="1"/>
    <n v="1328"/>
    <n v="0"/>
    <n v="3"/>
    <n v="88865"/>
    <n v="444.32499999999999"/>
    <x v="5"/>
    <x v="0"/>
  </r>
  <r>
    <s v="Calendar List"/>
    <s v="w_ct_m_cal_list"/>
    <n v="0"/>
    <n v="1"/>
    <n v="3"/>
    <n v="5"/>
    <n v="38"/>
    <n v="0"/>
    <n v="237"/>
    <n v="0"/>
    <n v="5"/>
    <n v="70990"/>
    <n v="354.95"/>
    <x v="1"/>
    <x v="0"/>
  </r>
  <r>
    <s v="Bail Schedule Maintenance Response **"/>
    <s v="w_ct_r_fscl_bail_sched_maint_response"/>
    <n v="9"/>
    <n v="1"/>
    <n v="0"/>
    <n v="5"/>
    <n v="37"/>
    <n v="1"/>
    <n v="1447"/>
    <n v="5"/>
    <n v="4"/>
    <n v="57689"/>
    <n v="288.44499999999999"/>
    <x v="5"/>
    <x v="0"/>
  </r>
  <r>
    <s v="Case Payment History"/>
    <s v="w_ct_m_fscl_payment_hist"/>
    <n v="1"/>
    <n v="1"/>
    <n v="0"/>
    <n v="2"/>
    <n v="17"/>
    <n v="0"/>
    <n v="400"/>
    <n v="0"/>
    <n v="5"/>
    <n v="40676"/>
    <n v="203.38"/>
    <x v="5"/>
    <x v="0"/>
  </r>
  <r>
    <s v="MOCS"/>
    <s v="w_ct_m_mocs"/>
    <n v="0"/>
    <n v="5"/>
    <n v="0"/>
    <n v="0"/>
    <n v="24"/>
    <n v="0"/>
    <n v="360"/>
    <n v="0"/>
    <n v="7"/>
    <n v="36619"/>
    <n v="183.095"/>
    <x v="0"/>
    <x v="0"/>
  </r>
  <r>
    <s v="Reports"/>
    <s v="w_ct_r_report_builder"/>
    <n v="1"/>
    <n v="0"/>
    <n v="2"/>
    <n v="3"/>
    <n v="51"/>
    <n v="1"/>
    <n v="10535"/>
    <n v="0"/>
    <n v="4"/>
    <n v="35936"/>
    <n v="179.68"/>
    <x v="3"/>
    <x v="0"/>
  </r>
  <r>
    <s v="Image Viewer"/>
    <s v="w_ct_m_image_viewer"/>
    <n v="1"/>
    <n v="3"/>
    <n v="0"/>
    <n v="3"/>
    <n v="29"/>
    <n v="1"/>
    <n v="3253"/>
    <n v="0"/>
    <n v="4"/>
    <n v="33985"/>
    <n v="169.92500000000001"/>
    <x v="1"/>
    <x v="0"/>
  </r>
  <r>
    <s v="Report Selection"/>
    <s v="w_ct_m_report_select"/>
    <n v="0"/>
    <n v="2"/>
    <n v="0"/>
    <n v="1"/>
    <n v="6"/>
    <n v="0"/>
    <n v="168"/>
    <n v="0"/>
    <n v="5"/>
    <n v="27027"/>
    <n v="135.13499999999999"/>
    <x v="3"/>
    <x v="0"/>
  </r>
  <r>
    <s v="Bail Maintenance ( Fiscal Menu)"/>
    <s v="w_ct_m_bail_maint"/>
    <n v="3"/>
    <n v="0"/>
    <n v="3"/>
    <n v="12"/>
    <n v="85"/>
    <n v="1"/>
    <n v="2750"/>
    <n v="0"/>
    <n v="6"/>
    <n v="24479"/>
    <n v="122.395"/>
    <x v="2"/>
    <x v="0"/>
  </r>
  <r>
    <s v="Docket Code Reference"/>
    <s v="w_ct_m_docket_codes_reference"/>
    <n v="0"/>
    <n v="0"/>
    <n v="0"/>
    <n v="0"/>
    <n v="1"/>
    <n v="0"/>
    <n v="0"/>
    <n v="0"/>
    <n v="4"/>
    <n v="19726"/>
    <n v="98.63"/>
    <x v="4"/>
    <x v="0"/>
  </r>
  <r>
    <s v="Calendar Batch Print"/>
    <s v="w_ct_r_batch_print"/>
    <n v="1"/>
    <n v="1"/>
    <n v="0"/>
    <n v="7"/>
    <n v="14"/>
    <n v="0"/>
    <n v="46"/>
    <n v="0"/>
    <n v="4"/>
    <n v="18544"/>
    <n v="92.72"/>
    <x v="2"/>
    <x v="0"/>
  </r>
  <r>
    <s v="Image Maintenance"/>
    <s v="w_ct_m_case_docket_image"/>
    <n v="0"/>
    <n v="3"/>
    <n v="0"/>
    <n v="3"/>
    <n v="35"/>
    <n v="1"/>
    <n v="3008"/>
    <n v="0"/>
    <n v="4"/>
    <n v="18448"/>
    <n v="92.24"/>
    <x v="1"/>
    <x v="0"/>
  </r>
  <r>
    <s v="Notes ( Accept Payment, Notes)"/>
    <s v="w_ct_r_cmmn_note"/>
    <n v="2"/>
    <n v="0"/>
    <n v="0"/>
    <n v="1"/>
    <n v="11"/>
    <n v="1"/>
    <n v="52"/>
    <n v="0"/>
    <n v="3"/>
    <n v="16761"/>
    <n v="83.805000000000007"/>
    <x v="4"/>
    <x v="0"/>
  </r>
  <r>
    <s v="w_ct_r_pdf_viewer ( Batch and SJ)"/>
    <s v="w_ct_r_pdf_viewer"/>
    <n v="2"/>
    <n v="0"/>
    <n v="0"/>
    <n v="0"/>
    <n v="1"/>
    <n v="0"/>
    <n v="0"/>
    <n v="0"/>
    <n v="4"/>
    <n v="15989"/>
    <n v="79.944999999999993"/>
    <x v="5"/>
    <x v="0"/>
  </r>
  <r>
    <s v="Cashier Reconciliation"/>
    <s v="w_ct_m_cashier_recon"/>
    <n v="0"/>
    <n v="0"/>
    <n v="0"/>
    <n v="2"/>
    <n v="20"/>
    <n v="1"/>
    <n v="517"/>
    <n v="0"/>
    <n v="5"/>
    <n v="15930"/>
    <n v="79.650000000000006"/>
    <x v="5"/>
    <x v="0"/>
  </r>
  <r>
    <s v="Open Cashier Session"/>
    <s v="w_ct_m_cashier_open_session"/>
    <n v="0"/>
    <n v="0"/>
    <n v="0"/>
    <n v="1"/>
    <n v="10"/>
    <n v="0"/>
    <n v="0"/>
    <n v="0"/>
    <n v="4"/>
    <n v="15297"/>
    <n v="76.484999999999999"/>
    <x v="4"/>
    <x v="0"/>
  </r>
  <r>
    <s v="Court Calendar Reporting"/>
    <s v="w_ct_m_cal_report_list"/>
    <n v="0"/>
    <n v="1"/>
    <n v="0"/>
    <n v="5"/>
    <n v="38"/>
    <n v="1"/>
    <n v="980"/>
    <n v="1"/>
    <n v="5"/>
    <n v="14220"/>
    <n v="71.099999999999994"/>
    <x v="1"/>
    <x v="0"/>
  </r>
  <r>
    <s v="DMV Error Maintenance"/>
    <s v="w_ct_m_dmv_abstract_maint"/>
    <n v="2"/>
    <n v="3"/>
    <n v="0"/>
    <n v="18"/>
    <n v="134"/>
    <n v="1"/>
    <n v="3539"/>
    <n v="9"/>
    <n v="10"/>
    <n v="11815"/>
    <n v="59.075000000000003"/>
    <x v="2"/>
    <x v="0"/>
  </r>
  <r>
    <s v="Bail Schedule Maintenance"/>
    <s v="w_ct_m_fscl_bail_sched_maint"/>
    <n v="0"/>
    <n v="1"/>
    <n v="0"/>
    <n v="5"/>
    <n v="53"/>
    <n v="1"/>
    <n v="2504"/>
    <n v="1"/>
    <n v="4"/>
    <n v="9084"/>
    <n v="45.42"/>
    <x v="2"/>
    <x v="0"/>
  </r>
  <r>
    <s v="Courtroom Setup"/>
    <s v="w_ct_m_ctrs_courtroom_setup"/>
    <n v="0"/>
    <n v="0"/>
    <n v="0"/>
    <n v="2"/>
    <n v="19"/>
    <n v="1"/>
    <n v="832"/>
    <n v="0"/>
    <n v="4"/>
    <n v="8414"/>
    <n v="42.07"/>
    <x v="5"/>
    <x v="0"/>
  </r>
  <r>
    <s v="Calendar Transfer"/>
    <s v="w_ct_m_cal_transfer"/>
    <n v="0"/>
    <n v="1"/>
    <n v="0"/>
    <n v="4"/>
    <n v="36"/>
    <n v="1"/>
    <n v="1734"/>
    <n v="0"/>
    <n v="5"/>
    <n v="7962"/>
    <n v="39.81"/>
    <x v="5"/>
    <x v="0"/>
  </r>
  <r>
    <s v="Fiscal Case Analysis"/>
    <s v="w_ct_m_fiscal_case_analysis"/>
    <n v="0"/>
    <n v="2"/>
    <n v="0"/>
    <n v="18"/>
    <n v="114"/>
    <n v="0"/>
    <n v="1576"/>
    <n v="10"/>
    <n v="11"/>
    <n v="7884"/>
    <n v="39.42"/>
    <x v="2"/>
    <x v="0"/>
  </r>
  <r>
    <s v="Misapplications and Voids"/>
    <s v="w_ct_m_fscl_pmt_misapp_void"/>
    <n v="0"/>
    <n v="4"/>
    <n v="0"/>
    <n v="2"/>
    <n v="51"/>
    <n v="1"/>
    <n v="3112"/>
    <n v="0"/>
    <n v="7"/>
    <n v="7441"/>
    <n v="37.204999999999998"/>
    <x v="1"/>
    <x v="0"/>
  </r>
  <r>
    <s v="Multi-Person Maintenance Datafix Report"/>
    <s v="w_ct_r_mpm_report"/>
    <n v="2"/>
    <n v="0"/>
    <n v="0"/>
    <n v="1"/>
    <n v="7"/>
    <n v="0"/>
    <n v="46"/>
    <n v="0"/>
    <n v="3"/>
    <n v="7392"/>
    <n v="36.96"/>
    <x v="4"/>
    <x v="0"/>
  </r>
  <r>
    <s v="Multi-Person Maintenance"/>
    <s v="w_ct_m_multi_person_maint"/>
    <n v="1"/>
    <n v="5"/>
    <n v="0"/>
    <n v="6"/>
    <n v="37"/>
    <n v="1"/>
    <n v="790"/>
    <n v="0"/>
    <n v="4"/>
    <n v="7011"/>
    <n v="35.055"/>
    <x v="5"/>
    <x v="0"/>
  </r>
  <r>
    <s v="Exhibit List"/>
    <s v="w_ct_m_exhibit_list"/>
    <n v="0"/>
    <n v="1"/>
    <n v="0"/>
    <n v="3"/>
    <n v="26"/>
    <n v="1"/>
    <n v="930"/>
    <n v="0"/>
    <n v="4"/>
    <n v="6900"/>
    <n v="34.5"/>
    <x v="5"/>
    <x v="0"/>
  </r>
  <r>
    <s v="File Location"/>
    <s v="w_ct_s_rcds_location"/>
    <n v="0"/>
    <n v="1"/>
    <n v="0"/>
    <n v="2"/>
    <n v="22"/>
    <n v="1"/>
    <n v="2016"/>
    <n v="0"/>
    <n v="5"/>
    <n v="6896"/>
    <n v="34.479999999999997"/>
    <x v="5"/>
    <x v="0"/>
  </r>
  <r>
    <s v="Missing Complaint"/>
    <s v="w_ct_m_case_missing_complaint"/>
    <n v="6"/>
    <n v="6"/>
    <n v="8"/>
    <n v="17"/>
    <n v="158"/>
    <n v="1"/>
    <n v="5675"/>
    <n v="1"/>
    <n v="9"/>
    <n v="6459"/>
    <n v="32.295000000000002"/>
    <x v="2"/>
    <x v="0"/>
  </r>
  <r>
    <s v="Non Case Payment Window"/>
    <s v="w_ct_m_noncase_pymt"/>
    <n v="0"/>
    <n v="1"/>
    <n v="0"/>
    <n v="1"/>
    <n v="13"/>
    <n v="1"/>
    <n v="562"/>
    <n v="0"/>
    <n v="5"/>
    <n v="6088"/>
    <n v="30.44"/>
    <x v="4"/>
    <x v="0"/>
  </r>
  <r>
    <s v="Multi-Case Payment"/>
    <s v="w_ct_m_fscl_multi_case_payment"/>
    <n v="1"/>
    <n v="3"/>
    <n v="0"/>
    <n v="3"/>
    <n v="35"/>
    <n v="1"/>
    <n v="1447"/>
    <n v="2"/>
    <n v="6"/>
    <n v="6007"/>
    <n v="30.035"/>
    <x v="5"/>
    <x v="0"/>
  </r>
  <r>
    <s v="Print - Copies Spec."/>
    <s v="w_ct_m_case_priors_print_spec"/>
    <n v="1"/>
    <n v="0"/>
    <n v="0"/>
    <n v="4"/>
    <n v="7"/>
    <n v="0"/>
    <n v="0"/>
    <n v="0"/>
    <n v="3"/>
    <n v="5075"/>
    <n v="25.375"/>
    <x v="4"/>
    <x v="0"/>
  </r>
  <r>
    <s v="Agreement To Pay and Forfeit Bail in Installment"/>
    <s v="w_ct_r_agree_pay_bf"/>
    <n v="2"/>
    <n v="1"/>
    <n v="0"/>
    <n v="1"/>
    <n v="6"/>
    <n v="0"/>
    <n v="6"/>
    <n v="0"/>
    <n v="3"/>
    <n v="4752"/>
    <n v="23.76"/>
    <x v="4"/>
    <x v="0"/>
  </r>
  <r>
    <s v="Case Lock Maintenance"/>
    <s v="w_ct_m_case_lock_maintenance"/>
    <n v="0"/>
    <n v="0"/>
    <n v="0"/>
    <n v="1"/>
    <n v="7"/>
    <n v="1"/>
    <n v="22"/>
    <n v="0"/>
    <n v="4"/>
    <n v="4145"/>
    <n v="20.725000000000001"/>
    <x v="5"/>
    <x v="0"/>
  </r>
  <r>
    <s v="File Request"/>
    <s v="w_ct_s_rcds_request"/>
    <n v="0"/>
    <n v="2"/>
    <n v="0"/>
    <n v="2"/>
    <n v="17"/>
    <n v="1"/>
    <n v="1039"/>
    <n v="0"/>
    <n v="4"/>
    <n v="3953"/>
    <n v="19.765000000000001"/>
    <x v="5"/>
    <x v="0"/>
  </r>
  <r>
    <s v="Prison Abstracts"/>
    <s v="w_ct_m_prsn_abstract"/>
    <n v="0"/>
    <n v="0"/>
    <n v="4"/>
    <n v="11"/>
    <n v="25"/>
    <n v="0"/>
    <n v="275"/>
    <n v="0"/>
    <n v="4"/>
    <n v="3759"/>
    <n v="18.795000000000002"/>
    <x v="2"/>
    <x v="0"/>
  </r>
  <r>
    <s v="Docket Code Maintenance"/>
    <s v="w_ct_m_docket_code_maint"/>
    <n v="3"/>
    <n v="8"/>
    <n v="11"/>
    <n v="26"/>
    <n v="279"/>
    <n v="1"/>
    <n v="10864"/>
    <n v="0"/>
    <n v="8"/>
    <n v="3647"/>
    <n v="18.234999999999999"/>
    <x v="2"/>
    <x v="1"/>
  </r>
  <r>
    <s v="MOCS Multi Case Entry"/>
    <s v="w_ct_r_mocs_multi"/>
    <n v="1"/>
    <n v="1"/>
    <n v="0"/>
    <n v="3"/>
    <n v="43"/>
    <n v="0"/>
    <n v="1015"/>
    <n v="3"/>
    <n v="8"/>
    <n v="3366"/>
    <n v="16.829999999999998"/>
    <x v="0"/>
    <x v="0"/>
  </r>
  <r>
    <s v="JBSIS Maintenance"/>
    <s v="w_jbsis_maintenance"/>
    <n v="3"/>
    <n v="4"/>
    <n v="0"/>
    <n v="10"/>
    <n v="71"/>
    <n v="1"/>
    <n v="1119"/>
    <n v="0"/>
    <n v="4"/>
    <n v="2931"/>
    <n v="14.654999999999999"/>
    <x v="1"/>
    <x v="0"/>
  </r>
  <r>
    <s v="w_ct_r_cmmn_dw ( Error Message ?)"/>
    <s v="w_ct_r_cmmn_dw"/>
    <n v="3"/>
    <n v="0"/>
    <n v="0"/>
    <n v="1"/>
    <n v="4"/>
    <n v="0"/>
    <n v="81"/>
    <n v="0"/>
    <n v="3"/>
    <n v="2929"/>
    <n v="14.645"/>
    <x v="4"/>
    <x v="0"/>
  </r>
  <r>
    <s v="Batch Entry (OneOC - Clerk Review Module)"/>
    <s v="w_ct_m_oneoc_interface"/>
    <n v="0"/>
    <n v="1"/>
    <n v="4"/>
    <n v="12"/>
    <n v="79"/>
    <n v="1"/>
    <n v="2466"/>
    <n v="0"/>
    <n v="4"/>
    <n v="2719"/>
    <n v="13.595000000000001"/>
    <x v="1"/>
    <x v="0"/>
  </r>
  <r>
    <s v="w_ct_r_docket_codes"/>
    <s v="w_ct_r_docket_codes"/>
    <n v="1"/>
    <n v="0"/>
    <n v="0"/>
    <n v="1"/>
    <n v="6"/>
    <n v="0"/>
    <n v="100"/>
    <n v="0"/>
    <n v="3"/>
    <n v="2646"/>
    <n v="13.23"/>
    <x v="4"/>
    <x v="0"/>
  </r>
  <r>
    <s v="Warrant Maintenance"/>
    <s v="w_ct_m_warrant_signal_mon"/>
    <n v="0"/>
    <n v="1"/>
    <n v="1"/>
    <n v="4"/>
    <n v="28"/>
    <n v="0"/>
    <n v="1195"/>
    <n v="0"/>
    <n v="4"/>
    <n v="1738"/>
    <n v="8.69"/>
    <x v="1"/>
    <x v="0"/>
  </r>
  <r>
    <s v="Warrant Images"/>
    <s v="w_ct_m_warrant_images"/>
    <n v="0"/>
    <n v="2"/>
    <n v="0"/>
    <n v="2"/>
    <n v="13"/>
    <n v="0"/>
    <n v="288"/>
    <n v="2"/>
    <n v="4"/>
    <n v="1705"/>
    <n v="8.5250000000000004"/>
    <x v="5"/>
    <x v="0"/>
  </r>
  <r>
    <s v="w_ct_r_case_closure_eligible"/>
    <s v="w_ct_r_case_closure_eligible"/>
    <n v="1"/>
    <n v="0"/>
    <n v="0"/>
    <n v="6"/>
    <n v="11"/>
    <n v="0"/>
    <n v="333"/>
    <n v="0"/>
    <n v="3"/>
    <n v="1671"/>
    <n v="8.3550000000000004"/>
    <x v="5"/>
    <x v="0"/>
  </r>
  <r>
    <s v="Post-Conviction Worksheet Report"/>
    <s v="w_ct_r_pcw"/>
    <n v="1"/>
    <n v="0"/>
    <n v="0"/>
    <n v="1"/>
    <n v="10"/>
    <n v="0"/>
    <n v="46"/>
    <n v="0"/>
    <n v="3"/>
    <n v="1499"/>
    <n v="7.4950000000000001"/>
    <x v="1"/>
    <x v="0"/>
  </r>
  <r>
    <s v="ATP Dashboard"/>
    <s v="w_ct_m_atp_dashboard"/>
    <n v="0"/>
    <n v="2"/>
    <n v="2"/>
    <n v="4"/>
    <n v="50"/>
    <n v="1"/>
    <n v="1026"/>
    <n v="0"/>
    <n v="7"/>
    <n v="1403"/>
    <n v="7.0149999999999997"/>
    <x v="1"/>
    <x v="0"/>
  </r>
  <r>
    <s v="Batch Entry"/>
    <s v="w_ct_m_cite_batch_entry"/>
    <n v="0"/>
    <n v="0"/>
    <n v="3"/>
    <n v="7"/>
    <n v="51"/>
    <n v="1"/>
    <n v="2902"/>
    <n v="0"/>
    <n v="4"/>
    <n v="1370"/>
    <n v="6.85"/>
    <x v="2"/>
    <x v="0"/>
  </r>
  <r>
    <s v="JBSIS Case Listing"/>
    <s v="w_ct_jbsis_case_person"/>
    <n v="1"/>
    <n v="1"/>
    <n v="0"/>
    <n v="4"/>
    <n v="13"/>
    <n v="0"/>
    <n v="238"/>
    <n v="1"/>
    <n v="4"/>
    <n v="1319"/>
    <n v="6.5949999999999998"/>
    <x v="5"/>
    <x v="0"/>
  </r>
  <r>
    <s v="w_ct_m_case_ftbcod_select"/>
    <s v="w_ct_m_case_ftbcod_select"/>
    <n v="0"/>
    <n v="2"/>
    <n v="5"/>
    <n v="8"/>
    <n v="81"/>
    <n v="1"/>
    <n v="1172"/>
    <n v="0"/>
    <n v="5"/>
    <n v="1197"/>
    <n v="5.9850000000000003"/>
    <x v="6"/>
    <x v="0"/>
  </r>
  <r>
    <s v="Victim Restitution Courtesy Notice"/>
    <s v="w_ct_m_vr_notice"/>
    <n v="0"/>
    <n v="2"/>
    <n v="0"/>
    <n v="2"/>
    <n v="15"/>
    <n v="1"/>
    <n v="459"/>
    <n v="0"/>
    <n v="5"/>
    <n v="1077"/>
    <n v="5.3849999999999998"/>
    <x v="5"/>
    <x v="0"/>
  </r>
  <r>
    <s v="w_ct_m_ftbcod_payment"/>
    <s v="w_ct_m_ftbcod_payment"/>
    <n v="0"/>
    <n v="3"/>
    <n v="3"/>
    <n v="21"/>
    <n v="148"/>
    <n v="1"/>
    <n v="2234"/>
    <n v="0"/>
    <n v="7"/>
    <n v="1000"/>
    <n v="5"/>
    <x v="2"/>
    <x v="0"/>
  </r>
  <r>
    <s v="Check Approval"/>
    <s v="w_ct_m_fscl_chk_apprv"/>
    <n v="0"/>
    <n v="1"/>
    <n v="0"/>
    <n v="8"/>
    <n v="39"/>
    <n v="1"/>
    <n v="2512"/>
    <n v="0"/>
    <n v="5"/>
    <n v="975"/>
    <n v="4.875"/>
    <x v="1"/>
    <x v="0"/>
  </r>
  <r>
    <s v="Attorney Maintenance"/>
    <s v="w_ct_m_attorney"/>
    <n v="0"/>
    <n v="0"/>
    <n v="3"/>
    <n v="4"/>
    <n v="29"/>
    <n v="1"/>
    <n v="3423"/>
    <n v="0"/>
    <n v="5"/>
    <n v="918"/>
    <n v="4.59"/>
    <x v="1"/>
    <x v="0"/>
  </r>
  <r>
    <s v="Citation Entry"/>
    <s v="w_ct_m_case_citation_entry"/>
    <n v="0"/>
    <n v="1"/>
    <n v="4"/>
    <n v="17"/>
    <n v="129"/>
    <n v="1"/>
    <n v="5494"/>
    <n v="1"/>
    <n v="8"/>
    <n v="896"/>
    <n v="4.4800000000000004"/>
    <x v="2"/>
    <x v="0"/>
  </r>
  <r>
    <s v="Code Tables"/>
    <s v="w_ct_m_codes"/>
    <n v="0"/>
    <n v="0"/>
    <n v="2"/>
    <n v="6"/>
    <n v="72"/>
    <n v="1"/>
    <n v="504"/>
    <n v="2"/>
    <n v="5"/>
    <n v="863"/>
    <n v="4.3150000000000004"/>
    <x v="5"/>
    <x v="1"/>
  </r>
  <r>
    <s v="DOJ Interface"/>
    <s v="w_ct_m_intf_doj_review"/>
    <n v="0"/>
    <n v="6"/>
    <n v="6"/>
    <n v="12"/>
    <n v="110"/>
    <n v="1"/>
    <n v="4472"/>
    <n v="0"/>
    <n v="7"/>
    <n v="827"/>
    <n v="4.1349999999999998"/>
    <x v="6"/>
    <x v="0"/>
  </r>
  <r>
    <s v="Monthly Fund Report"/>
    <s v="w_ct_m_fscl_month_fund_report"/>
    <n v="0"/>
    <n v="0"/>
    <n v="0"/>
    <n v="4"/>
    <n v="27"/>
    <n v="1"/>
    <n v="516"/>
    <n v="0"/>
    <n v="4"/>
    <n v="759"/>
    <n v="3.7949999999999999"/>
    <x v="1"/>
    <x v="0"/>
  </r>
  <r>
    <s v="DMV Error Cases Report"/>
    <s v="w_ct_m_dmv_error_queue_mon"/>
    <n v="0"/>
    <n v="1"/>
    <n v="2"/>
    <n v="5"/>
    <n v="51"/>
    <n v="1"/>
    <n v="1160"/>
    <n v="0"/>
    <n v="4"/>
    <n v="732"/>
    <n v="3.66"/>
    <x v="1"/>
    <x v="0"/>
  </r>
  <r>
    <s v="Security Administration ( Multiple flavors)"/>
    <s v="w_ct_r_security_admin"/>
    <n v="0"/>
    <n v="0"/>
    <n v="0"/>
    <n v="10"/>
    <n v="104"/>
    <n v="1"/>
    <n v="1162"/>
    <n v="8"/>
    <n v="3"/>
    <n v="721"/>
    <n v="3.605"/>
    <x v="2"/>
    <x v="1"/>
  </r>
  <r>
    <s v="File Location History"/>
    <s v="w_ct_s_rcds_location_history"/>
    <n v="5"/>
    <n v="0"/>
    <n v="0"/>
    <n v="2"/>
    <n v="5"/>
    <n v="0"/>
    <n v="176"/>
    <n v="0"/>
    <n v="4"/>
    <n v="668"/>
    <n v="3.34"/>
    <x v="4"/>
    <x v="0"/>
  </r>
  <r>
    <s v="Warrant Report"/>
    <s v="w_ct_r_main_report"/>
    <n v="0"/>
    <n v="0"/>
    <n v="0"/>
    <n v="4"/>
    <n v="14"/>
    <n v="0"/>
    <n v="190"/>
    <n v="0"/>
    <n v="4"/>
    <n v="587"/>
    <n v="2.9350000000000001"/>
    <x v="3"/>
    <x v="0"/>
  </r>
  <r>
    <s v="w_ct_m_violations"/>
    <s v="w_ct_m_violations"/>
    <n v="0"/>
    <n v="0"/>
    <n v="2"/>
    <n v="6"/>
    <n v="60"/>
    <n v="1"/>
    <n v="2826"/>
    <n v="0"/>
    <n v="4"/>
    <n v="536"/>
    <n v="2.68"/>
    <x v="1"/>
    <x v="0"/>
  </r>
  <r>
    <s v="Pending Warrant Review"/>
    <s v="w_ct_m_warrant_review"/>
    <n v="0"/>
    <n v="1"/>
    <n v="0"/>
    <n v="3"/>
    <n v="31"/>
    <n v="1"/>
    <n v="999"/>
    <n v="0"/>
    <n v="5"/>
    <n v="525"/>
    <n v="2.625"/>
    <x v="1"/>
    <x v="0"/>
  </r>
  <r>
    <s v="Victim Restitution Paid Indicator"/>
    <s v="w_ct_m_fscl_vr_apprv"/>
    <n v="0"/>
    <n v="0"/>
    <n v="0"/>
    <n v="2"/>
    <n v="16"/>
    <n v="0"/>
    <n v="301"/>
    <n v="0"/>
    <n v="5"/>
    <n v="484"/>
    <n v="2.42"/>
    <x v="4"/>
    <x v="0"/>
  </r>
  <r>
    <s v="w_ct_r_bail_sched_hist_rpt"/>
    <s v="w_ct_r_bail_sched_hist_rpt"/>
    <n v="2"/>
    <n v="0"/>
    <n v="0"/>
    <n v="2"/>
    <n v="3"/>
    <n v="0"/>
    <n v="33"/>
    <n v="0"/>
    <n v="3"/>
    <n v="454"/>
    <n v="2.27"/>
    <x v="4"/>
    <x v="0"/>
  </r>
  <r>
    <s v="Check Maintenance"/>
    <s v="w_ct_m_fscl_chk_maint"/>
    <n v="0"/>
    <n v="1"/>
    <n v="0"/>
    <n v="4"/>
    <n v="29"/>
    <n v="1"/>
    <n v="2655"/>
    <n v="0"/>
    <n v="5"/>
    <n v="424"/>
    <n v="2.12"/>
    <x v="1"/>
    <x v="0"/>
  </r>
  <r>
    <s v="Vision Public Case - Input"/>
    <s v="w_ct_r_public_case_input"/>
    <n v="3"/>
    <n v="0"/>
    <n v="0"/>
    <n v="0"/>
    <n v="3"/>
    <n v="0"/>
    <n v="0"/>
    <n v="0"/>
    <n v="3"/>
    <n v="391"/>
    <n v="1.9550000000000001"/>
    <x v="4"/>
    <x v="0"/>
  </r>
  <r>
    <s v="Collection Campaign Queue"/>
    <s v="w_ct_m_coll_campaign_queue"/>
    <n v="0"/>
    <n v="0"/>
    <n v="3"/>
    <n v="4"/>
    <n v="30"/>
    <n v="0"/>
    <n v="357"/>
    <n v="0"/>
    <n v="7"/>
    <n v="374"/>
    <n v="1.87"/>
    <x v="1"/>
    <x v="0"/>
  </r>
  <r>
    <s v="Batch Payments on Hold"/>
    <s v="w_ct_r_cntr_batch_pmt_on_hold"/>
    <n v="1"/>
    <n v="0"/>
    <n v="0"/>
    <n v="1"/>
    <n v="5"/>
    <n v="0"/>
    <n v="140"/>
    <n v="1"/>
    <n v="3"/>
    <n v="365"/>
    <n v="1.825"/>
    <x v="4"/>
    <x v="0"/>
  </r>
  <r>
    <s v="Batch Payment"/>
    <s v="w_ct_m_cntr_batch_pmt"/>
    <n v="0"/>
    <n v="4"/>
    <n v="0"/>
    <n v="2"/>
    <n v="39"/>
    <n v="1"/>
    <n v="3041"/>
    <n v="2"/>
    <n v="6"/>
    <n v="365"/>
    <n v="1.825"/>
    <x v="2"/>
    <x v="0"/>
  </r>
  <r>
    <s v="Bail Bond Notice"/>
    <s v="w_ct_m_bail_bond_notice"/>
    <n v="0"/>
    <n v="1"/>
    <n v="0"/>
    <n v="2"/>
    <n v="22"/>
    <n v="1"/>
    <n v="2224"/>
    <n v="0"/>
    <n v="6"/>
    <n v="300"/>
    <n v="1.5"/>
    <x v="2"/>
    <x v="0"/>
  </r>
  <r>
    <s v="OCV Payment Processor"/>
    <s v="w_ct_m_ocv_payment"/>
    <n v="0"/>
    <n v="2"/>
    <n v="3"/>
    <n v="26"/>
    <n v="204"/>
    <n v="0"/>
    <n v="1164"/>
    <n v="0"/>
    <n v="6"/>
    <n v="292"/>
    <n v="1.46"/>
    <x v="6"/>
    <x v="0"/>
  </r>
  <r>
    <s v="Calendar File Location"/>
    <s v="w_ct_s_rcds_cal_loc"/>
    <n v="0"/>
    <n v="1"/>
    <n v="0"/>
    <n v="2"/>
    <n v="22"/>
    <n v="1"/>
    <n v="1497"/>
    <n v="0"/>
    <n v="5"/>
    <n v="288"/>
    <n v="1.44"/>
    <x v="1"/>
    <x v="0"/>
  </r>
  <r>
    <s v="JBSIS Reporting"/>
    <s v="w_ct_jbsis_manrpt"/>
    <n v="0"/>
    <n v="1"/>
    <n v="2"/>
    <n v="5"/>
    <n v="29"/>
    <n v="0"/>
    <n v="1584"/>
    <n v="2"/>
    <n v="5"/>
    <n v="281"/>
    <n v="1.405"/>
    <x v="2"/>
    <x v="0"/>
  </r>
  <r>
    <s v="Person Link / Unlink"/>
    <s v="w_ct_m_person_link_unlink"/>
    <n v="3"/>
    <n v="4"/>
    <n v="0"/>
    <n v="4"/>
    <n v="25"/>
    <n v="1"/>
    <n v="555"/>
    <n v="0"/>
    <n v="4"/>
    <n v="260"/>
    <n v="1.3"/>
    <x v="1"/>
    <x v="0"/>
  </r>
  <r>
    <s v="Code Mover"/>
    <s v="w_ct_m_code_mover"/>
    <n v="0"/>
    <n v="0"/>
    <n v="6"/>
    <n v="1"/>
    <n v="9"/>
    <n v="0"/>
    <n v="168"/>
    <n v="0"/>
    <n v="4"/>
    <n v="257"/>
    <n v="1.2849999999999999"/>
    <x v="5"/>
    <x v="1"/>
  </r>
  <r>
    <s v="Collection Campaign Queue"/>
    <s v="w_ct_m_coll_person_interface"/>
    <n v="1"/>
    <n v="3"/>
    <n v="3"/>
    <n v="10"/>
    <n v="95"/>
    <n v="0"/>
    <n v="3629"/>
    <n v="0"/>
    <n v="6"/>
    <n v="244"/>
    <n v="1.22"/>
    <x v="1"/>
    <x v="0"/>
  </r>
  <r>
    <s v="Court Trial Transfer"/>
    <s v="w_ct_m_cal_transfer_location"/>
    <n v="0"/>
    <n v="0"/>
    <n v="0"/>
    <n v="4"/>
    <n v="30"/>
    <n v="1"/>
    <n v="1493"/>
    <n v="0"/>
    <n v="5"/>
    <n v="233"/>
    <n v="1.165"/>
    <x v="1"/>
    <x v="0"/>
  </r>
  <r>
    <s v="w_ct_m_ftbti_payment"/>
    <s v="w_ct_m_ftbti_payment"/>
    <n v="0"/>
    <n v="4"/>
    <n v="3"/>
    <n v="24"/>
    <n v="185"/>
    <n v="1"/>
    <n v="4532"/>
    <n v="1"/>
    <n v="7"/>
    <n v="222"/>
    <n v="1.1100000000000001"/>
    <x v="2"/>
    <x v="0"/>
  </r>
  <r>
    <s v="Import Claim Schedule File"/>
    <s v="w_ct_r_ftbcod_import_cs"/>
    <n v="1"/>
    <n v="0"/>
    <n v="0"/>
    <n v="0"/>
    <n v="11"/>
    <n v="0"/>
    <n v="263"/>
    <n v="0"/>
    <n v="4"/>
    <n v="200"/>
    <n v="1"/>
    <x v="3"/>
    <x v="0"/>
  </r>
  <r>
    <s v="Warrant Signal Audit"/>
    <s v="w_ct_m_warrant_signal_audit"/>
    <n v="0"/>
    <n v="0"/>
    <n v="2"/>
    <n v="4"/>
    <n v="19"/>
    <n v="0"/>
    <n v="303"/>
    <n v="0"/>
    <n v="4"/>
    <n v="176"/>
    <n v="0.88"/>
    <x v="1"/>
    <x v="0"/>
  </r>
  <r>
    <s v="Court Control Setup"/>
    <s v="w_ct_m_mnt_control"/>
    <n v="0"/>
    <n v="1"/>
    <n v="0"/>
    <n v="1"/>
    <n v="24"/>
    <n v="1"/>
    <n v="546"/>
    <n v="0"/>
    <n v="4"/>
    <n v="152"/>
    <n v="0.76"/>
    <x v="5"/>
    <x v="1"/>
  </r>
  <r>
    <s v="JMS Dashboard"/>
    <s v="w_ct_m_jms_dashboard_bzr"/>
    <n v="0"/>
    <n v="0"/>
    <n v="0"/>
    <n v="0"/>
    <n v="1"/>
    <n v="0"/>
    <n v="0"/>
    <n v="0"/>
    <n v="4"/>
    <n v="140"/>
    <n v="0.7"/>
    <x v="3"/>
    <x v="0"/>
  </r>
  <r>
    <s v="w_ct_m_coll_ftbti_interface"/>
    <s v="w_ct_m_coll_ftbti_interface"/>
    <n v="0"/>
    <n v="0"/>
    <n v="3"/>
    <n v="11"/>
    <n v="70"/>
    <n v="0"/>
    <n v="654"/>
    <n v="0"/>
    <n v="5"/>
    <n v="134"/>
    <n v="0.67"/>
    <x v="6"/>
    <x v="0"/>
  </r>
  <r>
    <s v="Bail Distribution Schedules"/>
    <s v="w_ct_m_fscl_bail_dist_sched"/>
    <n v="0"/>
    <n v="0"/>
    <n v="0"/>
    <n v="2"/>
    <n v="32"/>
    <n v="1"/>
    <n v="1122"/>
    <n v="0"/>
    <n v="5"/>
    <n v="122"/>
    <n v="0.61"/>
    <x v="2"/>
    <x v="0"/>
  </r>
  <r>
    <s v="w_ct_r_fiscal_batch_cases"/>
    <s v="w_ct_r_fiscal_batch_cases"/>
    <n v="1"/>
    <n v="0"/>
    <n v="0"/>
    <n v="1"/>
    <n v="4"/>
    <n v="0"/>
    <n v="0"/>
    <n v="0"/>
    <n v="3"/>
    <n v="120"/>
    <n v="0.6"/>
    <x v="5"/>
    <x v="0"/>
  </r>
  <r>
    <s v="Case File Purge"/>
    <s v="w_ct_m_case_file_purge"/>
    <n v="0"/>
    <n v="1"/>
    <n v="0"/>
    <n v="3"/>
    <n v="22"/>
    <n v="1"/>
    <n v="765"/>
    <n v="0"/>
    <n v="7"/>
    <n v="105"/>
    <n v="0.52500000000000002"/>
    <x v="1"/>
    <x v="0"/>
  </r>
  <r>
    <s v="Parm Lookups"/>
    <s v="w_ct_m_parm_lookups"/>
    <n v="1"/>
    <n v="2"/>
    <n v="0"/>
    <n v="3"/>
    <n v="25"/>
    <n v="1"/>
    <n v="232"/>
    <n v="0"/>
    <n v="4"/>
    <n v="105"/>
    <n v="0.52500000000000002"/>
    <x v="5"/>
    <x v="1"/>
  </r>
  <r>
    <s v="Reversals"/>
    <s v="w_ct_m_fscl_pmt_reversals"/>
    <n v="0"/>
    <n v="4"/>
    <n v="0"/>
    <n v="2"/>
    <n v="44"/>
    <n v="1"/>
    <n v="1191"/>
    <n v="0"/>
    <n v="7"/>
    <n v="102"/>
    <n v="0.51"/>
    <x v="1"/>
    <x v="0"/>
  </r>
  <r>
    <s v="SP Registry"/>
    <s v="w_ct_m_sp_registry"/>
    <n v="0"/>
    <n v="6"/>
    <n v="3"/>
    <n v="9"/>
    <n v="78"/>
    <n v="1"/>
    <n v="2141"/>
    <n v="0"/>
    <n v="5"/>
    <n v="100"/>
    <n v="0.5"/>
    <x v="5"/>
    <x v="1"/>
  </r>
  <r>
    <s v="Units"/>
    <s v="w_ct_m_unit_codes"/>
    <n v="0"/>
    <n v="0"/>
    <n v="4"/>
    <n v="11"/>
    <n v="54"/>
    <n v="1"/>
    <n v="613"/>
    <n v="0"/>
    <n v="5"/>
    <n v="97"/>
    <n v="0.48499999999999999"/>
    <x v="1"/>
    <x v="1"/>
  </r>
  <r>
    <s v="Case Batch Purge"/>
    <s v="w_ct_m_purged_cases"/>
    <n v="0"/>
    <n v="1"/>
    <n v="0"/>
    <n v="3"/>
    <n v="19"/>
    <n v="1"/>
    <n v="664"/>
    <n v="0"/>
    <n v="4"/>
    <n v="93"/>
    <n v="0.46500000000000002"/>
    <x v="1"/>
    <x v="0"/>
  </r>
  <r>
    <s v="Professional  Maintenance"/>
    <s v="w_ct_m_professional_maint"/>
    <n v="0"/>
    <n v="1"/>
    <n v="0"/>
    <n v="2"/>
    <n v="16"/>
    <n v="1"/>
    <n v="103"/>
    <n v="0"/>
    <n v="4"/>
    <n v="85"/>
    <n v="0.42499999999999999"/>
    <x v="5"/>
    <x v="0"/>
  </r>
  <r>
    <s v="Auto Process Schedule Setup"/>
    <s v="w_ct_m_mnt_auto_process_sched"/>
    <n v="0"/>
    <n v="0"/>
    <n v="0"/>
    <n v="2"/>
    <n v="19"/>
    <n v="1"/>
    <n v="253"/>
    <n v="0"/>
    <n v="4"/>
    <n v="80"/>
    <n v="0.4"/>
    <x v="5"/>
    <x v="1"/>
  </r>
  <r>
    <s v="Bondsman Surety"/>
    <s v="w_ct_m_bondsman_surety"/>
    <n v="0"/>
    <n v="0"/>
    <n v="2"/>
    <n v="5"/>
    <n v="30"/>
    <n v="1"/>
    <n v="1942"/>
    <n v="0"/>
    <n v="4"/>
    <n v="80"/>
    <n v="0.4"/>
    <x v="1"/>
    <x v="0"/>
  </r>
  <r>
    <s v="Violation Agency X-Ref"/>
    <s v="w_ct_m_viol_agency_xref"/>
    <n v="0"/>
    <n v="0"/>
    <n v="2"/>
    <n v="6"/>
    <n v="33"/>
    <n v="1"/>
    <n v="236"/>
    <n v="0"/>
    <n v="4"/>
    <n v="68"/>
    <n v="0.34"/>
    <x v="5"/>
    <x v="0"/>
  </r>
  <r>
    <s v="w_ct_m_fscl_fee_sched"/>
    <s v="w_ct_m_fscl_fee_sched"/>
    <n v="0"/>
    <n v="0"/>
    <n v="0"/>
    <n v="2"/>
    <n v="30"/>
    <n v="1"/>
    <n v="3036"/>
    <n v="0"/>
    <n v="4"/>
    <n v="67"/>
    <n v="0.33500000000000002"/>
    <x v="1"/>
    <x v="0"/>
  </r>
  <r>
    <s v="Interfaces"/>
    <s v="w_ct_m_fscl_audit_controller"/>
    <n v="0"/>
    <n v="0"/>
    <n v="0"/>
    <n v="1"/>
    <n v="8"/>
    <n v="0"/>
    <n v="149"/>
    <n v="0"/>
    <n v="5"/>
    <n v="67"/>
    <n v="0.33500000000000002"/>
    <x v="5"/>
    <x v="0"/>
  </r>
  <r>
    <s v="Fund Maintenance"/>
    <s v="w_ct_m_fscl_fund_maint"/>
    <n v="0"/>
    <n v="0"/>
    <n v="0"/>
    <n v="2"/>
    <n v="20"/>
    <n v="1"/>
    <n v="504"/>
    <n v="0"/>
    <n v="4"/>
    <n v="65"/>
    <n v="0.32500000000000001"/>
    <x v="5"/>
    <x v="0"/>
  </r>
  <r>
    <s v="Penalty Assessment Distribution Schedules"/>
    <s v="w_ct_m_fscl_pa_dist_sched"/>
    <n v="0"/>
    <n v="0"/>
    <n v="0"/>
    <n v="2"/>
    <n v="29"/>
    <n v="1"/>
    <n v="1025"/>
    <n v="2"/>
    <n v="5"/>
    <n v="63"/>
    <n v="0.315"/>
    <x v="5"/>
    <x v="0"/>
  </r>
  <r>
    <s v="Case Packaging Noticing"/>
    <s v="w_ct_m_case_package_list"/>
    <n v="0"/>
    <n v="0"/>
    <n v="0"/>
    <n v="6"/>
    <n v="18"/>
    <n v="1"/>
    <n v="373"/>
    <n v="1"/>
    <n v="4"/>
    <n v="60"/>
    <n v="0.3"/>
    <x v="5"/>
    <x v="0"/>
  </r>
  <r>
    <s v="Interpreters  Maintenance"/>
    <s v="w_ct_m_interpreters"/>
    <n v="0"/>
    <n v="2"/>
    <n v="0"/>
    <n v="1"/>
    <n v="29"/>
    <n v="1"/>
    <n v="568"/>
    <n v="0"/>
    <n v="4"/>
    <n v="59"/>
    <n v="0.29499999999999998"/>
    <x v="5"/>
    <x v="0"/>
  </r>
  <r>
    <s v="Calendar Plan Maintenance"/>
    <s v="w_ct_m_calendar_plan"/>
    <n v="0"/>
    <n v="0"/>
    <n v="5"/>
    <n v="15"/>
    <n v="133"/>
    <n v="1"/>
    <n v="4039"/>
    <n v="0"/>
    <n v="4"/>
    <n v="56"/>
    <n v="0.28000000000000003"/>
    <x v="2"/>
    <x v="0"/>
  </r>
  <r>
    <s v="Import Action File (part of FTBCOD window)"/>
    <s v="w_ct_r_coll_ftbcod_import_actions"/>
    <n v="1"/>
    <n v="0"/>
    <n v="0"/>
    <n v="0"/>
    <n v="11"/>
    <n v="0"/>
    <n v="1066"/>
    <n v="0"/>
    <n v="3"/>
    <n v="55"/>
    <n v="0.27500000000000002"/>
    <x v="3"/>
    <x v="0"/>
  </r>
  <r>
    <s v="Basic Menu Manager"/>
    <s v="w_ct_m_menu_basic"/>
    <n v="0"/>
    <n v="1"/>
    <n v="0"/>
    <n v="5"/>
    <n v="30"/>
    <n v="1"/>
    <n v="52"/>
    <n v="0"/>
    <n v="4"/>
    <n v="55"/>
    <n v="0.27500000000000002"/>
    <x v="1"/>
    <x v="1"/>
  </r>
  <r>
    <s v="Special Distribution Schedules"/>
    <s v="w_ct_m_fscl_spl_dist_sched"/>
    <n v="0"/>
    <n v="0"/>
    <n v="0"/>
    <n v="2"/>
    <n v="30"/>
    <n v="1"/>
    <n v="861"/>
    <n v="2"/>
    <n v="5"/>
    <n v="48"/>
    <n v="0.24"/>
    <x v="5"/>
    <x v="0"/>
  </r>
  <r>
    <s v="Error Codes"/>
    <s v="w_ct_m_error_codes"/>
    <n v="0"/>
    <n v="0"/>
    <n v="0"/>
    <n v="1"/>
    <n v="10"/>
    <n v="1"/>
    <n v="190"/>
    <n v="0"/>
    <n v="4"/>
    <n v="48"/>
    <n v="0.24"/>
    <x v="4"/>
    <x v="1"/>
  </r>
  <r>
    <s v="VCJIS - Court Reports Preview "/>
    <s v="w_ct_r_dckt_preview_docket_rpt"/>
    <n v="2"/>
    <n v="0"/>
    <n v="0"/>
    <n v="1"/>
    <n v="8"/>
    <n v="0"/>
    <n v="0"/>
    <n v="0"/>
    <n v="3"/>
    <n v="47"/>
    <n v="0.23499999999999999"/>
    <x v="5"/>
    <x v="0"/>
  </r>
  <r>
    <s v="Purge Duplicate Cases"/>
    <s v="w_ct_m_purge_duplicate"/>
    <n v="0"/>
    <n v="0"/>
    <n v="0"/>
    <n v="1"/>
    <n v="13"/>
    <n v="0"/>
    <n v="14"/>
    <n v="0"/>
    <n v="4"/>
    <n v="46"/>
    <n v="0.23"/>
    <x v="4"/>
    <x v="1"/>
  </r>
  <r>
    <s v="Interpreters in System"/>
    <s v="w_ct_r_interpreters_lookup"/>
    <n v="1"/>
    <n v="0"/>
    <n v="0"/>
    <n v="1"/>
    <n v="8"/>
    <n v="0"/>
    <n v="58"/>
    <n v="0"/>
    <n v="3"/>
    <n v="41"/>
    <n v="0.20499999999999999"/>
    <x v="4"/>
    <x v="0"/>
  </r>
  <r>
    <s v="JBSIS Audit Report"/>
    <s v="w_ct_m_jbsis_audit_report"/>
    <n v="0"/>
    <n v="3"/>
    <n v="0"/>
    <n v="10"/>
    <n v="42"/>
    <n v="0"/>
    <n v="2468"/>
    <n v="1"/>
    <n v="6"/>
    <n v="40"/>
    <n v="0.2"/>
    <x v="1"/>
    <x v="0"/>
  </r>
  <r>
    <s v="Batch Traffic School Completion"/>
    <s v="w_ct_m_mark_ts_complete"/>
    <n v="0"/>
    <n v="1"/>
    <n v="0"/>
    <n v="1"/>
    <n v="10"/>
    <n v="0"/>
    <n v="1120"/>
    <n v="0"/>
    <n v="7"/>
    <n v="35"/>
    <n v="0.17499999999999999"/>
    <x v="5"/>
    <x v="0"/>
  </r>
  <r>
    <s v="Docket Code Macro Configuration"/>
    <s v="w_ct_m_docket_macro"/>
    <n v="0"/>
    <n v="0"/>
    <n v="0"/>
    <n v="5"/>
    <n v="61"/>
    <n v="1"/>
    <n v="4131"/>
    <n v="1"/>
    <n v="6"/>
    <n v="32"/>
    <n v="0.16"/>
    <x v="5"/>
    <x v="0"/>
  </r>
  <r>
    <s v="DOJ Abstract"/>
    <s v="w_ct_r_doj_abstract_viewer"/>
    <n v="1"/>
    <n v="0"/>
    <n v="0"/>
    <n v="2"/>
    <n v="8"/>
    <n v="0"/>
    <n v="0"/>
    <n v="0"/>
    <n v="3"/>
    <n v="32"/>
    <n v="0.16"/>
    <x v="5"/>
    <x v="0"/>
  </r>
  <r>
    <s v="Sentence Workflow Maintenance"/>
    <s v="w_ct_case_sent_wkflow_mapping"/>
    <n v="0"/>
    <n v="0"/>
    <n v="4"/>
    <n v="12"/>
    <n v="33"/>
    <n v="1"/>
    <n v="141"/>
    <n v="0"/>
    <n v="4"/>
    <n v="32"/>
    <n v="0.16"/>
    <x v="2"/>
    <x v="1"/>
  </r>
  <r>
    <s v="New Professional"/>
    <s v="w_ct_r_professional_new"/>
    <n v="1"/>
    <n v="0"/>
    <n v="0"/>
    <n v="0"/>
    <n v="14"/>
    <n v="0"/>
    <n v="356"/>
    <n v="0"/>
    <n v="3"/>
    <n v="31"/>
    <n v="0.155"/>
    <x v="5"/>
    <x v="0"/>
  </r>
  <r>
    <s v="JBSIS Report Detail Maintenance"/>
    <s v="w_ct_m_jbsis_report_detail"/>
    <n v="0"/>
    <n v="0"/>
    <n v="0"/>
    <n v="2"/>
    <n v="17"/>
    <n v="1"/>
    <n v="354"/>
    <n v="0"/>
    <n v="4"/>
    <n v="30"/>
    <n v="0.15"/>
    <x v="5"/>
    <x v="0"/>
  </r>
  <r>
    <s v="Docket Code Macros - Mover"/>
    <s v="w_ct_m_docket_macro_move"/>
    <n v="0"/>
    <n v="0"/>
    <n v="0"/>
    <n v="15"/>
    <n v="29"/>
    <n v="0"/>
    <n v="427"/>
    <n v="11"/>
    <n v="4"/>
    <n v="28"/>
    <n v="0.14000000000000001"/>
    <x v="3"/>
    <x v="0"/>
  </r>
  <r>
    <s v="Court Closure Transfer"/>
    <s v="w_ct_m_cal_close_transfer"/>
    <n v="0"/>
    <n v="1"/>
    <n v="0"/>
    <n v="4"/>
    <n v="35"/>
    <n v="1"/>
    <n v="1662"/>
    <n v="0"/>
    <n v="6"/>
    <n v="23"/>
    <n v="0.115"/>
    <x v="5"/>
    <x v="0"/>
  </r>
  <r>
    <s v="Cost of Collections"/>
    <s v="w_ct_m_fscl_cost_of_collections"/>
    <n v="0"/>
    <n v="0"/>
    <n v="0"/>
    <n v="0"/>
    <n v="6"/>
    <n v="1"/>
    <n v="0"/>
    <n v="0"/>
    <n v="4"/>
    <n v="23"/>
    <n v="0.115"/>
    <x v="5"/>
    <x v="0"/>
  </r>
  <r>
    <s v="DMV Admin Transactions"/>
    <s v="w_ct_m_dmv_admin_tran"/>
    <n v="0"/>
    <n v="2"/>
    <n v="3"/>
    <n v="6"/>
    <n v="38"/>
    <n v="0"/>
    <n v="1122"/>
    <n v="0"/>
    <n v="4"/>
    <n v="22"/>
    <n v="0.11"/>
    <x v="5"/>
    <x v="0"/>
  </r>
  <r>
    <s v="Fee Distribution Schedules"/>
    <s v="w_ct_m_fscl_fee_dist_sched"/>
    <n v="0"/>
    <n v="0"/>
    <n v="0"/>
    <n v="2"/>
    <n v="28"/>
    <n v="1"/>
    <n v="842"/>
    <n v="0"/>
    <n v="5"/>
    <n v="21"/>
    <n v="0.105"/>
    <x v="5"/>
    <x v="0"/>
  </r>
  <r>
    <s v="Exhibit Maintenance "/>
    <s v="w_ct_m_exhibit_maintenance"/>
    <n v="0"/>
    <n v="2"/>
    <n v="0"/>
    <n v="4"/>
    <n v="16"/>
    <n v="1"/>
    <n v="721"/>
    <n v="0"/>
    <n v="4"/>
    <n v="20"/>
    <n v="0.1"/>
    <x v="5"/>
    <x v="0"/>
  </r>
  <r>
    <s v="Event Codes"/>
    <s v="w_ct_m_event_codes"/>
    <n v="0"/>
    <n v="0"/>
    <n v="0"/>
    <n v="4"/>
    <n v="24"/>
    <n v="1"/>
    <n v="136"/>
    <n v="0"/>
    <n v="4"/>
    <n v="20"/>
    <n v="0.1"/>
    <x v="4"/>
    <x v="1"/>
  </r>
  <r>
    <s v="Court Holidays"/>
    <s v="w_ct_m_court_holidays"/>
    <n v="0"/>
    <n v="0"/>
    <n v="0"/>
    <n v="18"/>
    <n v="37"/>
    <n v="1"/>
    <n v="466"/>
    <n v="12"/>
    <n v="4"/>
    <n v="19"/>
    <n v="9.5000000000000001E-2"/>
    <x v="5"/>
    <x v="1"/>
  </r>
  <r>
    <s v="Generic Notice Maintenance"/>
    <s v="w_ct_m_letter_maint"/>
    <n v="0"/>
    <n v="0"/>
    <n v="0"/>
    <n v="4"/>
    <n v="28"/>
    <n v="1"/>
    <n v="1074"/>
    <n v="0"/>
    <n v="4"/>
    <n v="19"/>
    <n v="9.5000000000000001E-2"/>
    <x v="5"/>
    <x v="1"/>
  </r>
  <r>
    <s v="Warrant XML Viewer"/>
    <s v="w_ct_m_warrant_awss_xml"/>
    <n v="0"/>
    <n v="2"/>
    <n v="0"/>
    <n v="2"/>
    <n v="12"/>
    <n v="0"/>
    <n v="394"/>
    <n v="2"/>
    <n v="4"/>
    <n v="18"/>
    <n v="0.09"/>
    <x v="5"/>
    <x v="0"/>
  </r>
  <r>
    <s v="Agency Codes"/>
    <s v="w_ct_m_agency_codes"/>
    <n v="0"/>
    <n v="0"/>
    <n v="6"/>
    <n v="9"/>
    <n v="52"/>
    <n v="1"/>
    <n v="292"/>
    <n v="0"/>
    <n v="5"/>
    <n v="18"/>
    <n v="0.09"/>
    <x v="4"/>
    <x v="0"/>
  </r>
  <r>
    <s v="New Exhibit Hearing List"/>
    <s v="w_ct_m_exhibit_new_hearing"/>
    <n v="1"/>
    <n v="0"/>
    <n v="0"/>
    <n v="1"/>
    <n v="4"/>
    <n v="0"/>
    <n v="128"/>
    <n v="0"/>
    <n v="3"/>
    <n v="17"/>
    <n v="8.5000000000000006E-2"/>
    <x v="5"/>
    <x v="0"/>
  </r>
  <r>
    <s v="Calendar Transfer Notices"/>
    <s v="w_ct_m_cal_transfer_notice"/>
    <n v="0"/>
    <n v="1"/>
    <n v="0"/>
    <n v="4"/>
    <n v="21"/>
    <n v="0"/>
    <n v="1676"/>
    <n v="1"/>
    <n v="6"/>
    <n v="16"/>
    <n v="0.08"/>
    <x v="1"/>
    <x v="0"/>
  </r>
  <r>
    <s v="Person Unlink"/>
    <s v="w_ct_m_person_unlink"/>
    <n v="0"/>
    <n v="0"/>
    <n v="0"/>
    <n v="3"/>
    <n v="20"/>
    <n v="0"/>
    <n v="142"/>
    <n v="2"/>
    <n v="4"/>
    <n v="15"/>
    <n v="7.4999999999999997E-2"/>
    <x v="3"/>
    <x v="0"/>
  </r>
  <r>
    <s v="XRef Maintenance"/>
    <s v="w_ct_m_maint_xref"/>
    <n v="0"/>
    <n v="0"/>
    <n v="0"/>
    <n v="2"/>
    <n v="11"/>
    <n v="1"/>
    <n v="905"/>
    <n v="0"/>
    <n v="4"/>
    <n v="14"/>
    <n v="7.0000000000000007E-2"/>
    <x v="4"/>
    <x v="1"/>
  </r>
  <r>
    <s v="Financial Evaluation"/>
    <s v="w_ct_m_coll_fin_eval_list"/>
    <n v="0"/>
    <n v="0"/>
    <n v="0"/>
    <n v="3"/>
    <n v="23"/>
    <n v="1"/>
    <n v="269"/>
    <n v="0"/>
    <n v="6"/>
    <n v="13"/>
    <n v="6.5000000000000002E-2"/>
    <x v="5"/>
    <x v="0"/>
  </r>
  <r>
    <s v="Exhibit Management Search"/>
    <s v="w_ct_m_exhibit_management_srch"/>
    <n v="0"/>
    <n v="0"/>
    <n v="0"/>
    <n v="3"/>
    <n v="18"/>
    <n v="0"/>
    <n v="38"/>
    <n v="0"/>
    <n v="4"/>
    <n v="13"/>
    <n v="6.5000000000000002E-2"/>
    <x v="4"/>
    <x v="0"/>
  </r>
  <r>
    <s v="PA Schedule Maintenance"/>
    <s v="w_ct_m_maint_pa_sched"/>
    <n v="0"/>
    <n v="0"/>
    <n v="0"/>
    <n v="1"/>
    <n v="10"/>
    <n v="1"/>
    <n v="223"/>
    <n v="0"/>
    <n v="4"/>
    <n v="13"/>
    <n v="6.5000000000000002E-2"/>
    <x v="4"/>
    <x v="0"/>
  </r>
  <r>
    <s v="Date of Action Maintenance"/>
    <s v="w_ct_m_docket_date_of_action_maint"/>
    <n v="1"/>
    <n v="3"/>
    <n v="0"/>
    <n v="2"/>
    <n v="17"/>
    <n v="1"/>
    <n v="394"/>
    <n v="0"/>
    <n v="4"/>
    <n v="12"/>
    <n v="0.06"/>
    <x v="4"/>
    <x v="0"/>
  </r>
  <r>
    <s v="Professional Consolidation "/>
    <s v="w_ct_m_professional_consolidation"/>
    <n v="0"/>
    <n v="1"/>
    <n v="0"/>
    <n v="5"/>
    <n v="20"/>
    <n v="1"/>
    <n v="643"/>
    <n v="0"/>
    <n v="4"/>
    <n v="12"/>
    <n v="0.06"/>
    <x v="5"/>
    <x v="0"/>
  </r>
  <r>
    <s v="Collections Campaign Maintenance"/>
    <s v="w_ct_m_coll_campaign_maint"/>
    <n v="0"/>
    <n v="0"/>
    <n v="0"/>
    <n v="2"/>
    <n v="14"/>
    <n v="1"/>
    <n v="69"/>
    <n v="2"/>
    <n v="5"/>
    <n v="11"/>
    <n v="5.5E-2"/>
    <x v="5"/>
    <x v="0"/>
  </r>
  <r>
    <s v="Collector Maintenance"/>
    <s v="w_ct_m_coll_collector_maint"/>
    <n v="0"/>
    <n v="0"/>
    <n v="0"/>
    <n v="1"/>
    <n v="20"/>
    <n v="1"/>
    <n v="921"/>
    <n v="0"/>
    <n v="5"/>
    <n v="10"/>
    <n v="0.05"/>
    <x v="4"/>
    <x v="0"/>
  </r>
  <r>
    <s v="Advanced Menu Manager"/>
    <s v="w_ct_m_menu_full"/>
    <n v="0"/>
    <n v="1"/>
    <n v="0"/>
    <n v="6"/>
    <n v="39"/>
    <n v="1"/>
    <n v="96"/>
    <n v="0"/>
    <n v="4"/>
    <n v="9"/>
    <n v="4.4999999999999998E-2"/>
    <x v="1"/>
    <x v="1"/>
  </r>
  <r>
    <s v="File Request Inquiry"/>
    <s v="w_ct_s_rcds_request_inquiry"/>
    <n v="0"/>
    <n v="1"/>
    <n v="0"/>
    <n v="2"/>
    <n v="8"/>
    <n v="0"/>
    <n v="560"/>
    <n v="0"/>
    <n v="4"/>
    <n v="7"/>
    <n v="3.5000000000000003E-2"/>
    <x v="4"/>
    <x v="0"/>
  </r>
  <r>
    <s v="w_ct_m_fscl_speed_sched"/>
    <s v="w_ct_m_fscl_speed_sched"/>
    <n v="0"/>
    <n v="1"/>
    <n v="0"/>
    <n v="2"/>
    <n v="24"/>
    <n v="1"/>
    <n v="1442"/>
    <n v="0"/>
    <n v="4"/>
    <n v="7"/>
    <n v="3.5000000000000003E-2"/>
    <x v="5"/>
    <x v="0"/>
  </r>
  <r>
    <s v="File Import"/>
    <s v="w_ct_m_file_etl"/>
    <n v="0"/>
    <n v="0"/>
    <n v="0"/>
    <n v="3"/>
    <n v="23"/>
    <n v="0"/>
    <n v="316"/>
    <n v="1"/>
    <n v="4"/>
    <n v="7"/>
    <n v="3.5000000000000003E-2"/>
    <x v="5"/>
    <x v="0"/>
  </r>
  <r>
    <s v="DMV Prior Missing Report"/>
    <s v="w_ct_m_dmv_priors_missing_cases"/>
    <n v="0"/>
    <n v="1"/>
    <n v="0"/>
    <n v="2"/>
    <n v="11"/>
    <n v="0"/>
    <n v="542"/>
    <n v="0"/>
    <n v="4"/>
    <n v="6"/>
    <n v="0.03"/>
    <x v="4"/>
    <x v="0"/>
  </r>
  <r>
    <s v="OCV Return"/>
    <s v="w_ct_m_ocv_file_load"/>
    <n v="0"/>
    <n v="1"/>
    <n v="2"/>
    <n v="4"/>
    <n v="13"/>
    <n v="0"/>
    <n v="1484"/>
    <n v="0"/>
    <n v="4"/>
    <n v="6"/>
    <n v="0.03"/>
    <x v="5"/>
    <x v="0"/>
  </r>
  <r>
    <s v="Reapply Remittance"/>
    <s v="w_ct_m_fscl_reapp_remit"/>
    <n v="0"/>
    <n v="1"/>
    <n v="0"/>
    <n v="2"/>
    <n v="23"/>
    <n v="1"/>
    <n v="752"/>
    <n v="0"/>
    <n v="6"/>
    <n v="6"/>
    <n v="0.03"/>
    <x v="5"/>
    <x v="0"/>
  </r>
  <r>
    <s v="File Request Maintenance"/>
    <s v="w_ct_s_rcds_request_maint"/>
    <n v="0"/>
    <n v="1"/>
    <n v="0"/>
    <n v="2"/>
    <n v="20"/>
    <n v="1"/>
    <n v="1157"/>
    <n v="0"/>
    <n v="4"/>
    <n v="6"/>
    <n v="0.03"/>
    <x v="5"/>
    <x v="0"/>
  </r>
  <r>
    <s v="w_ct_m_fscl_speed_sched_2"/>
    <s v="w_ct_m_fscl_speed_sched_2"/>
    <n v="0"/>
    <n v="1"/>
    <n v="0"/>
    <n v="2"/>
    <n v="24"/>
    <n v="1"/>
    <n v="1442"/>
    <n v="0"/>
    <n v="4"/>
    <n v="5"/>
    <n v="2.5000000000000001E-2"/>
    <x v="5"/>
    <x v="0"/>
  </r>
  <r>
    <s v="Vision Menu Profile Report"/>
    <s v="w_ct_r_menu_profile_report"/>
    <n v="1"/>
    <n v="0"/>
    <n v="0"/>
    <n v="2"/>
    <n v="10"/>
    <n v="0"/>
    <n v="38"/>
    <n v="0"/>
    <n v="3"/>
    <n v="5"/>
    <n v="2.5000000000000001E-2"/>
    <x v="4"/>
    <x v="1"/>
  </r>
  <r>
    <s v="LEA Interface"/>
    <s v="w_ct_m_case_lea_interface"/>
    <n v="0"/>
    <n v="0"/>
    <n v="2"/>
    <n v="2"/>
    <n v="12"/>
    <n v="0"/>
    <n v="18"/>
    <n v="0"/>
    <n v="4"/>
    <n v="5"/>
    <n v="2.5000000000000001E-2"/>
    <x v="4"/>
    <x v="0"/>
  </r>
  <r>
    <s v="Chart of Accounts"/>
    <s v="w_ct_m_fscl_chart_of_accts"/>
    <n v="0"/>
    <n v="0"/>
    <n v="0"/>
    <n v="2"/>
    <n v="8"/>
    <n v="1"/>
    <n v="311"/>
    <n v="0"/>
    <n v="4"/>
    <n v="5"/>
    <n v="2.5000000000000001E-2"/>
    <x v="4"/>
    <x v="0"/>
  </r>
  <r>
    <s v="MOCS Docket Definition"/>
    <s v="w_ct_m_mocs_dkt_defn"/>
    <n v="1"/>
    <n v="0"/>
    <n v="0"/>
    <n v="3"/>
    <n v="23"/>
    <n v="1"/>
    <n v="201"/>
    <n v="0"/>
    <n v="3"/>
    <n v="5"/>
    <n v="2.5000000000000001E-2"/>
    <x v="1"/>
    <x v="1"/>
  </r>
  <r>
    <s v="Letter Maintenance"/>
    <s v="w_ct_m_letter_maint_lm"/>
    <n v="0"/>
    <n v="0"/>
    <n v="0"/>
    <n v="3"/>
    <n v="14"/>
    <n v="1"/>
    <n v="588"/>
    <n v="0"/>
    <n v="4"/>
    <n v="5"/>
    <n v="2.5000000000000001E-2"/>
    <x v="5"/>
    <x v="1"/>
  </r>
  <r>
    <s v="Agency Payment"/>
    <s v="w_ct_m_agency_payment"/>
    <n v="5"/>
    <n v="5"/>
    <n v="0"/>
    <n v="4"/>
    <n v="59"/>
    <n v="1"/>
    <n v="3430"/>
    <n v="2"/>
    <n v="6"/>
    <n v="5"/>
    <n v="2.5000000000000001E-2"/>
    <x v="5"/>
    <x v="0"/>
  </r>
  <r>
    <s v="Vision Batch Processing"/>
    <s v="w_ct_m_xl_batch_processing"/>
    <n v="0"/>
    <n v="1"/>
    <n v="3"/>
    <n v="12"/>
    <n v="66"/>
    <n v="0"/>
    <n v="716"/>
    <n v="0"/>
    <n v="4"/>
    <n v="5"/>
    <n v="2.5000000000000001E-2"/>
    <x v="2"/>
    <x v="1"/>
  </r>
  <r>
    <s v="Agency X-Ref Maintenance"/>
    <s v="w_ct_m_maint_agy_xref"/>
    <n v="0"/>
    <n v="0"/>
    <n v="0"/>
    <n v="2"/>
    <n v="13"/>
    <n v="1"/>
    <n v="210"/>
    <n v="0"/>
    <n v="4"/>
    <n v="4"/>
    <n v="0.02"/>
    <x v="5"/>
    <x v="0"/>
  </r>
  <r>
    <s v="PA Distribution Cross-Reference"/>
    <s v="w_ct_m_fscl_dist_xref"/>
    <n v="0"/>
    <n v="0"/>
    <n v="0"/>
    <n v="2"/>
    <n v="11"/>
    <n v="1"/>
    <n v="163"/>
    <n v="0"/>
    <n v="4"/>
    <n v="4"/>
    <n v="0.02"/>
    <x v="4"/>
    <x v="0"/>
  </r>
  <r>
    <s v="w_ct_m_coll_work_queue"/>
    <s v="w_ct_m_coll_work_queue"/>
    <n v="0"/>
    <n v="0"/>
    <n v="0"/>
    <n v="4"/>
    <n v="34"/>
    <n v="1"/>
    <n v="765"/>
    <n v="0"/>
    <n v="6"/>
    <n v="4"/>
    <n v="0.02"/>
    <x v="5"/>
    <x v="0"/>
  </r>
  <r>
    <s v="Appeal Summary"/>
    <s v="w_ct_apl_appeal_summary"/>
    <n v="0"/>
    <n v="5"/>
    <n v="7"/>
    <n v="9"/>
    <n v="41"/>
    <n v="1"/>
    <n v="247"/>
    <n v="0"/>
    <n v="5"/>
    <n v="4"/>
    <n v="0.02"/>
    <x v="3"/>
    <x v="0"/>
  </r>
  <r>
    <s v="Case Search"/>
    <s v="w_ct_r_appeal_search"/>
    <n v="2"/>
    <n v="2"/>
    <n v="3"/>
    <n v="4"/>
    <n v="58"/>
    <n v="0"/>
    <n v="2991"/>
    <n v="0"/>
    <n v="5"/>
    <n v="4"/>
    <n v="0.02"/>
    <x v="3"/>
    <x v="0"/>
  </r>
  <r>
    <s v="Person Delete"/>
    <s v="w_ct_m_person_delete"/>
    <n v="0"/>
    <n v="0"/>
    <n v="0"/>
    <n v="2"/>
    <n v="12"/>
    <n v="0"/>
    <n v="677"/>
    <n v="0"/>
    <n v="4"/>
    <n v="4"/>
    <n v="0.02"/>
    <x v="5"/>
    <x v="0"/>
  </r>
  <r>
    <s v="Distribution Override"/>
    <s v="w_ct_m_fscl_dist_override"/>
    <n v="0"/>
    <n v="0"/>
    <n v="3"/>
    <n v="4"/>
    <n v="30"/>
    <n v="1"/>
    <n v="1698"/>
    <n v="0"/>
    <n v="6"/>
    <n v="3"/>
    <n v="1.4999999999999999E-2"/>
    <x v="1"/>
    <x v="0"/>
  </r>
  <r>
    <s v="Case Documents"/>
    <s v="w_ct_apl_filed_docs"/>
    <n v="2"/>
    <n v="1"/>
    <n v="0"/>
    <n v="1"/>
    <n v="15"/>
    <n v="1"/>
    <n v="232"/>
    <n v="0"/>
    <n v="4"/>
    <n v="3"/>
    <n v="1.4999999999999999E-2"/>
    <x v="5"/>
    <x v="0"/>
  </r>
  <r>
    <s v="w_ct_m_fscl_special_schedule"/>
    <s v="w_ct_m_fscl_special_schedule"/>
    <n v="0"/>
    <n v="0"/>
    <n v="0"/>
    <n v="2"/>
    <n v="18"/>
    <n v="1"/>
    <n v="782"/>
    <n v="0"/>
    <n v="4"/>
    <n v="3"/>
    <n v="1.4999999999999999E-2"/>
    <x v="4"/>
    <x v="0"/>
  </r>
  <r>
    <s v="Missing Complaints Purge"/>
    <s v="w_ct_m_missing_complaints_purge"/>
    <n v="0"/>
    <n v="1"/>
    <n v="0"/>
    <n v="3"/>
    <n v="24"/>
    <n v="1"/>
    <n v="705"/>
    <n v="0"/>
    <n v="7"/>
    <n v="3"/>
    <n v="1.4999999999999999E-2"/>
    <x v="1"/>
    <x v="0"/>
  </r>
  <r>
    <s v="Collection Account Assignment"/>
    <s v="w_ct_m_coll_account_assign"/>
    <n v="0"/>
    <n v="1"/>
    <n v="0"/>
    <n v="4"/>
    <n v="40"/>
    <n v="1"/>
    <n v="738"/>
    <n v="0"/>
    <n v="5"/>
    <n v="2"/>
    <n v="0.01"/>
    <x v="3"/>
    <x v="0"/>
  </r>
  <r>
    <s v="Warrant Control Maintenance"/>
    <s v="w_ct_m_warr_ctrl_maint"/>
    <n v="0"/>
    <n v="0"/>
    <n v="0"/>
    <n v="1"/>
    <n v="13"/>
    <n v="1"/>
    <n v="224"/>
    <n v="0"/>
    <n v="4"/>
    <n v="2"/>
    <n v="0.01"/>
    <x v="3"/>
    <x v="0"/>
  </r>
  <r>
    <s v="Metadata Sync  Error Report"/>
    <s v="w_ct_m_case_docket_image_error_list"/>
    <n v="0"/>
    <n v="4"/>
    <n v="0"/>
    <n v="5"/>
    <n v="18"/>
    <n v="0"/>
    <n v="1361"/>
    <n v="0"/>
    <n v="4"/>
    <n v="2"/>
    <n v="0.01"/>
    <x v="3"/>
    <x v="0"/>
  </r>
  <r>
    <s v="Docket Code Lookup (Image maintenance)"/>
    <s v="w_ct_r_case_docket"/>
    <n v="1"/>
    <n v="0"/>
    <n v="0"/>
    <n v="1"/>
    <n v="5"/>
    <n v="0"/>
    <n v="156"/>
    <n v="0"/>
    <n v="3"/>
    <n v="1"/>
    <n v="5.0000000000000001E-3"/>
    <x v="4"/>
    <x v="0"/>
  </r>
  <r>
    <s v="Officer Merge"/>
    <s v="w_ct_m_officer_merge"/>
    <n v="0"/>
    <n v="0"/>
    <n v="2"/>
    <n v="4"/>
    <n v="17"/>
    <n v="0"/>
    <n v="219"/>
    <n v="0"/>
    <n v="5"/>
    <n v="1"/>
    <n v="5.0000000000000001E-3"/>
    <x v="5"/>
    <x v="1"/>
  </r>
  <r>
    <s v="Agency Location XReference"/>
    <s v="w_ct_m_maint_agy_loc_xref"/>
    <n v="0"/>
    <n v="0"/>
    <n v="0"/>
    <n v="1"/>
    <n v="9"/>
    <n v="1"/>
    <n v="184"/>
    <n v="0"/>
    <n v="4"/>
    <n v="1"/>
    <n v="5.0000000000000001E-3"/>
    <x v="3"/>
    <x v="0"/>
  </r>
  <r>
    <s v="Victim Restitution Distribution Schedules"/>
    <s v="w_ct_m_fscl_vr_dist_sched"/>
    <n v="0"/>
    <n v="0"/>
    <n v="0"/>
    <n v="2"/>
    <n v="27"/>
    <n v="1"/>
    <n v="665"/>
    <n v="0"/>
    <n v="5"/>
    <n v="1"/>
    <n v="5.0000000000000001E-3"/>
    <x v="4"/>
    <x v="0"/>
  </r>
  <r>
    <s v="Satellite Payment Approval"/>
    <s v="w_ct_m_fscl_sat_pmt_apprv"/>
    <n v="0"/>
    <n v="0"/>
    <n v="0"/>
    <n v="2"/>
    <n v="13"/>
    <n v="1"/>
    <n v="949"/>
    <n v="0"/>
    <n v="5"/>
    <n v="1"/>
    <n v="5.0000000000000001E-3"/>
    <x v="3"/>
    <x v="0"/>
  </r>
  <r>
    <s v="Base Distribution Cross-Reference"/>
    <s v="w_ct_m_fscl_base_dist_xref"/>
    <n v="0"/>
    <n v="0"/>
    <n v="0"/>
    <n v="2"/>
    <n v="11"/>
    <n v="1"/>
    <n v="163"/>
    <n v="0"/>
    <n v="4"/>
    <n v="1"/>
    <n v="5.0000000000000001E-3"/>
    <x v="5"/>
    <x v="0"/>
  </r>
  <r>
    <s v="Docket Macro Maintenence"/>
    <s v="w_ct_m_docket_macro_maint"/>
    <n v="0"/>
    <n v="1"/>
    <n v="3"/>
    <n v="6"/>
    <n v="92"/>
    <n v="1"/>
    <n v="3133"/>
    <n v="0"/>
    <n v="6"/>
    <n v="1"/>
    <n v="5.0000000000000001E-3"/>
    <x v="2"/>
    <x v="0"/>
  </r>
  <r>
    <s v="w_ct_r_fiscal_multi_cases_reversal"/>
    <s v="w_ct_r_fiscal_multi_cases_reversal"/>
    <n v="1"/>
    <n v="0"/>
    <n v="0"/>
    <n v="1"/>
    <n v="4"/>
    <n v="0"/>
    <n v="0"/>
    <n v="0"/>
    <n v="3"/>
    <n v="1"/>
    <n v="5.0000000000000001E-3"/>
    <x v="4"/>
    <x v="0"/>
  </r>
  <r>
    <s v="Print Checks"/>
    <s v="w_ct_r_fscl_prnt_chks"/>
    <n v="2"/>
    <n v="2"/>
    <n v="0"/>
    <n v="0"/>
    <n v="6"/>
    <n v="0"/>
    <n v="0"/>
    <n v="0"/>
    <n v="3"/>
    <n v="0"/>
    <n v="0"/>
    <x v="3"/>
    <x v="0"/>
  </r>
  <r>
    <s v="Copy Existing Speed Schedule  ( part of speed schedule)"/>
    <s v="w_ct_r_fscl_speed_sched"/>
    <n v="1"/>
    <n v="0"/>
    <n v="0"/>
    <n v="0"/>
    <n v="5"/>
    <n v="0"/>
    <n v="0"/>
    <n v="0"/>
    <n v="3"/>
    <n v="0"/>
    <n v="0"/>
    <x v="4"/>
    <x v="0"/>
  </r>
  <r>
    <s v="Copy Existing Speed Schedule ( part of speed schedule2)"/>
    <s v="w_ct_r_fscl_speed_sched_2"/>
    <n v="1"/>
    <n v="0"/>
    <n v="0"/>
    <n v="0"/>
    <n v="5"/>
    <n v="0"/>
    <n v="0"/>
    <n v="0"/>
    <n v="3"/>
    <n v="0"/>
    <n v="0"/>
    <x v="4"/>
    <x v="0"/>
  </r>
  <r>
    <s v="Interpreter Remarks ( part of maintenanc window. Ctrl+alt+T to launch under remarks column)"/>
    <s v="w_ct_r_interpreter_remarks"/>
    <n v="1"/>
    <n v="0"/>
    <n v="0"/>
    <n v="0"/>
    <n v="6"/>
    <n v="0"/>
    <n v="10"/>
    <n v="0"/>
    <n v="3"/>
    <n v="0"/>
    <n v="0"/>
    <x v="4"/>
    <x v="0"/>
  </r>
  <r>
    <s v="w_ct_r_lookup_nbr ( part of DC maintenance window)"/>
    <s v="w_ct_r_lookup_nbr"/>
    <n v="2"/>
    <n v="0"/>
    <n v="0"/>
    <n v="1"/>
    <n v="5"/>
    <n v="0"/>
    <n v="8"/>
    <n v="0"/>
    <n v="3"/>
    <n v="0"/>
    <n v="0"/>
    <x v="4"/>
    <x v="1"/>
  </r>
  <r>
    <s v="Maintenance Request Number"/>
    <s v="w_ct_r_maintenance_request_get_nbr"/>
    <n v="2"/>
    <n v="0"/>
    <n v="0"/>
    <n v="0"/>
    <n v="3"/>
    <n v="0"/>
    <n v="0"/>
    <n v="0"/>
    <n v="3"/>
    <n v="0"/>
    <n v="0"/>
    <x v="3"/>
    <x v="0"/>
  </r>
  <r>
    <s v="w_ct_r_per_select"/>
    <s v="w_ct_r_per_select"/>
    <n v="1"/>
    <n v="0"/>
    <n v="0"/>
    <n v="1"/>
    <n v="4"/>
    <n v="0"/>
    <n v="0"/>
    <n v="0"/>
    <n v="3"/>
    <n v="0"/>
    <n v="0"/>
    <x v="3"/>
    <x v="0"/>
  </r>
  <r>
    <s v="Reports"/>
    <s v="w_ct_r_report_builder_conv"/>
    <n v="2"/>
    <n v="0"/>
    <n v="2"/>
    <n v="2"/>
    <n v="24"/>
    <n v="1"/>
    <n v="799"/>
    <n v="0"/>
    <n v="4"/>
    <n v="0"/>
    <n v="0"/>
    <x v="3"/>
    <x v="0"/>
  </r>
  <r>
    <s v="Select Defendant ( part of meta data sync error report)"/>
    <s v="w_ct_r_select_defendant"/>
    <n v="1"/>
    <n v="0"/>
    <n v="0"/>
    <n v="1"/>
    <n v="5"/>
    <n v="0"/>
    <n v="159"/>
    <n v="0"/>
    <n v="3"/>
    <n v="0"/>
    <n v="0"/>
    <x v="3"/>
    <x v="0"/>
  </r>
  <r>
    <s v="w_nui_progress ( Framework)"/>
    <s v="w_nui_progress"/>
    <n v="3"/>
    <n v="0"/>
    <n v="0"/>
    <n v="0"/>
    <n v="0"/>
    <n v="0"/>
    <n v="0"/>
    <n v="0"/>
    <n v="0"/>
    <n v="0"/>
    <n v="0"/>
    <x v="3"/>
    <x v="0"/>
  </r>
  <r>
    <s v="Select Hearings"/>
    <s v="w_select_hearing"/>
    <n v="1"/>
    <n v="3"/>
    <n v="0"/>
    <n v="2"/>
    <n v="24"/>
    <n v="0"/>
    <n v="508"/>
    <n v="0"/>
    <n v="5"/>
    <n v="0"/>
    <n v="0"/>
    <x v="3"/>
    <x v="0"/>
  </r>
  <r>
    <s v="w_xl_filter ( Framework)"/>
    <s v="w_xl_filter"/>
    <n v="1"/>
    <n v="0"/>
    <n v="0"/>
    <n v="3"/>
    <n v="6"/>
    <n v="0"/>
    <n v="63"/>
    <n v="0"/>
    <n v="0"/>
    <n v="0"/>
    <n v="0"/>
    <x v="3"/>
    <x v="0"/>
  </r>
  <r>
    <s v="Data Fix"/>
    <s v="w_ct_m_data_fix"/>
    <n v="1"/>
    <n v="0"/>
    <n v="0"/>
    <n v="0"/>
    <n v="5"/>
    <n v="0"/>
    <n v="0"/>
    <n v="0"/>
    <n v="4"/>
    <n v="0"/>
    <n v="0"/>
    <x v="3"/>
    <x v="0"/>
  </r>
  <r>
    <s v="Data Search"/>
    <s v="w_ct_m_data_search"/>
    <n v="0"/>
    <n v="0"/>
    <n v="0"/>
    <n v="2"/>
    <n v="11"/>
    <n v="0"/>
    <n v="6"/>
    <n v="0"/>
    <n v="4"/>
    <n v="0"/>
    <n v="0"/>
    <x v="3"/>
    <x v="0"/>
  </r>
  <r>
    <s v="Development Log"/>
    <s v="w_ct_m_dev_log"/>
    <n v="0"/>
    <n v="0"/>
    <n v="0"/>
    <n v="2"/>
    <n v="19"/>
    <n v="1"/>
    <n v="33"/>
    <n v="0"/>
    <n v="4"/>
    <n v="0"/>
    <n v="0"/>
    <x v="3"/>
    <x v="0"/>
  </r>
  <r>
    <s v="DMV Abstract On-demand"/>
    <s v="w_ct_m_dmv_abstract_on_demand"/>
    <n v="0"/>
    <n v="0"/>
    <n v="2"/>
    <n v="4"/>
    <n v="28"/>
    <n v="0"/>
    <n v="1231"/>
    <n v="0"/>
    <n v="4"/>
    <n v="0"/>
    <n v="0"/>
    <x v="4"/>
    <x v="0"/>
  </r>
  <r>
    <s v="DMV Augmentation"/>
    <s v="w_ct_m_dmv_aug"/>
    <n v="0"/>
    <n v="2"/>
    <n v="3"/>
    <n v="6"/>
    <n v="20"/>
    <n v="1"/>
    <n v="541"/>
    <n v="0"/>
    <n v="4"/>
    <n v="0"/>
    <n v="0"/>
    <x v="3"/>
    <x v="0"/>
  </r>
  <r>
    <s v="Case Copy &amp; Restore ( DMV case copy)"/>
    <s v="w_ct_m_dmv_case_copy_restore"/>
    <n v="0"/>
    <n v="0"/>
    <n v="2"/>
    <n v="6"/>
    <n v="22"/>
    <n v="0"/>
    <n v="528"/>
    <n v="0"/>
    <n v="5"/>
    <n v="0"/>
    <n v="0"/>
    <x v="5"/>
    <x v="0"/>
  </r>
  <r>
    <s v="Image Viewer"/>
    <s v="w_ct_m_doc_image"/>
    <n v="1"/>
    <n v="3"/>
    <n v="0"/>
    <n v="1"/>
    <n v="7"/>
    <n v="0"/>
    <n v="121"/>
    <n v="0"/>
    <n v="4"/>
    <n v="0"/>
    <n v="0"/>
    <x v="3"/>
    <x v="0"/>
  </r>
  <r>
    <s v="In/Out File Mapping"/>
    <s v="w_ct_m_file_in_out_mappings"/>
    <n v="0"/>
    <n v="0"/>
    <n v="0"/>
    <n v="2"/>
    <n v="11"/>
    <n v="1"/>
    <n v="130"/>
    <n v="0"/>
    <n v="4"/>
    <n v="0"/>
    <n v="0"/>
    <x v="3"/>
    <x v="0"/>
  </r>
  <r>
    <s v="Generic Code Table XWalk"/>
    <s v="w_ct_m_generic_codetable_xwalk"/>
    <n v="0"/>
    <n v="0"/>
    <n v="2"/>
    <n v="8"/>
    <n v="33"/>
    <n v="1"/>
    <n v="1502"/>
    <n v="0"/>
    <n v="4"/>
    <n v="0"/>
    <n v="0"/>
    <x v="3"/>
    <x v="0"/>
  </r>
  <r>
    <s v="Event ROC Code Table XWalk"/>
    <s v="w_ct_m_generic_event_roc_xwalk"/>
    <n v="0"/>
    <n v="0"/>
    <n v="2"/>
    <n v="5"/>
    <n v="25"/>
    <n v="1"/>
    <n v="579"/>
    <n v="0"/>
    <n v="4"/>
    <n v="0"/>
    <n v="0"/>
    <x v="3"/>
    <x v="0"/>
  </r>
  <r>
    <s v="w_ct_m_intf_file_display"/>
    <s v="w_ct_m_intf_file_display"/>
    <n v="0"/>
    <n v="0"/>
    <n v="0"/>
    <n v="3"/>
    <n v="7"/>
    <n v="0"/>
    <n v="66"/>
    <n v="0"/>
    <n v="4"/>
    <n v="0"/>
    <n v="0"/>
    <x v="3"/>
    <x v="0"/>
  </r>
  <r>
    <s v="Job Error Log"/>
    <s v="w_ct_m_job_error_log"/>
    <n v="0"/>
    <n v="1"/>
    <n v="0"/>
    <n v="3"/>
    <n v="7"/>
    <n v="0"/>
    <n v="141"/>
    <n v="0"/>
    <n v="4"/>
    <n v="0"/>
    <n v="0"/>
    <x v="4"/>
    <x v="1"/>
  </r>
  <r>
    <s v="Mail Machine Interface"/>
    <s v="w_ct_m_mail_machine_interface"/>
    <n v="0"/>
    <n v="0"/>
    <n v="0"/>
    <n v="1"/>
    <n v="9"/>
    <n v="0"/>
    <n v="4"/>
    <n v="0"/>
    <n v="5"/>
    <n v="0"/>
    <n v="0"/>
    <x v="3"/>
    <x v="0"/>
  </r>
  <r>
    <s v="System Maintenance Request"/>
    <s v="w_ct_m_maintenance_request"/>
    <n v="1"/>
    <n v="3"/>
    <n v="0"/>
    <n v="1"/>
    <n v="15"/>
    <n v="1"/>
    <n v="146"/>
    <n v="0"/>
    <n v="4"/>
    <n v="0"/>
    <n v="0"/>
    <x v="3"/>
    <x v="0"/>
  </r>
  <r>
    <s v="System Maintenance Request Print"/>
    <s v="w_ct_m_maintenance_request_print"/>
    <n v="2"/>
    <n v="2"/>
    <n v="0"/>
    <n v="1"/>
    <n v="5"/>
    <n v="0"/>
    <n v="0"/>
    <n v="0"/>
    <n v="4"/>
    <n v="0"/>
    <n v="0"/>
    <x v="3"/>
    <x v="0"/>
  </r>
  <r>
    <s v="System Maintenance Request Report"/>
    <s v="w_ct_m_maintenance_request_qry"/>
    <n v="0"/>
    <n v="3"/>
    <n v="2"/>
    <n v="2"/>
    <n v="15"/>
    <n v="0"/>
    <n v="55"/>
    <n v="0"/>
    <n v="4"/>
    <n v="0"/>
    <n v="0"/>
    <x v="3"/>
    <x v="0"/>
  </r>
  <r>
    <s v="Mass Case Copy"/>
    <s v="w_ct_m_mass_case_copy"/>
    <n v="0"/>
    <n v="0"/>
    <n v="0"/>
    <n v="3"/>
    <n v="21"/>
    <n v="0"/>
    <n v="60"/>
    <n v="0"/>
    <n v="4"/>
    <n v="0"/>
    <n v="0"/>
    <x v="3"/>
    <x v="0"/>
  </r>
  <r>
    <s v="MOCS  BR / SP Assoc"/>
    <s v="w_ct_m_mocs_br_sp_assoc"/>
    <n v="0"/>
    <n v="0"/>
    <n v="0"/>
    <n v="2"/>
    <n v="19"/>
    <n v="1"/>
    <n v="289"/>
    <n v="0"/>
    <n v="4"/>
    <n v="0"/>
    <n v="0"/>
    <x v="3"/>
    <x v="0"/>
  </r>
  <r>
    <s v="MOCS Case Characteristics"/>
    <s v="w_ct_m_mocs_case_characteristics"/>
    <n v="0"/>
    <n v="0"/>
    <n v="0"/>
    <n v="1"/>
    <n v="12"/>
    <n v="1"/>
    <n v="117"/>
    <n v="0"/>
    <n v="4"/>
    <n v="0"/>
    <n v="0"/>
    <x v="3"/>
    <x v="0"/>
  </r>
  <r>
    <s v="MOCS Courtroom Setup"/>
    <s v="w_ct_m_mocs_courtroom_setup"/>
    <n v="0"/>
    <n v="0"/>
    <n v="0"/>
    <n v="1"/>
    <n v="14"/>
    <n v="1"/>
    <n v="449"/>
    <n v="0"/>
    <n v="4"/>
    <n v="0"/>
    <n v="0"/>
    <x v="3"/>
    <x v="0"/>
  </r>
  <r>
    <s v="Mocs Docket Definition"/>
    <s v="w_ct_m_mocs_docket_definition"/>
    <n v="0"/>
    <n v="0"/>
    <n v="0"/>
    <n v="3"/>
    <n v="26"/>
    <n v="1"/>
    <n v="826"/>
    <n v="0"/>
    <n v="4"/>
    <n v="0"/>
    <n v="0"/>
    <x v="3"/>
    <x v="0"/>
  </r>
  <r>
    <s v="MOCS SP Registry"/>
    <s v="w_ct_m_mocs_sp_registry"/>
    <n v="0"/>
    <n v="0"/>
    <n v="0"/>
    <n v="1"/>
    <n v="14"/>
    <n v="1"/>
    <n v="191"/>
    <n v="0"/>
    <n v="4"/>
    <n v="0"/>
    <n v="0"/>
    <x v="3"/>
    <x v="0"/>
  </r>
  <r>
    <s v="MOCS WorkFlow/Groups/Scenario Assoc"/>
    <s v="w_ct_m_mocs_wk_grp_scenarios"/>
    <n v="0"/>
    <n v="0"/>
    <n v="5"/>
    <n v="7"/>
    <n v="54"/>
    <n v="1"/>
    <n v="1226"/>
    <n v="0"/>
    <n v="4"/>
    <n v="0"/>
    <n v="0"/>
    <x v="3"/>
    <x v="0"/>
  </r>
  <r>
    <s v="Name Maintenance"/>
    <s v="w_ct_m_name_maintenance"/>
    <n v="0"/>
    <n v="1"/>
    <n v="0"/>
    <n v="1"/>
    <n v="6"/>
    <n v="1"/>
    <n v="4"/>
    <n v="0"/>
    <n v="4"/>
    <n v="0"/>
    <n v="0"/>
    <x v="3"/>
    <x v="0"/>
  </r>
  <r>
    <s v="Person Maintenance"/>
    <s v="w_ct_m_pers_aug"/>
    <n v="0"/>
    <n v="6"/>
    <n v="10"/>
    <n v="17"/>
    <n v="144"/>
    <n v="1"/>
    <n v="5777"/>
    <n v="0"/>
    <n v="7"/>
    <n v="0"/>
    <n v="0"/>
    <x v="3"/>
    <x v="0"/>
  </r>
  <r>
    <s v="Pre-Calendar Night Court Dates"/>
    <s v="w_ct_m_precal_nightcourt_dates"/>
    <n v="0"/>
    <n v="0"/>
    <n v="0"/>
    <n v="1"/>
    <n v="14"/>
    <n v="1"/>
    <n v="256"/>
    <n v="0"/>
    <n v="4"/>
    <n v="0"/>
    <n v="0"/>
    <x v="3"/>
    <x v="0"/>
  </r>
  <r>
    <s v="w_ct_m_pwd_reset"/>
    <s v="w_ct_m_pwd_reset"/>
    <n v="0"/>
    <n v="1"/>
    <n v="0"/>
    <n v="2"/>
    <n v="5"/>
    <n v="0"/>
    <n v="0"/>
    <n v="0"/>
    <n v="4"/>
    <n v="0"/>
    <n v="0"/>
    <x v="3"/>
    <x v="0"/>
  </r>
  <r>
    <s v="Report Selection"/>
    <s v="w_ct_m_report_select_conv"/>
    <n v="0"/>
    <n v="1"/>
    <n v="0"/>
    <n v="1"/>
    <n v="5"/>
    <n v="0"/>
    <n v="0"/>
    <n v="0"/>
    <n v="5"/>
    <n v="0"/>
    <n v="0"/>
    <x v="3"/>
    <x v="0"/>
  </r>
  <r>
    <s v="Sentence Augmentation"/>
    <s v="w_ct_m_sent_aug"/>
    <n v="0"/>
    <n v="2"/>
    <n v="7"/>
    <n v="9"/>
    <n v="31"/>
    <n v="1"/>
    <n v="340"/>
    <n v="0"/>
    <n v="4"/>
    <n v="0"/>
    <n v="0"/>
    <x v="3"/>
    <x v="0"/>
  </r>
  <r>
    <s v="Summary Judgment"/>
    <s v="w_ct_m_summary_judgement"/>
    <n v="0"/>
    <n v="3"/>
    <n v="6"/>
    <n v="9"/>
    <n v="58"/>
    <n v="1"/>
    <n v="4158"/>
    <n v="0"/>
    <n v="6"/>
    <n v="0"/>
    <n v="0"/>
    <x v="1"/>
    <x v="0"/>
  </r>
  <r>
    <s v="Task Maintenance"/>
    <s v="w_ct_m_task_maintenance"/>
    <n v="3"/>
    <n v="0"/>
    <n v="0"/>
    <n v="2"/>
    <n v="22"/>
    <n v="1"/>
    <n v="96"/>
    <n v="0"/>
    <n v="4"/>
    <n v="0"/>
    <n v="0"/>
    <x v="3"/>
    <x v="0"/>
  </r>
  <r>
    <s v="VLAN IP Ranges"/>
    <s v="w_ct_m_vlan_ip_ranges"/>
    <n v="0"/>
    <n v="1"/>
    <n v="0"/>
    <n v="3"/>
    <n v="27"/>
    <n v="1"/>
    <n v="187"/>
    <n v="1"/>
    <n v="4"/>
    <n v="0"/>
    <n v="0"/>
    <x v="5"/>
    <x v="0"/>
  </r>
  <r>
    <s v="Appeal Print"/>
    <s v="w_ct_p_apl_lettr_printing"/>
    <n v="1"/>
    <n v="0"/>
    <n v="0"/>
    <n v="1"/>
    <n v="7"/>
    <n v="0"/>
    <n v="87"/>
    <n v="0"/>
    <n v="3"/>
    <n v="0"/>
    <n v="0"/>
    <x v="3"/>
    <x v="0"/>
  </r>
  <r>
    <s v="PA distribution schedule update"/>
    <s v="w_ct_pa_dist_mass_update"/>
    <n v="0"/>
    <n v="1"/>
    <n v="0"/>
    <n v="6"/>
    <n v="45"/>
    <n v="0"/>
    <n v="324"/>
    <n v="0"/>
    <n v="4"/>
    <n v="0"/>
    <n v="0"/>
    <x v="3"/>
    <x v="0"/>
  </r>
  <r>
    <s v="w_ct_pa_dist_mass_update_prompt"/>
    <s v="w_ct_pa_dist_mass_update_prompt"/>
    <n v="1"/>
    <n v="0"/>
    <n v="0"/>
    <n v="1"/>
    <n v="3"/>
    <n v="0"/>
    <n v="18"/>
    <n v="0"/>
    <n v="3"/>
    <n v="0"/>
    <n v="0"/>
    <x v="3"/>
    <x v="0"/>
  </r>
  <r>
    <s v="w_ct_r_case_amnesty_granted"/>
    <s v="w_ct_r_case_amnesty_granted"/>
    <n v="0"/>
    <n v="0"/>
    <n v="0"/>
    <n v="1"/>
    <n v="2"/>
    <n v="0"/>
    <n v="27"/>
    <n v="0"/>
    <n v="3"/>
    <n v="0"/>
    <n v="0"/>
    <x v="3"/>
    <x v="0"/>
  </r>
  <r>
    <s v="Appeal Maintenance"/>
    <s v="w_ct_apl_appeal_maintenance"/>
    <n v="0"/>
    <n v="11"/>
    <n v="6"/>
    <n v="10"/>
    <n v="95"/>
    <n v="1"/>
    <n v="2257"/>
    <n v="0"/>
    <n v="5"/>
    <n v="0"/>
    <n v="0"/>
    <x v="3"/>
    <x v="0"/>
  </r>
  <r>
    <s v="Document Selection"/>
    <s v="w_ct_apl_select_filed_docs"/>
    <n v="1"/>
    <n v="0"/>
    <n v="0"/>
    <n v="2"/>
    <n v="20"/>
    <n v="0"/>
    <n v="99"/>
    <n v="0"/>
    <n v="4"/>
    <n v="0"/>
    <n v="0"/>
    <x v="3"/>
    <x v="0"/>
  </r>
  <r>
    <s v="Case - Defendants ( Appeals)"/>
    <s v="w_ct_defn_lookup"/>
    <n v="1"/>
    <n v="0"/>
    <n v="0"/>
    <n v="2"/>
    <n v="12"/>
    <n v="0"/>
    <n v="475"/>
    <n v="0"/>
    <n v="4"/>
    <n v="0"/>
    <n v="0"/>
    <x v="3"/>
    <x v="0"/>
  </r>
  <r>
    <s v="Activity Augmentation"/>
    <s v="w_ct_m_act_aug"/>
    <n v="0"/>
    <n v="2"/>
    <n v="2"/>
    <n v="3"/>
    <n v="12"/>
    <n v="1"/>
    <n v="311"/>
    <n v="0"/>
    <n v="4"/>
    <n v="0"/>
    <n v="0"/>
    <x v="3"/>
    <x v="0"/>
  </r>
  <r>
    <s v="Appeal Activity Maintenance"/>
    <s v="w_ct_m_activity_code_maint"/>
    <n v="0"/>
    <n v="1"/>
    <n v="4"/>
    <n v="8"/>
    <n v="59"/>
    <n v="1"/>
    <n v="2137"/>
    <n v="0"/>
    <n v="5"/>
    <n v="0"/>
    <n v="0"/>
    <x v="3"/>
    <x v="0"/>
  </r>
  <r>
    <s v="Activity Maintenance"/>
    <s v="w_ct_m_activity_maintenance"/>
    <n v="0"/>
    <n v="0"/>
    <n v="0"/>
    <n v="2"/>
    <n v="19"/>
    <n v="1"/>
    <n v="97"/>
    <n v="0"/>
    <n v="4"/>
    <n v="0"/>
    <n v="0"/>
    <x v="3"/>
    <x v="0"/>
  </r>
  <r>
    <s v="w_ct_m_bail_sched_conv"/>
    <s v="w_ct_m_bail_sched_conv"/>
    <n v="0"/>
    <n v="0"/>
    <n v="2"/>
    <n v="3"/>
    <n v="12"/>
    <n v="1"/>
    <n v="60"/>
    <n v="0"/>
    <n v="4"/>
    <n v="0"/>
    <n v="0"/>
    <x v="3"/>
    <x v="0"/>
  </r>
  <r>
    <s v="Case Augmentation"/>
    <s v="w_ct_m_case_aug"/>
    <n v="0"/>
    <n v="2"/>
    <n v="7"/>
    <n v="12"/>
    <n v="36"/>
    <n v="1"/>
    <n v="321"/>
    <n v="0"/>
    <n v="4"/>
    <n v="0"/>
    <n v="0"/>
    <x v="3"/>
    <x v="0"/>
  </r>
  <r>
    <s v="Case Copy &amp; Restore"/>
    <s v="w_ct_m_case_backup_trg"/>
    <n v="0"/>
    <n v="0"/>
    <n v="2"/>
    <n v="4"/>
    <n v="24"/>
    <n v="0"/>
    <n v="918"/>
    <n v="0"/>
    <n v="4"/>
    <n v="0"/>
    <n v="0"/>
    <x v="5"/>
    <x v="0"/>
  </r>
  <r>
    <s v="Conversion Case Initiation"/>
    <s v="w_ct_m_case_maint_conv"/>
    <n v="2"/>
    <n v="13"/>
    <n v="11"/>
    <n v="24"/>
    <n v="214"/>
    <n v="1"/>
    <n v="11731"/>
    <n v="3"/>
    <n v="9"/>
    <n v="0"/>
    <n v="0"/>
    <x v="3"/>
    <x v="0"/>
  </r>
  <r>
    <s v="NCIC Case Initiation"/>
    <s v="w_ct_m_case_maint_ncic"/>
    <n v="2"/>
    <n v="5"/>
    <n v="11"/>
    <n v="24"/>
    <n v="420"/>
    <n v="1"/>
    <n v="22812"/>
    <n v="3"/>
    <n v="10"/>
    <n v="0"/>
    <n v="0"/>
    <x v="1"/>
    <x v="0"/>
  </r>
  <r>
    <s v="Missing Complaint"/>
    <s v="w_ct_m_case_missing_complaint_aug"/>
    <n v="0"/>
    <n v="5"/>
    <n v="8"/>
    <n v="17"/>
    <n v="157"/>
    <n v="1"/>
    <n v="5549"/>
    <n v="1"/>
    <n v="9"/>
    <n v="0"/>
    <n v="0"/>
    <x v="3"/>
    <x v="0"/>
  </r>
  <r>
    <s v="w_ct_m_case_status_maint ( Conversion)"/>
    <s v="w_ct_m_case_status_maint"/>
    <n v="0"/>
    <n v="1"/>
    <n v="0"/>
    <n v="2"/>
    <n v="6"/>
    <n v="0"/>
    <n v="22"/>
    <n v="0"/>
    <n v="4"/>
    <n v="0"/>
    <n v="0"/>
    <x v="3"/>
    <x v="0"/>
  </r>
  <r>
    <s v="Case Summary"/>
    <s v="w_ct_m_case_summary_1170"/>
    <n v="0"/>
    <n v="2"/>
    <n v="22"/>
    <n v="52"/>
    <n v="145"/>
    <n v="0"/>
    <n v="8136"/>
    <n v="1"/>
    <n v="7"/>
    <n v="0"/>
    <n v="0"/>
    <x v="3"/>
    <x v="0"/>
  </r>
  <r>
    <s v="Case Transfer ( Case Copy) - Not used"/>
    <s v="w_ct_m_case_transfer"/>
    <n v="0"/>
    <n v="1"/>
    <n v="0"/>
    <n v="2"/>
    <n v="21"/>
    <n v="0"/>
    <n v="145"/>
    <n v="0"/>
    <n v="4"/>
    <n v="0"/>
    <n v="0"/>
    <x v="5"/>
    <x v="0"/>
  </r>
  <r>
    <s v="Case Transfer"/>
    <s v="w_ct_m_case_transfer_cst"/>
    <n v="0"/>
    <n v="1"/>
    <n v="0"/>
    <n v="5"/>
    <n v="26"/>
    <n v="0"/>
    <n v="903"/>
    <n v="0"/>
    <n v="4"/>
    <n v="0"/>
    <n v="0"/>
    <x v="5"/>
    <x v="0"/>
  </r>
  <r>
    <s v="Check 21 Interface"/>
    <s v="w_ct_m_check_21_interface"/>
    <n v="0"/>
    <n v="0"/>
    <n v="0"/>
    <n v="1"/>
    <n v="8"/>
    <n v="0"/>
    <n v="4"/>
    <n v="0"/>
    <n v="4"/>
    <n v="0"/>
    <n v="0"/>
    <x v="3"/>
    <x v="0"/>
  </r>
  <r>
    <s v="Code Entries XWalk"/>
    <s v="w_ct_m_codetable_xwalk"/>
    <n v="0"/>
    <n v="0"/>
    <n v="2"/>
    <n v="8"/>
    <n v="33"/>
    <n v="1"/>
    <n v="574"/>
    <n v="0"/>
    <n v="4"/>
    <n v="0"/>
    <n v="0"/>
    <x v="3"/>
    <x v="0"/>
  </r>
  <r>
    <s v="List Search ( FTBTI window)"/>
    <s v="w_ct_r_cmmn_list_search"/>
    <n v="1"/>
    <n v="0"/>
    <n v="0"/>
    <n v="0"/>
    <n v="6"/>
    <n v="0"/>
    <n v="22"/>
    <n v="0"/>
    <n v="3"/>
    <n v="0"/>
    <n v="0"/>
    <x v="4"/>
    <x v="0"/>
  </r>
  <r>
    <s v="Defendant List ( Batch Payment window)"/>
    <s v="w_ct_r_cntr_batch_pmt_def_list"/>
    <n v="1"/>
    <n v="0"/>
    <n v="0"/>
    <n v="1"/>
    <n v="5"/>
    <n v="0"/>
    <n v="140"/>
    <n v="1"/>
    <n v="3"/>
    <n v="0"/>
    <n v="0"/>
    <x v="4"/>
    <x v="0"/>
  </r>
  <r>
    <s v="Other Case Balances ( Batch Payment window)"/>
    <s v="w_ct_r_cntr_case_balances"/>
    <n v="1"/>
    <n v="0"/>
    <n v="0"/>
    <n v="2"/>
    <n v="4"/>
    <n v="0"/>
    <n v="140"/>
    <n v="2"/>
    <n v="3"/>
    <n v="0"/>
    <n v="0"/>
    <x v="4"/>
    <x v="0"/>
  </r>
  <r>
    <s v="Docket Macro Preview ( launched from docket macro window)"/>
    <s v="w_ct_r_dckt_macro_preview"/>
    <n v="1"/>
    <n v="1"/>
    <n v="0"/>
    <n v="5"/>
    <n v="46"/>
    <n v="1"/>
    <n v="2797"/>
    <n v="1"/>
    <n v="3"/>
    <n v="0"/>
    <n v="0"/>
    <x v="4"/>
    <x v="0"/>
  </r>
  <r>
    <s v="Defendant Select Window ( agency payment)"/>
    <s v="w_ct_r_defendant_name"/>
    <n v="2"/>
    <n v="0"/>
    <n v="0"/>
    <n v="1"/>
    <n v="4"/>
    <n v="0"/>
    <n v="0"/>
    <n v="0"/>
    <n v="3"/>
    <n v="0"/>
    <n v="0"/>
    <x v="3"/>
    <x v="0"/>
  </r>
  <r>
    <s v="w_ct_r_ext_notes ( Launched from Job Eerror Log)"/>
    <s v="w_ct_r_ext_notes"/>
    <n v="1"/>
    <n v="0"/>
    <n v="0"/>
    <n v="1"/>
    <n v="4"/>
    <n v="0"/>
    <n v="15"/>
    <n v="0"/>
    <n v="3"/>
    <n v="0"/>
    <n v="0"/>
    <x v="4"/>
    <x v="1"/>
  </r>
  <r>
    <s v="Specify Check Number ( part of check approval process)"/>
    <s v="w_ct_r_fscl_chk_nbr"/>
    <n v="2"/>
    <n v="1"/>
    <n v="0"/>
    <n v="0"/>
    <n v="4"/>
    <n v="0"/>
    <n v="35"/>
    <n v="0"/>
    <n v="3"/>
    <n v="0"/>
    <n v="0"/>
    <x v="3"/>
    <x v="0"/>
  </r>
  <r>
    <s v="Quick Add (Person Maintenance)"/>
    <m/>
    <m/>
    <m/>
    <m/>
    <m/>
    <m/>
    <m/>
    <m/>
    <m/>
    <m/>
    <m/>
    <m/>
    <x v="3"/>
    <x v="0"/>
  </r>
  <r>
    <s v="Unavailable Court Dates (Case Maintenance)"/>
    <m/>
    <m/>
    <m/>
    <m/>
    <m/>
    <m/>
    <m/>
    <m/>
    <m/>
    <m/>
    <m/>
    <m/>
    <x v="3"/>
    <x v="0"/>
  </r>
  <r>
    <s v="Case Dates (Case Maintenance)"/>
    <m/>
    <m/>
    <m/>
    <m/>
    <m/>
    <m/>
    <m/>
    <m/>
    <m/>
    <m/>
    <m/>
    <m/>
    <x v="3"/>
    <x v="0"/>
  </r>
  <r>
    <s v="Other Cases (Case Maintenance)"/>
    <m/>
    <m/>
    <m/>
    <m/>
    <m/>
    <m/>
    <m/>
    <m/>
    <m/>
    <m/>
    <m/>
    <m/>
    <x v="3"/>
    <x v="0"/>
  </r>
  <r>
    <s v="ATP Elig? Button (Case Summary)"/>
    <m/>
    <m/>
    <m/>
    <m/>
    <m/>
    <m/>
    <m/>
    <m/>
    <m/>
    <m/>
    <m/>
    <m/>
    <x v="3"/>
    <x v="0"/>
  </r>
  <r>
    <s v="Close Elig? Button (Case Summary)"/>
    <m/>
    <m/>
    <m/>
    <m/>
    <m/>
    <m/>
    <m/>
    <m/>
    <m/>
    <m/>
    <m/>
    <m/>
    <x v="3"/>
    <x v="0"/>
  </r>
  <r>
    <s v="Post Bond (Bail Entry, insert/add row)"/>
    <m/>
    <m/>
    <m/>
    <m/>
    <m/>
    <m/>
    <m/>
    <m/>
    <m/>
    <m/>
    <m/>
    <m/>
    <x v="3"/>
    <x v="0"/>
  </r>
  <r>
    <s v="Agency Unit Address List (Bail Entry, arrow button)"/>
    <m/>
    <m/>
    <m/>
    <m/>
    <m/>
    <m/>
    <m/>
    <m/>
    <m/>
    <m/>
    <m/>
    <m/>
    <x v="3"/>
    <x v="0"/>
  </r>
  <r>
    <s v="Traffic School Payment Plan (Counter Payment)"/>
    <m/>
    <m/>
    <m/>
    <m/>
    <m/>
    <m/>
    <m/>
    <m/>
    <m/>
    <m/>
    <m/>
    <m/>
    <x v="3"/>
    <x v="0"/>
  </r>
  <r>
    <s v="Multicase Entry"/>
    <m/>
    <m/>
    <m/>
    <m/>
    <m/>
    <m/>
    <m/>
    <m/>
    <m/>
    <m/>
    <m/>
    <m/>
    <x v="3"/>
    <x v="0"/>
  </r>
  <r>
    <s v="Courtroom Print"/>
    <m/>
    <m/>
    <m/>
    <m/>
    <m/>
    <m/>
    <m/>
    <m/>
    <m/>
    <m/>
    <m/>
    <m/>
    <x v="3"/>
    <x v="0"/>
  </r>
  <r>
    <s v="Remittance Distribution (Case Payment History, double click remit)"/>
    <m/>
    <m/>
    <m/>
    <m/>
    <m/>
    <m/>
    <m/>
    <m/>
    <m/>
    <m/>
    <m/>
    <m/>
    <x v="3"/>
    <x v="0"/>
  </r>
  <r>
    <s v="Folder icon button (OneOC - Clerk Review Module, launches PDF image based on Report or Essay columns)"/>
    <m/>
    <m/>
    <m/>
    <m/>
    <m/>
    <m/>
    <m/>
    <m/>
    <m/>
    <m/>
    <m/>
    <m/>
    <x v="3"/>
    <x v="0"/>
  </r>
  <r>
    <m/>
    <m/>
    <m/>
    <m/>
    <m/>
    <m/>
    <m/>
    <m/>
    <m/>
    <m/>
    <m/>
    <m/>
    <m/>
    <x v="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s v="CIS Sheet ( 16 Flavors) "/>
    <x v="0"/>
    <m/>
    <m/>
    <m/>
    <m/>
    <m/>
    <m/>
    <m/>
    <m/>
    <m/>
    <m/>
    <m/>
    <m/>
    <m/>
  </r>
  <r>
    <s v="Receipts ( many flaors)"/>
    <x v="1"/>
    <m/>
    <m/>
    <m/>
    <m/>
    <m/>
    <m/>
    <m/>
    <m/>
    <m/>
    <m/>
    <m/>
    <m/>
    <m/>
  </r>
  <r>
    <s v="Log on Window ( Initial loading of config items)"/>
    <x v="2"/>
    <m/>
    <m/>
    <m/>
    <m/>
    <m/>
    <m/>
    <m/>
    <m/>
    <m/>
    <m/>
    <m/>
    <m/>
    <m/>
  </r>
  <r>
    <s v="Menu actions"/>
    <x v="3"/>
    <m/>
    <m/>
    <m/>
    <m/>
    <m/>
    <m/>
    <m/>
    <m/>
    <m/>
    <m/>
    <m/>
    <m/>
    <m/>
  </r>
  <r>
    <s v="Case Calendar Summary (Main &gt; Reports &gt; Reports)"/>
    <x v="3"/>
    <m/>
    <m/>
    <m/>
    <m/>
    <m/>
    <m/>
    <m/>
    <m/>
    <m/>
    <m/>
    <m/>
    <m/>
    <m/>
  </r>
  <r>
    <s v="Open Cases Report (Main &gt; Reports &gt; Reports)"/>
    <x v="3"/>
    <m/>
    <m/>
    <m/>
    <m/>
    <m/>
    <m/>
    <m/>
    <m/>
    <m/>
    <m/>
    <m/>
    <m/>
    <m/>
  </r>
  <r>
    <s v="Barcode Print Window"/>
    <x v="4"/>
    <m/>
    <m/>
    <m/>
    <m/>
    <m/>
    <m/>
    <m/>
    <m/>
    <m/>
    <m/>
    <m/>
    <m/>
    <m/>
  </r>
  <r>
    <s v="Externded Text entry window"/>
    <x v="5"/>
    <m/>
    <m/>
    <m/>
    <m/>
    <m/>
    <m/>
    <m/>
    <m/>
    <m/>
    <m/>
    <m/>
    <m/>
    <m/>
  </r>
  <r>
    <s v="Minutes"/>
    <x v="2"/>
    <m/>
    <s v="w_ct_m_docket_reporting"/>
    <n v="25"/>
    <n v="8"/>
    <n v="0"/>
    <n v="3"/>
    <n v="32"/>
    <n v="0"/>
    <n v="1594"/>
    <n v="0"/>
    <n v="5"/>
    <n v="1974625"/>
    <n v="9873.125"/>
  </r>
  <r>
    <s v="Simple Case Search "/>
    <x v="1"/>
    <m/>
    <s v="w_ct_r_simple_search"/>
    <n v="22"/>
    <n v="0"/>
    <n v="0"/>
    <n v="2"/>
    <n v="12"/>
    <n v="0"/>
    <n v="563"/>
    <n v="0"/>
    <n v="4"/>
    <n v="1878026"/>
    <n v="9390.1299999999992"/>
  </r>
  <r>
    <s v="Minutes Entry ( Courtroom + Admin)"/>
    <x v="0"/>
    <m/>
    <s v="w_ct_courtroom"/>
    <n v="3"/>
    <n v="9"/>
    <n v="0"/>
    <n v="0"/>
    <n v="46"/>
    <n v="0"/>
    <n v="529"/>
    <n v="0"/>
    <n v="8"/>
    <n v="1061955"/>
    <n v="5309.7749999999996"/>
  </r>
  <r>
    <s v="w_ct_c_pdf_viewer"/>
    <x v="4"/>
    <s v="Low"/>
    <s v="w_ct_c_pdf_viewer"/>
    <n v="2"/>
    <n v="0"/>
    <n v="0"/>
    <n v="0"/>
    <n v="5"/>
    <n v="0"/>
    <n v="293"/>
    <n v="0"/>
    <n v="4"/>
    <n v="764960"/>
    <n v="3824.8"/>
  </r>
  <r>
    <s v="Priors"/>
    <x v="6"/>
    <m/>
    <s v="w_ct_m_case_priors"/>
    <n v="0"/>
    <n v="6"/>
    <n v="2"/>
    <n v="19"/>
    <n v="105"/>
    <n v="1"/>
    <n v="1608"/>
    <n v="0"/>
    <n v="6"/>
    <n v="417876"/>
    <n v="2089.38"/>
  </r>
  <r>
    <s v="Counter Payment"/>
    <x v="0"/>
    <m/>
    <s v="w_ct_m_counter"/>
    <n v="3"/>
    <n v="7"/>
    <n v="8"/>
    <n v="24"/>
    <n v="256"/>
    <n v="1"/>
    <n v="13480"/>
    <n v="1"/>
    <n v="16"/>
    <n v="347492"/>
    <n v="1737.46"/>
  </r>
  <r>
    <s v="Docket Code Help"/>
    <x v="4"/>
    <m/>
    <s v="w_ct_doc_help_rsp"/>
    <n v="3"/>
    <n v="0"/>
    <n v="0"/>
    <n v="4"/>
    <n v="19"/>
    <n v="0"/>
    <n v="116"/>
    <n v="0"/>
    <n v="4"/>
    <n v="242499"/>
    <n v="1212.4949999999999"/>
  </r>
  <r>
    <s v="Case Summary"/>
    <x v="2"/>
    <s v="High"/>
    <s v="w_ct_m_case_summary"/>
    <n v="1"/>
    <n v="6"/>
    <n v="24"/>
    <n v="64"/>
    <n v="162"/>
    <n v="0"/>
    <n v="9007"/>
    <n v="1"/>
    <n v="7"/>
    <n v="237720"/>
    <n v="1188.5999999999999"/>
  </r>
  <r>
    <s v="Case Maintenance"/>
    <x v="0"/>
    <m/>
    <s v="w_ct_m_case_maint"/>
    <n v="7"/>
    <n v="12"/>
    <n v="11"/>
    <n v="24"/>
    <n v="222"/>
    <n v="1"/>
    <n v="12464"/>
    <n v="3"/>
    <n v="10"/>
    <n v="235413"/>
    <n v="1177.0650000000001"/>
  </r>
  <r>
    <s v="Collections"/>
    <x v="0"/>
    <m/>
    <s v="w_ct_m_coll_collections"/>
    <n v="3"/>
    <n v="7"/>
    <n v="14"/>
    <n v="54"/>
    <n v="344"/>
    <n v="1"/>
    <n v="11426"/>
    <n v="1"/>
    <n v="10"/>
    <n v="230271"/>
    <n v="1151.355"/>
  </r>
  <r>
    <s v="Person Information Select"/>
    <x v="4"/>
    <m/>
    <s v="w_ct_m_person_select"/>
    <n v="10"/>
    <n v="9"/>
    <n v="5"/>
    <n v="5"/>
    <n v="32"/>
    <n v="0"/>
    <n v="984"/>
    <n v="0"/>
    <n v="7"/>
    <n v="192463"/>
    <n v="962.31500000000005"/>
  </r>
  <r>
    <s v="Docket Selection ( MOCS)"/>
    <x v="1"/>
    <m/>
    <s v="w_ct_r_mocs_dkt_entry"/>
    <n v="1"/>
    <n v="0"/>
    <n v="2"/>
    <n v="3"/>
    <n v="33"/>
    <n v="0"/>
    <n v="3324"/>
    <n v="0"/>
    <n v="5"/>
    <n v="185816"/>
    <n v="929.08"/>
  </r>
  <r>
    <s v="Person Maintenance"/>
    <x v="1"/>
    <m/>
    <s v="w_ct_m_person_maint"/>
    <n v="10"/>
    <n v="9"/>
    <n v="10"/>
    <n v="17"/>
    <n v="136"/>
    <n v="1"/>
    <n v="4274"/>
    <n v="0"/>
    <n v="7"/>
    <n v="168338"/>
    <n v="841.69"/>
  </r>
  <r>
    <s v="Case Search ( Adv Search)"/>
    <x v="2"/>
    <m/>
    <s v="w_ct_r_case_search"/>
    <n v="35"/>
    <n v="2"/>
    <n v="3"/>
    <n v="4"/>
    <n v="51"/>
    <n v="0"/>
    <n v="2197"/>
    <n v="0"/>
    <n v="5"/>
    <n v="144939"/>
    <n v="724.69500000000005"/>
  </r>
  <r>
    <s v="Person Search"/>
    <x v="2"/>
    <m/>
    <s v="w_ct_r_person_search"/>
    <n v="8"/>
    <n v="2"/>
    <n v="2"/>
    <n v="4"/>
    <n v="48"/>
    <n v="0"/>
    <n v="1946"/>
    <n v="0"/>
    <n v="6"/>
    <n v="133035"/>
    <n v="665.17499999999995"/>
  </r>
  <r>
    <s v="Accept Payment"/>
    <x v="1"/>
    <m/>
    <s v="w_ct_r_payment"/>
    <n v="3"/>
    <n v="2"/>
    <n v="2"/>
    <n v="3"/>
    <n v="25"/>
    <n v="0"/>
    <n v="699"/>
    <n v="0"/>
    <n v="4"/>
    <n v="130543"/>
    <n v="652.71500000000003"/>
  </r>
  <r>
    <s v="Print Imaging Barcode Sheet"/>
    <x v="4"/>
    <m/>
    <s v="w_ct_r_barcode_print"/>
    <n v="2"/>
    <n v="0"/>
    <n v="0"/>
    <n v="2"/>
    <n v="23"/>
    <n v="1"/>
    <n v="1328"/>
    <n v="0"/>
    <n v="3"/>
    <n v="88865"/>
    <n v="444.32499999999999"/>
  </r>
  <r>
    <s v="Calendar List"/>
    <x v="1"/>
    <m/>
    <s v="w_ct_m_cal_list"/>
    <n v="0"/>
    <n v="1"/>
    <n v="3"/>
    <n v="5"/>
    <n v="38"/>
    <n v="0"/>
    <n v="237"/>
    <n v="0"/>
    <n v="5"/>
    <n v="70990"/>
    <n v="354.95"/>
  </r>
  <r>
    <s v="Bail Schedule Maintenance Response **"/>
    <x v="4"/>
    <m/>
    <s v="w_ct_r_fscl_bail_sched_maint_response"/>
    <n v="9"/>
    <n v="1"/>
    <n v="0"/>
    <n v="5"/>
    <n v="37"/>
    <n v="1"/>
    <n v="1447"/>
    <n v="5"/>
    <n v="4"/>
    <n v="57689"/>
    <n v="288.44499999999999"/>
  </r>
  <r>
    <s v="Case Payment History"/>
    <x v="4"/>
    <m/>
    <s v="w_ct_m_fscl_payment_hist"/>
    <n v="1"/>
    <n v="1"/>
    <n v="0"/>
    <n v="2"/>
    <n v="17"/>
    <n v="0"/>
    <n v="400"/>
    <n v="0"/>
    <n v="5"/>
    <n v="40676"/>
    <n v="203.38"/>
  </r>
  <r>
    <s v="MOCS"/>
    <x v="0"/>
    <m/>
    <s v="w_ct_m_mocs"/>
    <n v="0"/>
    <n v="5"/>
    <n v="0"/>
    <n v="0"/>
    <n v="24"/>
    <n v="0"/>
    <n v="360"/>
    <n v="0"/>
    <n v="7"/>
    <n v="36619"/>
    <n v="183.095"/>
  </r>
  <r>
    <s v="Reports"/>
    <x v="3"/>
    <m/>
    <s v="w_ct_r_report_builder"/>
    <n v="1"/>
    <n v="0"/>
    <n v="2"/>
    <n v="3"/>
    <n v="51"/>
    <n v="1"/>
    <n v="10535"/>
    <n v="0"/>
    <n v="4"/>
    <n v="35936"/>
    <n v="179.68"/>
  </r>
  <r>
    <s v="Image Viewer"/>
    <x v="1"/>
    <m/>
    <s v="w_ct_m_image_viewer"/>
    <n v="1"/>
    <n v="3"/>
    <n v="0"/>
    <n v="3"/>
    <n v="29"/>
    <n v="1"/>
    <n v="3253"/>
    <n v="0"/>
    <n v="4"/>
    <n v="33985"/>
    <n v="169.92500000000001"/>
  </r>
  <r>
    <s v="Report Selection"/>
    <x v="3"/>
    <m/>
    <s v="w_ct_m_report_select"/>
    <n v="0"/>
    <n v="2"/>
    <n v="0"/>
    <n v="1"/>
    <n v="6"/>
    <n v="0"/>
    <n v="168"/>
    <n v="0"/>
    <n v="5"/>
    <n v="27027"/>
    <n v="135.13499999999999"/>
  </r>
  <r>
    <s v="Bail Maintenance ( Fiscal Menu)"/>
    <x v="2"/>
    <m/>
    <s v="w_ct_m_bail_maint"/>
    <n v="3"/>
    <n v="0"/>
    <n v="3"/>
    <n v="12"/>
    <n v="85"/>
    <n v="1"/>
    <n v="2750"/>
    <n v="0"/>
    <n v="6"/>
    <n v="24479"/>
    <n v="122.395"/>
  </r>
  <r>
    <s v="Docket Code Reference"/>
    <x v="5"/>
    <m/>
    <s v="w_ct_m_docket_codes_reference"/>
    <n v="0"/>
    <n v="0"/>
    <n v="0"/>
    <n v="0"/>
    <n v="1"/>
    <n v="0"/>
    <n v="0"/>
    <n v="0"/>
    <n v="4"/>
    <n v="19726"/>
    <n v="98.63"/>
  </r>
  <r>
    <s v="Calendar Batch Print"/>
    <x v="2"/>
    <m/>
    <s v="w_ct_r_batch_print"/>
    <n v="1"/>
    <n v="1"/>
    <n v="0"/>
    <n v="7"/>
    <n v="14"/>
    <n v="0"/>
    <n v="46"/>
    <n v="0"/>
    <n v="4"/>
    <n v="18544"/>
    <n v="92.72"/>
  </r>
  <r>
    <s v="Image Maintenance"/>
    <x v="1"/>
    <m/>
    <s v="w_ct_m_case_docket_image"/>
    <n v="0"/>
    <n v="3"/>
    <n v="0"/>
    <n v="3"/>
    <n v="35"/>
    <n v="1"/>
    <n v="3008"/>
    <n v="0"/>
    <n v="4"/>
    <n v="18448"/>
    <n v="92.24"/>
  </r>
  <r>
    <s v="Notes ( Accept Payment, Notes)"/>
    <x v="5"/>
    <m/>
    <s v="w_ct_r_cmmn_note"/>
    <n v="2"/>
    <n v="0"/>
    <n v="0"/>
    <n v="1"/>
    <n v="11"/>
    <n v="1"/>
    <n v="52"/>
    <n v="0"/>
    <n v="3"/>
    <n v="16761"/>
    <n v="83.805000000000007"/>
  </r>
  <r>
    <s v="w_ct_r_pdf_viewer ( Batch and SJ)"/>
    <x v="4"/>
    <m/>
    <s v="w_ct_r_pdf_viewer"/>
    <n v="2"/>
    <n v="0"/>
    <n v="0"/>
    <n v="0"/>
    <n v="1"/>
    <n v="0"/>
    <n v="0"/>
    <n v="0"/>
    <n v="4"/>
    <n v="15989"/>
    <n v="79.944999999999993"/>
  </r>
  <r>
    <s v="Cashier Reconciliation"/>
    <x v="4"/>
    <m/>
    <s v="w_ct_m_cashier_recon"/>
    <n v="0"/>
    <n v="0"/>
    <n v="0"/>
    <n v="2"/>
    <n v="20"/>
    <n v="1"/>
    <n v="517"/>
    <n v="0"/>
    <n v="5"/>
    <n v="15930"/>
    <n v="79.650000000000006"/>
  </r>
  <r>
    <s v="Open Cashier Session"/>
    <x v="5"/>
    <m/>
    <s v="w_ct_m_cashier_open_session"/>
    <n v="0"/>
    <n v="0"/>
    <n v="0"/>
    <n v="1"/>
    <n v="10"/>
    <n v="0"/>
    <n v="0"/>
    <n v="0"/>
    <n v="4"/>
    <n v="15297"/>
    <n v="76.484999999999999"/>
  </r>
  <r>
    <s v="Court Calendar Reporting"/>
    <x v="1"/>
    <m/>
    <s v="w_ct_m_cal_report_list"/>
    <n v="0"/>
    <n v="1"/>
    <n v="0"/>
    <n v="5"/>
    <n v="38"/>
    <n v="1"/>
    <n v="980"/>
    <n v="1"/>
    <n v="5"/>
    <n v="14220"/>
    <n v="71.099999999999994"/>
  </r>
  <r>
    <s v="DMV Error Maintenance"/>
    <x v="2"/>
    <m/>
    <s v="w_ct_m_dmv_abstract_maint"/>
    <n v="2"/>
    <n v="3"/>
    <n v="0"/>
    <n v="18"/>
    <n v="134"/>
    <n v="1"/>
    <n v="3539"/>
    <n v="9"/>
    <n v="10"/>
    <n v="11815"/>
    <n v="59.075000000000003"/>
  </r>
  <r>
    <s v="Bail Schedule Maintenance"/>
    <x v="2"/>
    <m/>
    <s v="w_ct_m_fscl_bail_sched_maint"/>
    <n v="0"/>
    <n v="1"/>
    <n v="0"/>
    <n v="5"/>
    <n v="53"/>
    <n v="1"/>
    <n v="2504"/>
    <n v="1"/>
    <n v="4"/>
    <n v="9084"/>
    <n v="45.42"/>
  </r>
  <r>
    <s v="Courtroom Setup"/>
    <x v="4"/>
    <m/>
    <s v="w_ct_m_ctrs_courtroom_setup"/>
    <n v="0"/>
    <n v="0"/>
    <n v="0"/>
    <n v="2"/>
    <n v="19"/>
    <n v="1"/>
    <n v="832"/>
    <n v="0"/>
    <n v="4"/>
    <n v="8414"/>
    <n v="42.07"/>
  </r>
  <r>
    <s v="Calendar Transfer"/>
    <x v="4"/>
    <m/>
    <s v="w_ct_m_cal_transfer"/>
    <n v="0"/>
    <n v="1"/>
    <n v="0"/>
    <n v="4"/>
    <n v="36"/>
    <n v="1"/>
    <n v="1734"/>
    <n v="0"/>
    <n v="5"/>
    <n v="7962"/>
    <n v="39.81"/>
  </r>
  <r>
    <s v="Fiscal Case Analysis"/>
    <x v="2"/>
    <m/>
    <s v="w_ct_m_fiscal_case_analysis"/>
    <n v="0"/>
    <n v="2"/>
    <n v="0"/>
    <n v="18"/>
    <n v="114"/>
    <n v="0"/>
    <n v="1576"/>
    <n v="10"/>
    <n v="11"/>
    <n v="7884"/>
    <n v="39.42"/>
  </r>
  <r>
    <s v="Misapplications and Voids"/>
    <x v="1"/>
    <m/>
    <s v="w_ct_m_fscl_pmt_misapp_void"/>
    <n v="0"/>
    <n v="4"/>
    <n v="0"/>
    <n v="2"/>
    <n v="51"/>
    <n v="1"/>
    <n v="3112"/>
    <n v="0"/>
    <n v="7"/>
    <n v="7441"/>
    <n v="37.204999999999998"/>
  </r>
  <r>
    <s v="Multi-Person Maintenance Datafix Report"/>
    <x v="5"/>
    <m/>
    <s v="w_ct_r_mpm_report"/>
    <n v="2"/>
    <n v="0"/>
    <n v="0"/>
    <n v="1"/>
    <n v="7"/>
    <n v="0"/>
    <n v="46"/>
    <n v="0"/>
    <n v="3"/>
    <n v="7392"/>
    <n v="36.96"/>
  </r>
  <r>
    <s v="Multi-Person Maintenance"/>
    <x v="4"/>
    <m/>
    <s v="w_ct_m_multi_person_maint"/>
    <n v="1"/>
    <n v="5"/>
    <n v="0"/>
    <n v="6"/>
    <n v="37"/>
    <n v="1"/>
    <n v="790"/>
    <n v="0"/>
    <n v="4"/>
    <n v="7011"/>
    <n v="35.055"/>
  </r>
  <r>
    <s v="Exhibit List"/>
    <x v="4"/>
    <m/>
    <s v="w_ct_m_exhibit_list"/>
    <n v="0"/>
    <n v="1"/>
    <n v="0"/>
    <n v="3"/>
    <n v="26"/>
    <n v="1"/>
    <n v="930"/>
    <n v="0"/>
    <n v="4"/>
    <n v="6900"/>
    <n v="34.5"/>
  </r>
  <r>
    <s v="File Location"/>
    <x v="4"/>
    <m/>
    <s v="w_ct_s_rcds_location"/>
    <n v="0"/>
    <n v="1"/>
    <n v="0"/>
    <n v="2"/>
    <n v="22"/>
    <n v="1"/>
    <n v="2016"/>
    <n v="0"/>
    <n v="5"/>
    <n v="6896"/>
    <n v="34.479999999999997"/>
  </r>
  <r>
    <s v="Missing Complaint"/>
    <x v="2"/>
    <m/>
    <s v="w_ct_m_case_missing_complaint"/>
    <n v="6"/>
    <n v="6"/>
    <n v="8"/>
    <n v="17"/>
    <n v="158"/>
    <n v="1"/>
    <n v="5675"/>
    <n v="1"/>
    <n v="9"/>
    <n v="6459"/>
    <n v="32.295000000000002"/>
  </r>
  <r>
    <s v="Non Case Payment Window"/>
    <x v="5"/>
    <m/>
    <s v="w_ct_m_noncase_pymt"/>
    <n v="0"/>
    <n v="1"/>
    <n v="0"/>
    <n v="1"/>
    <n v="13"/>
    <n v="1"/>
    <n v="562"/>
    <n v="0"/>
    <n v="5"/>
    <n v="6088"/>
    <n v="30.44"/>
  </r>
  <r>
    <s v="Multi-Case Payment"/>
    <x v="4"/>
    <m/>
    <s v="w_ct_m_fscl_multi_case_payment"/>
    <n v="1"/>
    <n v="3"/>
    <n v="0"/>
    <n v="3"/>
    <n v="35"/>
    <n v="1"/>
    <n v="1447"/>
    <n v="2"/>
    <n v="6"/>
    <n v="6007"/>
    <n v="30.035"/>
  </r>
  <r>
    <s v="Print - Copies Spec."/>
    <x v="5"/>
    <m/>
    <s v="w_ct_m_case_priors_print_spec"/>
    <n v="1"/>
    <n v="0"/>
    <n v="0"/>
    <n v="4"/>
    <n v="7"/>
    <n v="0"/>
    <n v="0"/>
    <n v="0"/>
    <n v="3"/>
    <n v="5075"/>
    <n v="25.375"/>
  </r>
  <r>
    <s v="Agreement To Pay and Forfeit Bail in Installment"/>
    <x v="5"/>
    <m/>
    <s v="w_ct_r_agree_pay_bf"/>
    <n v="2"/>
    <n v="1"/>
    <n v="0"/>
    <n v="1"/>
    <n v="6"/>
    <n v="0"/>
    <n v="6"/>
    <n v="0"/>
    <n v="3"/>
    <n v="4752"/>
    <n v="23.76"/>
  </r>
  <r>
    <s v="Case Lock Maintenance"/>
    <x v="4"/>
    <m/>
    <s v="w_ct_m_case_lock_maintenance"/>
    <n v="0"/>
    <n v="0"/>
    <n v="0"/>
    <n v="1"/>
    <n v="7"/>
    <n v="1"/>
    <n v="22"/>
    <n v="0"/>
    <n v="4"/>
    <n v="4145"/>
    <n v="20.725000000000001"/>
  </r>
  <r>
    <s v="File Request"/>
    <x v="4"/>
    <m/>
    <s v="w_ct_s_rcds_request"/>
    <n v="0"/>
    <n v="2"/>
    <n v="0"/>
    <n v="2"/>
    <n v="17"/>
    <n v="1"/>
    <n v="1039"/>
    <n v="0"/>
    <n v="4"/>
    <n v="3953"/>
    <n v="19.765000000000001"/>
  </r>
  <r>
    <s v="Prison Abstracts"/>
    <x v="2"/>
    <m/>
    <s v="w_ct_m_prsn_abstract"/>
    <n v="0"/>
    <n v="0"/>
    <n v="4"/>
    <n v="11"/>
    <n v="25"/>
    <n v="0"/>
    <n v="275"/>
    <n v="0"/>
    <n v="4"/>
    <n v="3759"/>
    <n v="18.795000000000002"/>
  </r>
  <r>
    <s v="Docket Code Maintenance"/>
    <x v="2"/>
    <m/>
    <s v="w_ct_m_docket_code_maint"/>
    <n v="3"/>
    <n v="8"/>
    <n v="11"/>
    <n v="26"/>
    <n v="279"/>
    <n v="1"/>
    <n v="10864"/>
    <n v="0"/>
    <n v="8"/>
    <n v="3647"/>
    <n v="18.234999999999999"/>
  </r>
  <r>
    <s v="MOCS Multi Case Entry"/>
    <x v="0"/>
    <m/>
    <s v="w_ct_r_mocs_multi"/>
    <n v="1"/>
    <n v="1"/>
    <n v="0"/>
    <n v="3"/>
    <n v="43"/>
    <n v="0"/>
    <n v="1015"/>
    <n v="3"/>
    <n v="8"/>
    <n v="3366"/>
    <n v="16.829999999999998"/>
  </r>
  <r>
    <s v="JBSIS Maintenance"/>
    <x v="1"/>
    <m/>
    <s v="w_jbsis_maintenance"/>
    <n v="3"/>
    <n v="4"/>
    <n v="0"/>
    <n v="10"/>
    <n v="71"/>
    <n v="1"/>
    <n v="1119"/>
    <n v="0"/>
    <n v="4"/>
    <n v="2931"/>
    <n v="14.654999999999999"/>
  </r>
  <r>
    <s v="w_ct_r_cmmn_dw ( Error Message ?)"/>
    <x v="5"/>
    <m/>
    <s v="w_ct_r_cmmn_dw"/>
    <n v="3"/>
    <n v="0"/>
    <n v="0"/>
    <n v="1"/>
    <n v="4"/>
    <n v="0"/>
    <n v="81"/>
    <n v="0"/>
    <n v="3"/>
    <n v="2929"/>
    <n v="14.645"/>
  </r>
  <r>
    <s v="Batch Entry (OneOC - Clerk Review Module)"/>
    <x v="1"/>
    <m/>
    <s v="w_ct_m_oneoc_interface"/>
    <n v="0"/>
    <n v="1"/>
    <n v="4"/>
    <n v="12"/>
    <n v="79"/>
    <n v="1"/>
    <n v="2466"/>
    <n v="0"/>
    <n v="4"/>
    <n v="2719"/>
    <n v="13.595000000000001"/>
  </r>
  <r>
    <s v="w_ct_r_docket_codes"/>
    <x v="5"/>
    <m/>
    <s v="w_ct_r_docket_codes"/>
    <n v="1"/>
    <n v="0"/>
    <n v="0"/>
    <n v="1"/>
    <n v="6"/>
    <n v="0"/>
    <n v="100"/>
    <n v="0"/>
    <n v="3"/>
    <n v="2646"/>
    <n v="13.23"/>
  </r>
  <r>
    <s v="Warrant Maintenance"/>
    <x v="1"/>
    <m/>
    <s v="w_ct_m_warrant_signal_mon"/>
    <n v="0"/>
    <n v="1"/>
    <n v="1"/>
    <n v="4"/>
    <n v="28"/>
    <n v="0"/>
    <n v="1195"/>
    <n v="0"/>
    <n v="4"/>
    <n v="1738"/>
    <n v="8.69"/>
  </r>
  <r>
    <s v="Warrant Images"/>
    <x v="4"/>
    <m/>
    <s v="w_ct_m_warrant_images"/>
    <n v="0"/>
    <n v="2"/>
    <n v="0"/>
    <n v="2"/>
    <n v="13"/>
    <n v="0"/>
    <n v="288"/>
    <n v="2"/>
    <n v="4"/>
    <n v="1705"/>
    <n v="8.5250000000000004"/>
  </r>
  <r>
    <s v="w_ct_r_case_closure_eligible"/>
    <x v="4"/>
    <m/>
    <s v="w_ct_r_case_closure_eligible"/>
    <n v="1"/>
    <n v="0"/>
    <n v="0"/>
    <n v="6"/>
    <n v="11"/>
    <n v="0"/>
    <n v="333"/>
    <n v="0"/>
    <n v="3"/>
    <n v="1671"/>
    <n v="8.3550000000000004"/>
  </r>
  <r>
    <s v="Post-Conviction Worksheet Report"/>
    <x v="1"/>
    <m/>
    <s v="w_ct_r_pcw"/>
    <n v="1"/>
    <n v="0"/>
    <n v="0"/>
    <n v="1"/>
    <n v="10"/>
    <n v="0"/>
    <n v="46"/>
    <n v="0"/>
    <n v="3"/>
    <n v="1499"/>
    <n v="7.4950000000000001"/>
  </r>
  <r>
    <s v="ATP Dashboard"/>
    <x v="1"/>
    <m/>
    <s v="w_ct_m_atp_dashboard"/>
    <n v="0"/>
    <n v="2"/>
    <n v="2"/>
    <n v="4"/>
    <n v="50"/>
    <n v="1"/>
    <n v="1026"/>
    <n v="0"/>
    <n v="7"/>
    <n v="1403"/>
    <n v="7.0149999999999997"/>
  </r>
  <r>
    <s v="Batch Entry"/>
    <x v="2"/>
    <m/>
    <s v="w_ct_m_cite_batch_entry"/>
    <n v="0"/>
    <n v="0"/>
    <n v="3"/>
    <n v="7"/>
    <n v="51"/>
    <n v="1"/>
    <n v="2902"/>
    <n v="0"/>
    <n v="4"/>
    <n v="1370"/>
    <n v="6.85"/>
  </r>
  <r>
    <s v="JBSIS Case Listing"/>
    <x v="4"/>
    <m/>
    <s v="w_ct_jbsis_case_person"/>
    <n v="1"/>
    <n v="1"/>
    <n v="0"/>
    <n v="4"/>
    <n v="13"/>
    <n v="0"/>
    <n v="238"/>
    <n v="1"/>
    <n v="4"/>
    <n v="1319"/>
    <n v="6.5949999999999998"/>
  </r>
  <r>
    <s v="w_ct_m_case_ftbcod_select"/>
    <x v="6"/>
    <m/>
    <s v="w_ct_m_case_ftbcod_select"/>
    <n v="0"/>
    <n v="2"/>
    <n v="5"/>
    <n v="8"/>
    <n v="81"/>
    <n v="1"/>
    <n v="1172"/>
    <n v="0"/>
    <n v="5"/>
    <n v="1197"/>
    <n v="5.9850000000000003"/>
  </r>
  <r>
    <s v="Victim Restitution Courtesy Notice"/>
    <x v="4"/>
    <m/>
    <s v="w_ct_m_vr_notice"/>
    <n v="0"/>
    <n v="2"/>
    <n v="0"/>
    <n v="2"/>
    <n v="15"/>
    <n v="1"/>
    <n v="459"/>
    <n v="0"/>
    <n v="5"/>
    <n v="1077"/>
    <n v="5.3849999999999998"/>
  </r>
  <r>
    <s v="w_ct_m_ftbcod_payment"/>
    <x v="2"/>
    <m/>
    <s v="w_ct_m_ftbcod_payment"/>
    <n v="0"/>
    <n v="3"/>
    <n v="3"/>
    <n v="21"/>
    <n v="148"/>
    <n v="1"/>
    <n v="2234"/>
    <n v="0"/>
    <n v="7"/>
    <n v="1000"/>
    <n v="5"/>
  </r>
  <r>
    <s v="Check Approval"/>
    <x v="1"/>
    <m/>
    <s v="w_ct_m_fscl_chk_apprv"/>
    <n v="0"/>
    <n v="1"/>
    <n v="0"/>
    <n v="8"/>
    <n v="39"/>
    <n v="1"/>
    <n v="2512"/>
    <n v="0"/>
    <n v="5"/>
    <n v="975"/>
    <n v="4.875"/>
  </r>
  <r>
    <s v="Attorney Maintenance"/>
    <x v="1"/>
    <m/>
    <s v="w_ct_m_attorney"/>
    <n v="0"/>
    <n v="0"/>
    <n v="3"/>
    <n v="4"/>
    <n v="29"/>
    <n v="1"/>
    <n v="3423"/>
    <n v="0"/>
    <n v="5"/>
    <n v="918"/>
    <n v="4.59"/>
  </r>
  <r>
    <s v="Citation Entry"/>
    <x v="2"/>
    <m/>
    <s v="w_ct_m_case_citation_entry"/>
    <n v="0"/>
    <n v="1"/>
    <n v="4"/>
    <n v="17"/>
    <n v="129"/>
    <n v="1"/>
    <n v="5494"/>
    <n v="1"/>
    <n v="8"/>
    <n v="896"/>
    <n v="4.4800000000000004"/>
  </r>
  <r>
    <s v="Code Tables"/>
    <x v="4"/>
    <m/>
    <s v="w_ct_m_codes"/>
    <n v="0"/>
    <n v="0"/>
    <n v="2"/>
    <n v="6"/>
    <n v="72"/>
    <n v="1"/>
    <n v="504"/>
    <n v="2"/>
    <n v="5"/>
    <n v="863"/>
    <n v="4.3150000000000004"/>
  </r>
  <r>
    <s v="DOJ Interface"/>
    <x v="6"/>
    <m/>
    <s v="w_ct_m_intf_doj_review"/>
    <n v="0"/>
    <n v="6"/>
    <n v="6"/>
    <n v="12"/>
    <n v="110"/>
    <n v="1"/>
    <n v="4472"/>
    <n v="0"/>
    <n v="7"/>
    <n v="827"/>
    <n v="4.1349999999999998"/>
  </r>
  <r>
    <s v="Monthly Fund Report"/>
    <x v="1"/>
    <m/>
    <s v="w_ct_m_fscl_month_fund_report"/>
    <n v="0"/>
    <n v="0"/>
    <n v="0"/>
    <n v="4"/>
    <n v="27"/>
    <n v="1"/>
    <n v="516"/>
    <n v="0"/>
    <n v="4"/>
    <n v="759"/>
    <n v="3.7949999999999999"/>
  </r>
  <r>
    <s v="DMV Error Cases Report"/>
    <x v="1"/>
    <m/>
    <s v="w_ct_m_dmv_error_queue_mon"/>
    <n v="0"/>
    <n v="1"/>
    <n v="2"/>
    <n v="5"/>
    <n v="51"/>
    <n v="1"/>
    <n v="1160"/>
    <n v="0"/>
    <n v="4"/>
    <n v="732"/>
    <n v="3.66"/>
  </r>
  <r>
    <s v="Security Administration ( Multiple flavors)"/>
    <x v="2"/>
    <m/>
    <s v="w_ct_r_security_admin"/>
    <n v="0"/>
    <n v="0"/>
    <n v="0"/>
    <n v="10"/>
    <n v="104"/>
    <n v="1"/>
    <n v="1162"/>
    <n v="8"/>
    <n v="3"/>
    <n v="721"/>
    <n v="3.605"/>
  </r>
  <r>
    <s v="File Location History"/>
    <x v="5"/>
    <m/>
    <s v="w_ct_s_rcds_location_history"/>
    <n v="5"/>
    <n v="0"/>
    <n v="0"/>
    <n v="2"/>
    <n v="5"/>
    <n v="0"/>
    <n v="176"/>
    <n v="0"/>
    <n v="4"/>
    <n v="668"/>
    <n v="3.34"/>
  </r>
  <r>
    <s v="Warrant Report"/>
    <x v="3"/>
    <m/>
    <s v="w_ct_r_main_report"/>
    <n v="0"/>
    <n v="0"/>
    <n v="0"/>
    <n v="4"/>
    <n v="14"/>
    <n v="0"/>
    <n v="190"/>
    <n v="0"/>
    <n v="4"/>
    <n v="587"/>
    <n v="2.9350000000000001"/>
  </r>
  <r>
    <s v="w_ct_m_violations"/>
    <x v="1"/>
    <m/>
    <s v="w_ct_m_violations"/>
    <n v="0"/>
    <n v="0"/>
    <n v="2"/>
    <n v="6"/>
    <n v="60"/>
    <n v="1"/>
    <n v="2826"/>
    <n v="0"/>
    <n v="4"/>
    <n v="536"/>
    <n v="2.68"/>
  </r>
  <r>
    <s v="Pending Warrant Review"/>
    <x v="1"/>
    <m/>
    <s v="w_ct_m_warrant_review"/>
    <n v="0"/>
    <n v="1"/>
    <n v="0"/>
    <n v="3"/>
    <n v="31"/>
    <n v="1"/>
    <n v="999"/>
    <n v="0"/>
    <n v="5"/>
    <n v="525"/>
    <n v="2.625"/>
  </r>
  <r>
    <s v="Victim Restitution Paid Indicator"/>
    <x v="5"/>
    <m/>
    <s v="w_ct_m_fscl_vr_apprv"/>
    <n v="0"/>
    <n v="0"/>
    <n v="0"/>
    <n v="2"/>
    <n v="16"/>
    <n v="0"/>
    <n v="301"/>
    <n v="0"/>
    <n v="5"/>
    <n v="484"/>
    <n v="2.42"/>
  </r>
  <r>
    <s v="w_ct_r_bail_sched_hist_rpt"/>
    <x v="5"/>
    <m/>
    <s v="w_ct_r_bail_sched_hist_rpt"/>
    <n v="2"/>
    <n v="0"/>
    <n v="0"/>
    <n v="2"/>
    <n v="3"/>
    <n v="0"/>
    <n v="33"/>
    <n v="0"/>
    <n v="3"/>
    <n v="454"/>
    <n v="2.27"/>
  </r>
  <r>
    <s v="Check Maintenance"/>
    <x v="1"/>
    <m/>
    <s v="w_ct_m_fscl_chk_maint"/>
    <n v="0"/>
    <n v="1"/>
    <n v="0"/>
    <n v="4"/>
    <n v="29"/>
    <n v="1"/>
    <n v="2655"/>
    <n v="0"/>
    <n v="5"/>
    <n v="424"/>
    <n v="2.12"/>
  </r>
  <r>
    <s v="Vision Public Case - Input"/>
    <x v="5"/>
    <m/>
    <s v="w_ct_r_public_case_input"/>
    <n v="3"/>
    <n v="0"/>
    <n v="0"/>
    <n v="0"/>
    <n v="3"/>
    <n v="0"/>
    <n v="0"/>
    <n v="0"/>
    <n v="3"/>
    <n v="391"/>
    <n v="1.9550000000000001"/>
  </r>
  <r>
    <s v="Collection Campaign Queue"/>
    <x v="1"/>
    <m/>
    <s v="w_ct_m_coll_campaign_queue"/>
    <n v="0"/>
    <n v="0"/>
    <n v="3"/>
    <n v="4"/>
    <n v="30"/>
    <n v="0"/>
    <n v="357"/>
    <n v="0"/>
    <n v="7"/>
    <n v="374"/>
    <n v="1.87"/>
  </r>
  <r>
    <s v="Batch Payments on Hold"/>
    <x v="5"/>
    <m/>
    <s v="w_ct_r_cntr_batch_pmt_on_hold"/>
    <n v="1"/>
    <n v="0"/>
    <n v="0"/>
    <n v="1"/>
    <n v="5"/>
    <n v="0"/>
    <n v="140"/>
    <n v="1"/>
    <n v="3"/>
    <n v="365"/>
    <n v="1.825"/>
  </r>
  <r>
    <s v="Batch Payment"/>
    <x v="2"/>
    <m/>
    <s v="w_ct_m_cntr_batch_pmt"/>
    <n v="0"/>
    <n v="4"/>
    <n v="0"/>
    <n v="2"/>
    <n v="39"/>
    <n v="1"/>
    <n v="3041"/>
    <n v="2"/>
    <n v="6"/>
    <n v="365"/>
    <n v="1.825"/>
  </r>
  <r>
    <s v="Bail Bond Notice"/>
    <x v="2"/>
    <m/>
    <s v="w_ct_m_bail_bond_notice"/>
    <n v="0"/>
    <n v="1"/>
    <n v="0"/>
    <n v="2"/>
    <n v="22"/>
    <n v="1"/>
    <n v="2224"/>
    <n v="0"/>
    <n v="6"/>
    <n v="300"/>
    <n v="1.5"/>
  </r>
  <r>
    <s v="OCV Payment Processor"/>
    <x v="6"/>
    <m/>
    <s v="w_ct_m_ocv_payment"/>
    <n v="0"/>
    <n v="2"/>
    <n v="3"/>
    <n v="26"/>
    <n v="204"/>
    <n v="0"/>
    <n v="1164"/>
    <n v="0"/>
    <n v="6"/>
    <n v="292"/>
    <n v="1.46"/>
  </r>
  <r>
    <s v="Calendar File Location"/>
    <x v="1"/>
    <m/>
    <s v="w_ct_s_rcds_cal_loc"/>
    <n v="0"/>
    <n v="1"/>
    <n v="0"/>
    <n v="2"/>
    <n v="22"/>
    <n v="1"/>
    <n v="1497"/>
    <n v="0"/>
    <n v="5"/>
    <n v="288"/>
    <n v="1.44"/>
  </r>
  <r>
    <s v="JBSIS Reporting"/>
    <x v="2"/>
    <m/>
    <s v="w_ct_jbsis_manrpt"/>
    <n v="0"/>
    <n v="1"/>
    <n v="2"/>
    <n v="5"/>
    <n v="29"/>
    <n v="0"/>
    <n v="1584"/>
    <n v="2"/>
    <n v="5"/>
    <n v="281"/>
    <n v="1.405"/>
  </r>
  <r>
    <s v="Person Link / Unlink"/>
    <x v="1"/>
    <m/>
    <s v="w_ct_m_person_link_unlink"/>
    <n v="3"/>
    <n v="4"/>
    <n v="0"/>
    <n v="4"/>
    <n v="25"/>
    <n v="1"/>
    <n v="555"/>
    <n v="0"/>
    <n v="4"/>
    <n v="260"/>
    <n v="1.3"/>
  </r>
  <r>
    <s v="Code Mover"/>
    <x v="4"/>
    <m/>
    <s v="w_ct_m_code_mover"/>
    <n v="0"/>
    <n v="0"/>
    <n v="6"/>
    <n v="1"/>
    <n v="9"/>
    <n v="0"/>
    <n v="168"/>
    <n v="0"/>
    <n v="4"/>
    <n v="257"/>
    <n v="1.2849999999999999"/>
  </r>
  <r>
    <s v="Collection Campaign Queue"/>
    <x v="1"/>
    <m/>
    <s v="w_ct_m_coll_person_interface"/>
    <n v="1"/>
    <n v="3"/>
    <n v="3"/>
    <n v="10"/>
    <n v="95"/>
    <n v="0"/>
    <n v="3629"/>
    <n v="0"/>
    <n v="6"/>
    <n v="244"/>
    <n v="1.22"/>
  </r>
  <r>
    <s v="Court Trial Transfer"/>
    <x v="1"/>
    <m/>
    <s v="w_ct_m_cal_transfer_location"/>
    <n v="0"/>
    <n v="0"/>
    <n v="0"/>
    <n v="4"/>
    <n v="30"/>
    <n v="1"/>
    <n v="1493"/>
    <n v="0"/>
    <n v="5"/>
    <n v="233"/>
    <n v="1.165"/>
  </r>
  <r>
    <s v="w_ct_m_ftbti_payment"/>
    <x v="2"/>
    <m/>
    <s v="w_ct_m_ftbti_payment"/>
    <n v="0"/>
    <n v="4"/>
    <n v="3"/>
    <n v="24"/>
    <n v="185"/>
    <n v="1"/>
    <n v="4532"/>
    <n v="1"/>
    <n v="7"/>
    <n v="222"/>
    <n v="1.1100000000000001"/>
  </r>
  <r>
    <s v="Import Claim Schedule File"/>
    <x v="3"/>
    <m/>
    <s v="w_ct_r_ftbcod_import_cs"/>
    <n v="1"/>
    <n v="0"/>
    <n v="0"/>
    <n v="0"/>
    <n v="11"/>
    <n v="0"/>
    <n v="263"/>
    <n v="0"/>
    <n v="4"/>
    <n v="200"/>
    <n v="1"/>
  </r>
  <r>
    <s v="Warrant Signal Audit"/>
    <x v="1"/>
    <m/>
    <s v="w_ct_m_warrant_signal_audit"/>
    <n v="0"/>
    <n v="0"/>
    <n v="2"/>
    <n v="4"/>
    <n v="19"/>
    <n v="0"/>
    <n v="303"/>
    <n v="0"/>
    <n v="4"/>
    <n v="176"/>
    <n v="0.88"/>
  </r>
  <r>
    <s v="Court Control Setup"/>
    <x v="4"/>
    <m/>
    <s v="w_ct_m_mnt_control"/>
    <n v="0"/>
    <n v="1"/>
    <n v="0"/>
    <n v="1"/>
    <n v="24"/>
    <n v="1"/>
    <n v="546"/>
    <n v="0"/>
    <n v="4"/>
    <n v="152"/>
    <n v="0.76"/>
  </r>
  <r>
    <s v="JMS Dashboard"/>
    <x v="3"/>
    <m/>
    <s v="w_ct_m_jms_dashboard_bzr"/>
    <n v="0"/>
    <n v="0"/>
    <n v="0"/>
    <n v="0"/>
    <n v="1"/>
    <n v="0"/>
    <n v="0"/>
    <n v="0"/>
    <n v="4"/>
    <n v="140"/>
    <n v="0.7"/>
  </r>
  <r>
    <s v="w_ct_m_coll_ftbti_interface"/>
    <x v="6"/>
    <m/>
    <s v="w_ct_m_coll_ftbti_interface"/>
    <n v="0"/>
    <n v="0"/>
    <n v="3"/>
    <n v="11"/>
    <n v="70"/>
    <n v="0"/>
    <n v="654"/>
    <n v="0"/>
    <n v="5"/>
    <n v="134"/>
    <n v="0.67"/>
  </r>
  <r>
    <s v="Bail Distribution Schedules"/>
    <x v="2"/>
    <m/>
    <s v="w_ct_m_fscl_bail_dist_sched"/>
    <n v="0"/>
    <n v="0"/>
    <n v="0"/>
    <n v="2"/>
    <n v="32"/>
    <n v="1"/>
    <n v="1122"/>
    <n v="0"/>
    <n v="5"/>
    <n v="122"/>
    <n v="0.61"/>
  </r>
  <r>
    <s v="w_ct_r_fiscal_batch_cases"/>
    <x v="4"/>
    <m/>
    <s v="w_ct_r_fiscal_batch_cases"/>
    <n v="1"/>
    <n v="0"/>
    <n v="0"/>
    <n v="1"/>
    <n v="4"/>
    <n v="0"/>
    <n v="0"/>
    <n v="0"/>
    <n v="3"/>
    <n v="120"/>
    <n v="0.6"/>
  </r>
  <r>
    <s v="Case File Purge"/>
    <x v="1"/>
    <m/>
    <s v="w_ct_m_case_file_purge"/>
    <n v="0"/>
    <n v="1"/>
    <n v="0"/>
    <n v="3"/>
    <n v="22"/>
    <n v="1"/>
    <n v="765"/>
    <n v="0"/>
    <n v="7"/>
    <n v="105"/>
    <n v="0.52500000000000002"/>
  </r>
  <r>
    <s v="Parm Lookups"/>
    <x v="4"/>
    <m/>
    <s v="w_ct_m_parm_lookups"/>
    <n v="1"/>
    <n v="2"/>
    <n v="0"/>
    <n v="3"/>
    <n v="25"/>
    <n v="1"/>
    <n v="232"/>
    <n v="0"/>
    <n v="4"/>
    <n v="105"/>
    <n v="0.52500000000000002"/>
  </r>
  <r>
    <s v="Reversals"/>
    <x v="1"/>
    <m/>
    <s v="w_ct_m_fscl_pmt_reversals"/>
    <n v="0"/>
    <n v="4"/>
    <n v="0"/>
    <n v="2"/>
    <n v="44"/>
    <n v="1"/>
    <n v="1191"/>
    <n v="0"/>
    <n v="7"/>
    <n v="102"/>
    <n v="0.51"/>
  </r>
  <r>
    <s v="SP Registry"/>
    <x v="4"/>
    <m/>
    <s v="w_ct_m_sp_registry"/>
    <n v="0"/>
    <n v="6"/>
    <n v="3"/>
    <n v="9"/>
    <n v="78"/>
    <n v="1"/>
    <n v="2141"/>
    <n v="0"/>
    <n v="5"/>
    <n v="100"/>
    <n v="0.5"/>
  </r>
  <r>
    <s v="Units"/>
    <x v="1"/>
    <m/>
    <s v="w_ct_m_unit_codes"/>
    <n v="0"/>
    <n v="0"/>
    <n v="4"/>
    <n v="11"/>
    <n v="54"/>
    <n v="1"/>
    <n v="613"/>
    <n v="0"/>
    <n v="5"/>
    <n v="97"/>
    <n v="0.48499999999999999"/>
  </r>
  <r>
    <s v="Case Batch Purge"/>
    <x v="1"/>
    <m/>
    <s v="w_ct_m_purged_cases"/>
    <n v="0"/>
    <n v="1"/>
    <n v="0"/>
    <n v="3"/>
    <n v="19"/>
    <n v="1"/>
    <n v="664"/>
    <n v="0"/>
    <n v="4"/>
    <n v="93"/>
    <n v="0.46500000000000002"/>
  </r>
  <r>
    <s v="Professional  Maintenance"/>
    <x v="4"/>
    <m/>
    <s v="w_ct_m_professional_maint"/>
    <n v="0"/>
    <n v="1"/>
    <n v="0"/>
    <n v="2"/>
    <n v="16"/>
    <n v="1"/>
    <n v="103"/>
    <n v="0"/>
    <n v="4"/>
    <n v="85"/>
    <n v="0.42499999999999999"/>
  </r>
  <r>
    <s v="Auto Process Schedule Setup"/>
    <x v="4"/>
    <m/>
    <s v="w_ct_m_mnt_auto_process_sched"/>
    <n v="0"/>
    <n v="0"/>
    <n v="0"/>
    <n v="2"/>
    <n v="19"/>
    <n v="1"/>
    <n v="253"/>
    <n v="0"/>
    <n v="4"/>
    <n v="80"/>
    <n v="0.4"/>
  </r>
  <r>
    <s v="Bondsman Surety"/>
    <x v="1"/>
    <m/>
    <s v="w_ct_m_bondsman_surety"/>
    <n v="0"/>
    <n v="0"/>
    <n v="2"/>
    <n v="5"/>
    <n v="30"/>
    <n v="1"/>
    <n v="1942"/>
    <n v="0"/>
    <n v="4"/>
    <n v="80"/>
    <n v="0.4"/>
  </r>
  <r>
    <s v="Violation Agency X-Ref"/>
    <x v="4"/>
    <m/>
    <s v="w_ct_m_viol_agency_xref"/>
    <n v="0"/>
    <n v="0"/>
    <n v="2"/>
    <n v="6"/>
    <n v="33"/>
    <n v="1"/>
    <n v="236"/>
    <n v="0"/>
    <n v="4"/>
    <n v="68"/>
    <n v="0.34"/>
  </r>
  <r>
    <s v="w_ct_m_fscl_fee_sched"/>
    <x v="1"/>
    <m/>
    <s v="w_ct_m_fscl_fee_sched"/>
    <n v="0"/>
    <n v="0"/>
    <n v="0"/>
    <n v="2"/>
    <n v="30"/>
    <n v="1"/>
    <n v="3036"/>
    <n v="0"/>
    <n v="4"/>
    <n v="67"/>
    <n v="0.33500000000000002"/>
  </r>
  <r>
    <s v="Interfaces"/>
    <x v="4"/>
    <m/>
    <s v="w_ct_m_fscl_audit_controller"/>
    <n v="0"/>
    <n v="0"/>
    <n v="0"/>
    <n v="1"/>
    <n v="8"/>
    <n v="0"/>
    <n v="149"/>
    <n v="0"/>
    <n v="5"/>
    <n v="67"/>
    <n v="0.33500000000000002"/>
  </r>
  <r>
    <s v="Fund Maintenance"/>
    <x v="4"/>
    <m/>
    <s v="w_ct_m_fscl_fund_maint"/>
    <n v="0"/>
    <n v="0"/>
    <n v="0"/>
    <n v="2"/>
    <n v="20"/>
    <n v="1"/>
    <n v="504"/>
    <n v="0"/>
    <n v="4"/>
    <n v="65"/>
    <n v="0.32500000000000001"/>
  </r>
  <r>
    <s v="Penalty Assessment Distribution Schedules"/>
    <x v="4"/>
    <m/>
    <s v="w_ct_m_fscl_pa_dist_sched"/>
    <n v="0"/>
    <n v="0"/>
    <n v="0"/>
    <n v="2"/>
    <n v="29"/>
    <n v="1"/>
    <n v="1025"/>
    <n v="2"/>
    <n v="5"/>
    <n v="63"/>
    <n v="0.315"/>
  </r>
  <r>
    <s v="Case Packaging Noticing"/>
    <x v="4"/>
    <m/>
    <s v="w_ct_m_case_package_list"/>
    <n v="0"/>
    <n v="0"/>
    <n v="0"/>
    <n v="6"/>
    <n v="18"/>
    <n v="1"/>
    <n v="373"/>
    <n v="1"/>
    <n v="4"/>
    <n v="60"/>
    <n v="0.3"/>
  </r>
  <r>
    <s v="Interpreters  Maintenance"/>
    <x v="4"/>
    <m/>
    <s v="w_ct_m_interpreters"/>
    <n v="0"/>
    <n v="2"/>
    <n v="0"/>
    <n v="1"/>
    <n v="29"/>
    <n v="1"/>
    <n v="568"/>
    <n v="0"/>
    <n v="4"/>
    <n v="59"/>
    <n v="0.29499999999999998"/>
  </r>
  <r>
    <s v="Calendar Plan Maintenance"/>
    <x v="2"/>
    <m/>
    <s v="w_ct_m_calendar_plan"/>
    <n v="0"/>
    <n v="0"/>
    <n v="5"/>
    <n v="15"/>
    <n v="133"/>
    <n v="1"/>
    <n v="4039"/>
    <n v="0"/>
    <n v="4"/>
    <n v="56"/>
    <n v="0.28000000000000003"/>
  </r>
  <r>
    <s v="Import Action File (part of FTBCOD window)"/>
    <x v="3"/>
    <m/>
    <s v="w_ct_r_coll_ftbcod_import_actions"/>
    <n v="1"/>
    <n v="0"/>
    <n v="0"/>
    <n v="0"/>
    <n v="11"/>
    <n v="0"/>
    <n v="1066"/>
    <n v="0"/>
    <n v="3"/>
    <n v="55"/>
    <n v="0.27500000000000002"/>
  </r>
  <r>
    <s v="Basic Menu Manager"/>
    <x v="1"/>
    <m/>
    <s v="w_ct_m_menu_basic"/>
    <n v="0"/>
    <n v="1"/>
    <n v="0"/>
    <n v="5"/>
    <n v="30"/>
    <n v="1"/>
    <n v="52"/>
    <n v="0"/>
    <n v="4"/>
    <n v="55"/>
    <n v="0.27500000000000002"/>
  </r>
  <r>
    <s v="Special Distribution Schedules"/>
    <x v="4"/>
    <m/>
    <s v="w_ct_m_fscl_spl_dist_sched"/>
    <n v="0"/>
    <n v="0"/>
    <n v="0"/>
    <n v="2"/>
    <n v="30"/>
    <n v="1"/>
    <n v="861"/>
    <n v="2"/>
    <n v="5"/>
    <n v="48"/>
    <n v="0.24"/>
  </r>
  <r>
    <s v="Error Codes"/>
    <x v="5"/>
    <m/>
    <s v="w_ct_m_error_codes"/>
    <n v="0"/>
    <n v="0"/>
    <n v="0"/>
    <n v="1"/>
    <n v="10"/>
    <n v="1"/>
    <n v="190"/>
    <n v="0"/>
    <n v="4"/>
    <n v="48"/>
    <n v="0.24"/>
  </r>
  <r>
    <s v="VCJIS - Court Reports Preview "/>
    <x v="4"/>
    <m/>
    <s v="w_ct_r_dckt_preview_docket_rpt"/>
    <n v="2"/>
    <n v="0"/>
    <n v="0"/>
    <n v="1"/>
    <n v="8"/>
    <n v="0"/>
    <n v="0"/>
    <n v="0"/>
    <n v="3"/>
    <n v="47"/>
    <n v="0.23499999999999999"/>
  </r>
  <r>
    <s v="Purge Duplicate Cases"/>
    <x v="5"/>
    <m/>
    <s v="w_ct_m_purge_duplicate"/>
    <n v="0"/>
    <n v="0"/>
    <n v="0"/>
    <n v="1"/>
    <n v="13"/>
    <n v="0"/>
    <n v="14"/>
    <n v="0"/>
    <n v="4"/>
    <n v="46"/>
    <n v="0.23"/>
  </r>
  <r>
    <s v="Interpreters in System"/>
    <x v="5"/>
    <m/>
    <s v="w_ct_r_interpreters_lookup"/>
    <n v="1"/>
    <n v="0"/>
    <n v="0"/>
    <n v="1"/>
    <n v="8"/>
    <n v="0"/>
    <n v="58"/>
    <n v="0"/>
    <n v="3"/>
    <n v="41"/>
    <n v="0.20499999999999999"/>
  </r>
  <r>
    <s v="JBSIS Audit Report"/>
    <x v="1"/>
    <m/>
    <s v="w_ct_m_jbsis_audit_report"/>
    <n v="0"/>
    <n v="3"/>
    <n v="0"/>
    <n v="10"/>
    <n v="42"/>
    <n v="0"/>
    <n v="2468"/>
    <n v="1"/>
    <n v="6"/>
    <n v="40"/>
    <n v="0.2"/>
  </r>
  <r>
    <s v="Batch Traffic School Completion"/>
    <x v="4"/>
    <m/>
    <s v="w_ct_m_mark_ts_complete"/>
    <n v="0"/>
    <n v="1"/>
    <n v="0"/>
    <n v="1"/>
    <n v="10"/>
    <n v="0"/>
    <n v="1120"/>
    <n v="0"/>
    <n v="7"/>
    <n v="35"/>
    <n v="0.17499999999999999"/>
  </r>
  <r>
    <s v="Docket Code Macro Configuration"/>
    <x v="4"/>
    <m/>
    <s v="w_ct_m_docket_macro"/>
    <n v="0"/>
    <n v="0"/>
    <n v="0"/>
    <n v="5"/>
    <n v="61"/>
    <n v="1"/>
    <n v="4131"/>
    <n v="1"/>
    <n v="6"/>
    <n v="32"/>
    <n v="0.16"/>
  </r>
  <r>
    <s v="DOJ Abstract"/>
    <x v="4"/>
    <m/>
    <s v="w_ct_r_doj_abstract_viewer"/>
    <n v="1"/>
    <n v="0"/>
    <n v="0"/>
    <n v="2"/>
    <n v="8"/>
    <n v="0"/>
    <n v="0"/>
    <n v="0"/>
    <n v="3"/>
    <n v="32"/>
    <n v="0.16"/>
  </r>
  <r>
    <s v="Sentence Workflow Maintenance"/>
    <x v="2"/>
    <m/>
    <s v="w_ct_case_sent_wkflow_mapping"/>
    <n v="0"/>
    <n v="0"/>
    <n v="4"/>
    <n v="12"/>
    <n v="33"/>
    <n v="1"/>
    <n v="141"/>
    <n v="0"/>
    <n v="4"/>
    <n v="32"/>
    <n v="0.16"/>
  </r>
  <r>
    <s v="New Professional"/>
    <x v="4"/>
    <m/>
    <s v="w_ct_r_professional_new"/>
    <n v="1"/>
    <n v="0"/>
    <n v="0"/>
    <n v="0"/>
    <n v="14"/>
    <n v="0"/>
    <n v="356"/>
    <n v="0"/>
    <n v="3"/>
    <n v="31"/>
    <n v="0.155"/>
  </r>
  <r>
    <s v="JBSIS Report Detail Maintenance"/>
    <x v="4"/>
    <m/>
    <s v="w_ct_m_jbsis_report_detail"/>
    <n v="0"/>
    <n v="0"/>
    <n v="0"/>
    <n v="2"/>
    <n v="17"/>
    <n v="1"/>
    <n v="354"/>
    <n v="0"/>
    <n v="4"/>
    <n v="30"/>
    <n v="0.15"/>
  </r>
  <r>
    <s v="Docket Code Macros - Mover"/>
    <x v="3"/>
    <m/>
    <s v="w_ct_m_docket_macro_move"/>
    <n v="0"/>
    <n v="0"/>
    <n v="0"/>
    <n v="15"/>
    <n v="29"/>
    <n v="0"/>
    <n v="427"/>
    <n v="11"/>
    <n v="4"/>
    <n v="28"/>
    <n v="0.14000000000000001"/>
  </r>
  <r>
    <s v="Court Closure Transfer"/>
    <x v="4"/>
    <m/>
    <s v="w_ct_m_cal_close_transfer"/>
    <n v="0"/>
    <n v="1"/>
    <n v="0"/>
    <n v="4"/>
    <n v="35"/>
    <n v="1"/>
    <n v="1662"/>
    <n v="0"/>
    <n v="6"/>
    <n v="23"/>
    <n v="0.115"/>
  </r>
  <r>
    <s v="Cost of Collections"/>
    <x v="4"/>
    <m/>
    <s v="w_ct_m_fscl_cost_of_collections"/>
    <n v="0"/>
    <n v="0"/>
    <n v="0"/>
    <n v="0"/>
    <n v="6"/>
    <n v="1"/>
    <n v="0"/>
    <n v="0"/>
    <n v="4"/>
    <n v="23"/>
    <n v="0.115"/>
  </r>
  <r>
    <s v="DMV Admin Transactions"/>
    <x v="4"/>
    <m/>
    <s v="w_ct_m_dmv_admin_tran"/>
    <n v="0"/>
    <n v="2"/>
    <n v="3"/>
    <n v="6"/>
    <n v="38"/>
    <n v="0"/>
    <n v="1122"/>
    <n v="0"/>
    <n v="4"/>
    <n v="22"/>
    <n v="0.11"/>
  </r>
  <r>
    <s v="Fee Distribution Schedules"/>
    <x v="4"/>
    <m/>
    <s v="w_ct_m_fscl_fee_dist_sched"/>
    <n v="0"/>
    <n v="0"/>
    <n v="0"/>
    <n v="2"/>
    <n v="28"/>
    <n v="1"/>
    <n v="842"/>
    <n v="0"/>
    <n v="5"/>
    <n v="21"/>
    <n v="0.105"/>
  </r>
  <r>
    <s v="Exhibit Maintenance "/>
    <x v="4"/>
    <m/>
    <s v="w_ct_m_exhibit_maintenance"/>
    <n v="0"/>
    <n v="2"/>
    <n v="0"/>
    <n v="4"/>
    <n v="16"/>
    <n v="1"/>
    <n v="721"/>
    <n v="0"/>
    <n v="4"/>
    <n v="20"/>
    <n v="0.1"/>
  </r>
  <r>
    <s v="Event Codes"/>
    <x v="5"/>
    <m/>
    <s v="w_ct_m_event_codes"/>
    <n v="0"/>
    <n v="0"/>
    <n v="0"/>
    <n v="4"/>
    <n v="24"/>
    <n v="1"/>
    <n v="136"/>
    <n v="0"/>
    <n v="4"/>
    <n v="20"/>
    <n v="0.1"/>
  </r>
  <r>
    <s v="Court Holidays"/>
    <x v="4"/>
    <m/>
    <s v="w_ct_m_court_holidays"/>
    <n v="0"/>
    <n v="0"/>
    <n v="0"/>
    <n v="18"/>
    <n v="37"/>
    <n v="1"/>
    <n v="466"/>
    <n v="12"/>
    <n v="4"/>
    <n v="19"/>
    <n v="9.5000000000000001E-2"/>
  </r>
  <r>
    <s v="Generic Notice Maintenance"/>
    <x v="4"/>
    <m/>
    <s v="w_ct_m_letter_maint"/>
    <n v="0"/>
    <n v="0"/>
    <n v="0"/>
    <n v="4"/>
    <n v="28"/>
    <n v="1"/>
    <n v="1074"/>
    <n v="0"/>
    <n v="4"/>
    <n v="19"/>
    <n v="9.5000000000000001E-2"/>
  </r>
  <r>
    <s v="Warrant XML Viewer"/>
    <x v="4"/>
    <m/>
    <s v="w_ct_m_warrant_awss_xml"/>
    <n v="0"/>
    <n v="2"/>
    <n v="0"/>
    <n v="2"/>
    <n v="12"/>
    <n v="0"/>
    <n v="394"/>
    <n v="2"/>
    <n v="4"/>
    <n v="18"/>
    <n v="0.09"/>
  </r>
  <r>
    <s v="Agency Codes"/>
    <x v="5"/>
    <m/>
    <s v="w_ct_m_agency_codes"/>
    <n v="0"/>
    <n v="0"/>
    <n v="6"/>
    <n v="9"/>
    <n v="52"/>
    <n v="1"/>
    <n v="292"/>
    <n v="0"/>
    <n v="5"/>
    <n v="18"/>
    <n v="0.09"/>
  </r>
  <r>
    <s v="New Exhibit Hearing List"/>
    <x v="4"/>
    <m/>
    <s v="w_ct_m_exhibit_new_hearing"/>
    <n v="1"/>
    <n v="0"/>
    <n v="0"/>
    <n v="1"/>
    <n v="4"/>
    <n v="0"/>
    <n v="128"/>
    <n v="0"/>
    <n v="3"/>
    <n v="17"/>
    <n v="8.5000000000000006E-2"/>
  </r>
  <r>
    <s v="Calendar Transfer Notices"/>
    <x v="1"/>
    <m/>
    <s v="w_ct_m_cal_transfer_notice"/>
    <n v="0"/>
    <n v="1"/>
    <n v="0"/>
    <n v="4"/>
    <n v="21"/>
    <n v="0"/>
    <n v="1676"/>
    <n v="1"/>
    <n v="6"/>
    <n v="16"/>
    <n v="0.08"/>
  </r>
  <r>
    <s v="Person Unlink"/>
    <x v="3"/>
    <m/>
    <s v="w_ct_m_person_unlink"/>
    <n v="0"/>
    <n v="0"/>
    <n v="0"/>
    <n v="3"/>
    <n v="20"/>
    <n v="0"/>
    <n v="142"/>
    <n v="2"/>
    <n v="4"/>
    <n v="15"/>
    <n v="7.4999999999999997E-2"/>
  </r>
  <r>
    <s v="XRef Maintenance"/>
    <x v="5"/>
    <m/>
    <s v="w_ct_m_maint_xref"/>
    <n v="0"/>
    <n v="0"/>
    <n v="0"/>
    <n v="2"/>
    <n v="11"/>
    <n v="1"/>
    <n v="905"/>
    <n v="0"/>
    <n v="4"/>
    <n v="14"/>
    <n v="7.0000000000000007E-2"/>
  </r>
  <r>
    <s v="Financial Evaluation"/>
    <x v="4"/>
    <m/>
    <s v="w_ct_m_coll_fin_eval_list"/>
    <n v="0"/>
    <n v="0"/>
    <n v="0"/>
    <n v="3"/>
    <n v="23"/>
    <n v="1"/>
    <n v="269"/>
    <n v="0"/>
    <n v="6"/>
    <n v="13"/>
    <n v="6.5000000000000002E-2"/>
  </r>
  <r>
    <s v="Exhibit Management Search"/>
    <x v="5"/>
    <m/>
    <s v="w_ct_m_exhibit_management_srch"/>
    <n v="0"/>
    <n v="0"/>
    <n v="0"/>
    <n v="3"/>
    <n v="18"/>
    <n v="0"/>
    <n v="38"/>
    <n v="0"/>
    <n v="4"/>
    <n v="13"/>
    <n v="6.5000000000000002E-2"/>
  </r>
  <r>
    <s v="PA Schedule Maintenance"/>
    <x v="5"/>
    <m/>
    <s v="w_ct_m_maint_pa_sched"/>
    <n v="0"/>
    <n v="0"/>
    <n v="0"/>
    <n v="1"/>
    <n v="10"/>
    <n v="1"/>
    <n v="223"/>
    <n v="0"/>
    <n v="4"/>
    <n v="13"/>
    <n v="6.5000000000000002E-2"/>
  </r>
  <r>
    <s v="Date of Action Maintenance"/>
    <x v="5"/>
    <m/>
    <s v="w_ct_m_docket_date_of_action_maint"/>
    <n v="1"/>
    <n v="3"/>
    <n v="0"/>
    <n v="2"/>
    <n v="17"/>
    <n v="1"/>
    <n v="394"/>
    <n v="0"/>
    <n v="4"/>
    <n v="12"/>
    <n v="0.06"/>
  </r>
  <r>
    <s v="Professional Consolidation "/>
    <x v="4"/>
    <m/>
    <s v="w_ct_m_professional_consolidation"/>
    <n v="0"/>
    <n v="1"/>
    <n v="0"/>
    <n v="5"/>
    <n v="20"/>
    <n v="1"/>
    <n v="643"/>
    <n v="0"/>
    <n v="4"/>
    <n v="12"/>
    <n v="0.06"/>
  </r>
  <r>
    <s v="Collections Campaign Maintenance"/>
    <x v="4"/>
    <m/>
    <s v="w_ct_m_coll_campaign_maint"/>
    <n v="0"/>
    <n v="0"/>
    <n v="0"/>
    <n v="2"/>
    <n v="14"/>
    <n v="1"/>
    <n v="69"/>
    <n v="2"/>
    <n v="5"/>
    <n v="11"/>
    <n v="5.5E-2"/>
  </r>
  <r>
    <s v="Collector Maintenance"/>
    <x v="5"/>
    <m/>
    <s v="w_ct_m_coll_collector_maint"/>
    <n v="0"/>
    <n v="0"/>
    <n v="0"/>
    <n v="1"/>
    <n v="20"/>
    <n v="1"/>
    <n v="921"/>
    <n v="0"/>
    <n v="5"/>
    <n v="10"/>
    <n v="0.05"/>
  </r>
  <r>
    <s v="Advanced Menu Manager"/>
    <x v="1"/>
    <m/>
    <s v="w_ct_m_menu_full"/>
    <n v="0"/>
    <n v="1"/>
    <n v="0"/>
    <n v="6"/>
    <n v="39"/>
    <n v="1"/>
    <n v="96"/>
    <n v="0"/>
    <n v="4"/>
    <n v="9"/>
    <n v="4.4999999999999998E-2"/>
  </r>
  <r>
    <s v="File Request Inquiry"/>
    <x v="5"/>
    <m/>
    <s v="w_ct_s_rcds_request_inquiry"/>
    <n v="0"/>
    <n v="1"/>
    <n v="0"/>
    <n v="2"/>
    <n v="8"/>
    <n v="0"/>
    <n v="560"/>
    <n v="0"/>
    <n v="4"/>
    <n v="7"/>
    <n v="3.5000000000000003E-2"/>
  </r>
  <r>
    <s v="w_ct_m_fscl_speed_sched"/>
    <x v="4"/>
    <m/>
    <s v="w_ct_m_fscl_speed_sched"/>
    <n v="0"/>
    <n v="1"/>
    <n v="0"/>
    <n v="2"/>
    <n v="24"/>
    <n v="1"/>
    <n v="1442"/>
    <n v="0"/>
    <n v="4"/>
    <n v="7"/>
    <n v="3.5000000000000003E-2"/>
  </r>
  <r>
    <s v="File Import"/>
    <x v="4"/>
    <m/>
    <s v="w_ct_m_file_etl"/>
    <n v="0"/>
    <n v="0"/>
    <n v="0"/>
    <n v="3"/>
    <n v="23"/>
    <n v="0"/>
    <n v="316"/>
    <n v="1"/>
    <n v="4"/>
    <n v="7"/>
    <n v="3.5000000000000003E-2"/>
  </r>
  <r>
    <s v="DMV Prior Missing Report"/>
    <x v="5"/>
    <m/>
    <s v="w_ct_m_dmv_priors_missing_cases"/>
    <n v="0"/>
    <n v="1"/>
    <n v="0"/>
    <n v="2"/>
    <n v="11"/>
    <n v="0"/>
    <n v="542"/>
    <n v="0"/>
    <n v="4"/>
    <n v="6"/>
    <n v="0.03"/>
  </r>
  <r>
    <s v="OCV Return"/>
    <x v="4"/>
    <m/>
    <s v="w_ct_m_ocv_file_load"/>
    <n v="0"/>
    <n v="1"/>
    <n v="2"/>
    <n v="4"/>
    <n v="13"/>
    <n v="0"/>
    <n v="1484"/>
    <n v="0"/>
    <n v="4"/>
    <n v="6"/>
    <n v="0.03"/>
  </r>
  <r>
    <s v="Reapply Remittance"/>
    <x v="4"/>
    <m/>
    <s v="w_ct_m_fscl_reapp_remit"/>
    <n v="0"/>
    <n v="1"/>
    <n v="0"/>
    <n v="2"/>
    <n v="23"/>
    <n v="1"/>
    <n v="752"/>
    <n v="0"/>
    <n v="6"/>
    <n v="6"/>
    <n v="0.03"/>
  </r>
  <r>
    <s v="File Request Maintenance"/>
    <x v="4"/>
    <m/>
    <s v="w_ct_s_rcds_request_maint"/>
    <n v="0"/>
    <n v="1"/>
    <n v="0"/>
    <n v="2"/>
    <n v="20"/>
    <n v="1"/>
    <n v="1157"/>
    <n v="0"/>
    <n v="4"/>
    <n v="6"/>
    <n v="0.03"/>
  </r>
  <r>
    <s v="w_ct_m_fscl_speed_sched_2"/>
    <x v="4"/>
    <m/>
    <s v="w_ct_m_fscl_speed_sched_2"/>
    <n v="0"/>
    <n v="1"/>
    <n v="0"/>
    <n v="2"/>
    <n v="24"/>
    <n v="1"/>
    <n v="1442"/>
    <n v="0"/>
    <n v="4"/>
    <n v="5"/>
    <n v="2.5000000000000001E-2"/>
  </r>
  <r>
    <s v="Vision Menu Profile Report"/>
    <x v="5"/>
    <m/>
    <s v="w_ct_r_menu_profile_report"/>
    <n v="1"/>
    <n v="0"/>
    <n v="0"/>
    <n v="2"/>
    <n v="10"/>
    <n v="0"/>
    <n v="38"/>
    <n v="0"/>
    <n v="3"/>
    <n v="5"/>
    <n v="2.5000000000000001E-2"/>
  </r>
  <r>
    <s v="LEA Interface"/>
    <x v="5"/>
    <m/>
    <s v="w_ct_m_case_lea_interface"/>
    <n v="0"/>
    <n v="0"/>
    <n v="2"/>
    <n v="2"/>
    <n v="12"/>
    <n v="0"/>
    <n v="18"/>
    <n v="0"/>
    <n v="4"/>
    <n v="5"/>
    <n v="2.5000000000000001E-2"/>
  </r>
  <r>
    <s v="Chart of Accounts"/>
    <x v="5"/>
    <m/>
    <s v="w_ct_m_fscl_chart_of_accts"/>
    <n v="0"/>
    <n v="0"/>
    <n v="0"/>
    <n v="2"/>
    <n v="8"/>
    <n v="1"/>
    <n v="311"/>
    <n v="0"/>
    <n v="4"/>
    <n v="5"/>
    <n v="2.5000000000000001E-2"/>
  </r>
  <r>
    <s v="MOCS Docket Definition"/>
    <x v="1"/>
    <m/>
    <s v="w_ct_m_mocs_dkt_defn"/>
    <n v="1"/>
    <n v="0"/>
    <n v="0"/>
    <n v="3"/>
    <n v="23"/>
    <n v="1"/>
    <n v="201"/>
    <n v="0"/>
    <n v="3"/>
    <n v="5"/>
    <n v="2.5000000000000001E-2"/>
  </r>
  <r>
    <s v="Letter Maintenance"/>
    <x v="4"/>
    <m/>
    <s v="w_ct_m_letter_maint_lm"/>
    <n v="0"/>
    <n v="0"/>
    <n v="0"/>
    <n v="3"/>
    <n v="14"/>
    <n v="1"/>
    <n v="588"/>
    <n v="0"/>
    <n v="4"/>
    <n v="5"/>
    <n v="2.5000000000000001E-2"/>
  </r>
  <r>
    <s v="Agency Payment"/>
    <x v="4"/>
    <m/>
    <s v="w_ct_m_agency_payment"/>
    <n v="5"/>
    <n v="5"/>
    <n v="0"/>
    <n v="4"/>
    <n v="59"/>
    <n v="1"/>
    <n v="3430"/>
    <n v="2"/>
    <n v="6"/>
    <n v="5"/>
    <n v="2.5000000000000001E-2"/>
  </r>
  <r>
    <s v="Vision Batch Processing"/>
    <x v="2"/>
    <m/>
    <s v="w_ct_m_xl_batch_processing"/>
    <n v="0"/>
    <n v="1"/>
    <n v="3"/>
    <n v="12"/>
    <n v="66"/>
    <n v="0"/>
    <n v="716"/>
    <n v="0"/>
    <n v="4"/>
    <n v="5"/>
    <n v="2.5000000000000001E-2"/>
  </r>
  <r>
    <s v="Agency X-Ref Maintenance"/>
    <x v="4"/>
    <m/>
    <s v="w_ct_m_maint_agy_xref"/>
    <n v="0"/>
    <n v="0"/>
    <n v="0"/>
    <n v="2"/>
    <n v="13"/>
    <n v="1"/>
    <n v="210"/>
    <n v="0"/>
    <n v="4"/>
    <n v="4"/>
    <n v="0.02"/>
  </r>
  <r>
    <s v="PA Distribution Cross-Reference"/>
    <x v="5"/>
    <m/>
    <s v="w_ct_m_fscl_dist_xref"/>
    <n v="0"/>
    <n v="0"/>
    <n v="0"/>
    <n v="2"/>
    <n v="11"/>
    <n v="1"/>
    <n v="163"/>
    <n v="0"/>
    <n v="4"/>
    <n v="4"/>
    <n v="0.02"/>
  </r>
  <r>
    <s v="w_ct_m_coll_work_queue"/>
    <x v="4"/>
    <m/>
    <s v="w_ct_m_coll_work_queue"/>
    <n v="0"/>
    <n v="0"/>
    <n v="0"/>
    <n v="4"/>
    <n v="34"/>
    <n v="1"/>
    <n v="765"/>
    <n v="0"/>
    <n v="6"/>
    <n v="4"/>
    <n v="0.02"/>
  </r>
  <r>
    <s v="Appeal Summary"/>
    <x v="3"/>
    <m/>
    <s v="w_ct_apl_appeal_summary"/>
    <n v="0"/>
    <n v="5"/>
    <n v="7"/>
    <n v="9"/>
    <n v="41"/>
    <n v="1"/>
    <n v="247"/>
    <n v="0"/>
    <n v="5"/>
    <n v="4"/>
    <n v="0.02"/>
  </r>
  <r>
    <s v="Case Search"/>
    <x v="3"/>
    <m/>
    <s v="w_ct_r_appeal_search"/>
    <n v="2"/>
    <n v="2"/>
    <n v="3"/>
    <n v="4"/>
    <n v="58"/>
    <n v="0"/>
    <n v="2991"/>
    <n v="0"/>
    <n v="5"/>
    <n v="4"/>
    <n v="0.02"/>
  </r>
  <r>
    <s v="Person Delete"/>
    <x v="4"/>
    <m/>
    <s v="w_ct_m_person_delete"/>
    <n v="0"/>
    <n v="0"/>
    <n v="0"/>
    <n v="2"/>
    <n v="12"/>
    <n v="0"/>
    <n v="677"/>
    <n v="0"/>
    <n v="4"/>
    <n v="4"/>
    <n v="0.02"/>
  </r>
  <r>
    <s v="Distribution Override"/>
    <x v="1"/>
    <m/>
    <s v="w_ct_m_fscl_dist_override"/>
    <n v="0"/>
    <n v="0"/>
    <n v="3"/>
    <n v="4"/>
    <n v="30"/>
    <n v="1"/>
    <n v="1698"/>
    <n v="0"/>
    <n v="6"/>
    <n v="3"/>
    <n v="1.4999999999999999E-2"/>
  </r>
  <r>
    <s v="Case Documents"/>
    <x v="4"/>
    <m/>
    <s v="w_ct_apl_filed_docs"/>
    <n v="2"/>
    <n v="1"/>
    <n v="0"/>
    <n v="1"/>
    <n v="15"/>
    <n v="1"/>
    <n v="232"/>
    <n v="0"/>
    <n v="4"/>
    <n v="3"/>
    <n v="1.4999999999999999E-2"/>
  </r>
  <r>
    <s v="w_ct_m_fscl_special_schedule"/>
    <x v="5"/>
    <m/>
    <s v="w_ct_m_fscl_special_schedule"/>
    <n v="0"/>
    <n v="0"/>
    <n v="0"/>
    <n v="2"/>
    <n v="18"/>
    <n v="1"/>
    <n v="782"/>
    <n v="0"/>
    <n v="4"/>
    <n v="3"/>
    <n v="1.4999999999999999E-2"/>
  </r>
  <r>
    <s v="Missing Complaints Purge"/>
    <x v="1"/>
    <m/>
    <s v="w_ct_m_missing_complaints_purge"/>
    <n v="0"/>
    <n v="1"/>
    <n v="0"/>
    <n v="3"/>
    <n v="24"/>
    <n v="1"/>
    <n v="705"/>
    <n v="0"/>
    <n v="7"/>
    <n v="3"/>
    <n v="1.4999999999999999E-2"/>
  </r>
  <r>
    <s v="Collection Account Assignment"/>
    <x v="3"/>
    <m/>
    <s v="w_ct_m_coll_account_assign"/>
    <n v="0"/>
    <n v="1"/>
    <n v="0"/>
    <n v="4"/>
    <n v="40"/>
    <n v="1"/>
    <n v="738"/>
    <n v="0"/>
    <n v="5"/>
    <n v="2"/>
    <n v="0.01"/>
  </r>
  <r>
    <s v="Warrant Control Maintenance"/>
    <x v="3"/>
    <m/>
    <s v="w_ct_m_warr_ctrl_maint"/>
    <n v="0"/>
    <n v="0"/>
    <n v="0"/>
    <n v="1"/>
    <n v="13"/>
    <n v="1"/>
    <n v="224"/>
    <n v="0"/>
    <n v="4"/>
    <n v="2"/>
    <n v="0.01"/>
  </r>
  <r>
    <s v="Metadata Sync  Error Report"/>
    <x v="3"/>
    <m/>
    <s v="w_ct_m_case_docket_image_error_list"/>
    <n v="0"/>
    <n v="4"/>
    <n v="0"/>
    <n v="5"/>
    <n v="18"/>
    <n v="0"/>
    <n v="1361"/>
    <n v="0"/>
    <n v="4"/>
    <n v="2"/>
    <n v="0.01"/>
  </r>
  <r>
    <s v="Docket Code Lookup (Image maintenance)"/>
    <x v="5"/>
    <m/>
    <s v="w_ct_r_case_docket"/>
    <n v="1"/>
    <n v="0"/>
    <n v="0"/>
    <n v="1"/>
    <n v="5"/>
    <n v="0"/>
    <n v="156"/>
    <n v="0"/>
    <n v="3"/>
    <n v="1"/>
    <n v="5.0000000000000001E-3"/>
  </r>
  <r>
    <s v="Officer Merge"/>
    <x v="4"/>
    <m/>
    <s v="w_ct_m_officer_merge"/>
    <n v="0"/>
    <n v="0"/>
    <n v="2"/>
    <n v="4"/>
    <n v="17"/>
    <n v="0"/>
    <n v="219"/>
    <n v="0"/>
    <n v="5"/>
    <n v="1"/>
    <n v="5.0000000000000001E-3"/>
  </r>
  <r>
    <s v="Agency Location XReference"/>
    <x v="3"/>
    <m/>
    <s v="w_ct_m_maint_agy_loc_xref"/>
    <n v="0"/>
    <n v="0"/>
    <n v="0"/>
    <n v="1"/>
    <n v="9"/>
    <n v="1"/>
    <n v="184"/>
    <n v="0"/>
    <n v="4"/>
    <n v="1"/>
    <n v="5.0000000000000001E-3"/>
  </r>
  <r>
    <s v="Victim Restitution Distribution Schedules"/>
    <x v="5"/>
    <m/>
    <s v="w_ct_m_fscl_vr_dist_sched"/>
    <n v="0"/>
    <n v="0"/>
    <n v="0"/>
    <n v="2"/>
    <n v="27"/>
    <n v="1"/>
    <n v="665"/>
    <n v="0"/>
    <n v="5"/>
    <n v="1"/>
    <n v="5.0000000000000001E-3"/>
  </r>
  <r>
    <s v="Satellite Payment Approval"/>
    <x v="3"/>
    <m/>
    <s v="w_ct_m_fscl_sat_pmt_apprv"/>
    <n v="0"/>
    <n v="0"/>
    <n v="0"/>
    <n v="2"/>
    <n v="13"/>
    <n v="1"/>
    <n v="949"/>
    <n v="0"/>
    <n v="5"/>
    <n v="1"/>
    <n v="5.0000000000000001E-3"/>
  </r>
  <r>
    <s v="Base Distribution Cross-Reference"/>
    <x v="4"/>
    <m/>
    <s v="w_ct_m_fscl_base_dist_xref"/>
    <n v="0"/>
    <n v="0"/>
    <n v="0"/>
    <n v="2"/>
    <n v="11"/>
    <n v="1"/>
    <n v="163"/>
    <n v="0"/>
    <n v="4"/>
    <n v="1"/>
    <n v="5.0000000000000001E-3"/>
  </r>
  <r>
    <s v="Docket Macro Maintenence"/>
    <x v="2"/>
    <m/>
    <s v="w_ct_m_docket_macro_maint"/>
    <n v="0"/>
    <n v="1"/>
    <n v="3"/>
    <n v="6"/>
    <n v="92"/>
    <n v="1"/>
    <n v="3133"/>
    <n v="0"/>
    <n v="6"/>
    <n v="1"/>
    <n v="5.0000000000000001E-3"/>
  </r>
  <r>
    <s v="w_ct_r_fiscal_multi_cases_reversal"/>
    <x v="5"/>
    <m/>
    <s v="w_ct_r_fiscal_multi_cases_reversal"/>
    <n v="1"/>
    <n v="0"/>
    <n v="0"/>
    <n v="1"/>
    <n v="4"/>
    <n v="0"/>
    <n v="0"/>
    <n v="0"/>
    <n v="3"/>
    <n v="1"/>
    <n v="5.0000000000000001E-3"/>
  </r>
  <r>
    <s v="Print Checks"/>
    <x v="3"/>
    <m/>
    <s v="w_ct_r_fscl_prnt_chks"/>
    <n v="2"/>
    <n v="2"/>
    <n v="0"/>
    <n v="0"/>
    <n v="6"/>
    <n v="0"/>
    <n v="0"/>
    <n v="0"/>
    <n v="3"/>
    <n v="0"/>
    <n v="0"/>
  </r>
  <r>
    <s v="Copy Existing Speed Schedule  ( part of speed schedule)"/>
    <x v="5"/>
    <m/>
    <s v="w_ct_r_fscl_speed_sched"/>
    <n v="1"/>
    <n v="0"/>
    <n v="0"/>
    <n v="0"/>
    <n v="5"/>
    <n v="0"/>
    <n v="0"/>
    <n v="0"/>
    <n v="3"/>
    <n v="0"/>
    <n v="0"/>
  </r>
  <r>
    <s v="Copy Existing Speed Schedule ( part of speed schedule2)"/>
    <x v="5"/>
    <m/>
    <s v="w_ct_r_fscl_speed_sched_2"/>
    <n v="1"/>
    <n v="0"/>
    <n v="0"/>
    <n v="0"/>
    <n v="5"/>
    <n v="0"/>
    <n v="0"/>
    <n v="0"/>
    <n v="3"/>
    <n v="0"/>
    <n v="0"/>
  </r>
  <r>
    <s v="Interpreter Remarks ( part of maintenanc window. Ctrl+alt+T to launch under remarks column)"/>
    <x v="5"/>
    <m/>
    <s v="w_ct_r_interpreter_remarks"/>
    <n v="1"/>
    <n v="0"/>
    <n v="0"/>
    <n v="0"/>
    <n v="6"/>
    <n v="0"/>
    <n v="10"/>
    <n v="0"/>
    <n v="3"/>
    <n v="0"/>
    <n v="0"/>
  </r>
  <r>
    <s v="w_ct_r_lookup_nbr ( part of DC maintenance window)"/>
    <x v="5"/>
    <m/>
    <s v="w_ct_r_lookup_nbr"/>
    <n v="2"/>
    <n v="0"/>
    <n v="0"/>
    <n v="1"/>
    <n v="5"/>
    <n v="0"/>
    <n v="8"/>
    <n v="0"/>
    <n v="3"/>
    <n v="0"/>
    <n v="0"/>
  </r>
  <r>
    <s v="Maintenance Request Number"/>
    <x v="3"/>
    <m/>
    <s v="w_ct_r_maintenance_request_get_nbr"/>
    <n v="2"/>
    <n v="0"/>
    <n v="0"/>
    <n v="0"/>
    <n v="3"/>
    <n v="0"/>
    <n v="0"/>
    <n v="0"/>
    <n v="3"/>
    <n v="0"/>
    <n v="0"/>
  </r>
  <r>
    <s v="w_ct_r_per_select"/>
    <x v="3"/>
    <m/>
    <s v="w_ct_r_per_select"/>
    <n v="1"/>
    <n v="0"/>
    <n v="0"/>
    <n v="1"/>
    <n v="4"/>
    <n v="0"/>
    <n v="0"/>
    <n v="0"/>
    <n v="3"/>
    <n v="0"/>
    <n v="0"/>
  </r>
  <r>
    <s v="Reports"/>
    <x v="3"/>
    <m/>
    <s v="w_ct_r_report_builder_conv"/>
    <n v="2"/>
    <n v="0"/>
    <n v="2"/>
    <n v="2"/>
    <n v="24"/>
    <n v="1"/>
    <n v="799"/>
    <n v="0"/>
    <n v="4"/>
    <n v="0"/>
    <n v="0"/>
  </r>
  <r>
    <s v="Select Defendant ( part of meta data sync error report)"/>
    <x v="3"/>
    <m/>
    <s v="w_ct_r_select_defendant"/>
    <n v="1"/>
    <n v="0"/>
    <n v="0"/>
    <n v="1"/>
    <n v="5"/>
    <n v="0"/>
    <n v="159"/>
    <n v="0"/>
    <n v="3"/>
    <n v="0"/>
    <n v="0"/>
  </r>
  <r>
    <s v="w_nui_progress ( Framework)"/>
    <x v="3"/>
    <m/>
    <s v="w_nui_progress"/>
    <n v="3"/>
    <n v="0"/>
    <n v="0"/>
    <n v="0"/>
    <n v="0"/>
    <n v="0"/>
    <n v="0"/>
    <n v="0"/>
    <n v="0"/>
    <n v="0"/>
    <n v="0"/>
  </r>
  <r>
    <s v="Select Hearings"/>
    <x v="3"/>
    <m/>
    <s v="w_select_hearing"/>
    <n v="1"/>
    <n v="3"/>
    <n v="0"/>
    <n v="2"/>
    <n v="24"/>
    <n v="0"/>
    <n v="508"/>
    <n v="0"/>
    <n v="5"/>
    <n v="0"/>
    <n v="0"/>
  </r>
  <r>
    <s v="w_xl_filter ( Framework)"/>
    <x v="3"/>
    <m/>
    <s v="w_xl_filter"/>
    <n v="1"/>
    <n v="0"/>
    <n v="0"/>
    <n v="3"/>
    <n v="6"/>
    <n v="0"/>
    <n v="63"/>
    <n v="0"/>
    <n v="0"/>
    <n v="0"/>
    <n v="0"/>
  </r>
  <r>
    <s v="Data Fix"/>
    <x v="3"/>
    <m/>
    <s v="w_ct_m_data_fix"/>
    <n v="1"/>
    <n v="0"/>
    <n v="0"/>
    <n v="0"/>
    <n v="5"/>
    <n v="0"/>
    <n v="0"/>
    <n v="0"/>
    <n v="4"/>
    <n v="0"/>
    <n v="0"/>
  </r>
  <r>
    <s v="Data Search"/>
    <x v="3"/>
    <m/>
    <s v="w_ct_m_data_search"/>
    <n v="0"/>
    <n v="0"/>
    <n v="0"/>
    <n v="2"/>
    <n v="11"/>
    <n v="0"/>
    <n v="6"/>
    <n v="0"/>
    <n v="4"/>
    <n v="0"/>
    <n v="0"/>
  </r>
  <r>
    <s v="Development Log"/>
    <x v="3"/>
    <m/>
    <s v="w_ct_m_dev_log"/>
    <n v="0"/>
    <n v="0"/>
    <n v="0"/>
    <n v="2"/>
    <n v="19"/>
    <n v="1"/>
    <n v="33"/>
    <n v="0"/>
    <n v="4"/>
    <n v="0"/>
    <n v="0"/>
  </r>
  <r>
    <s v="DMV Abstract On-demand"/>
    <x v="5"/>
    <m/>
    <s v="w_ct_m_dmv_abstract_on_demand"/>
    <n v="0"/>
    <n v="0"/>
    <n v="2"/>
    <n v="4"/>
    <n v="28"/>
    <n v="0"/>
    <n v="1231"/>
    <n v="0"/>
    <n v="4"/>
    <n v="0"/>
    <n v="0"/>
  </r>
  <r>
    <s v="DMV Augmentation"/>
    <x v="3"/>
    <m/>
    <s v="w_ct_m_dmv_aug"/>
    <n v="0"/>
    <n v="2"/>
    <n v="3"/>
    <n v="6"/>
    <n v="20"/>
    <n v="1"/>
    <n v="541"/>
    <n v="0"/>
    <n v="4"/>
    <n v="0"/>
    <n v="0"/>
  </r>
  <r>
    <s v="Case Copy &amp; Restore ( DMV case copy)"/>
    <x v="4"/>
    <m/>
    <s v="w_ct_m_dmv_case_copy_restore"/>
    <n v="0"/>
    <n v="0"/>
    <n v="2"/>
    <n v="6"/>
    <n v="22"/>
    <n v="0"/>
    <n v="528"/>
    <n v="0"/>
    <n v="5"/>
    <n v="0"/>
    <n v="0"/>
  </r>
  <r>
    <s v="Image Viewer"/>
    <x v="3"/>
    <m/>
    <s v="w_ct_m_doc_image"/>
    <n v="1"/>
    <n v="3"/>
    <n v="0"/>
    <n v="1"/>
    <n v="7"/>
    <n v="0"/>
    <n v="121"/>
    <n v="0"/>
    <n v="4"/>
    <n v="0"/>
    <n v="0"/>
  </r>
  <r>
    <s v="In/Out File Mapping"/>
    <x v="3"/>
    <m/>
    <s v="w_ct_m_file_in_out_mappings"/>
    <n v="0"/>
    <n v="0"/>
    <n v="0"/>
    <n v="2"/>
    <n v="11"/>
    <n v="1"/>
    <n v="130"/>
    <n v="0"/>
    <n v="4"/>
    <n v="0"/>
    <n v="0"/>
  </r>
  <r>
    <s v="Generic Code Table XWalk"/>
    <x v="3"/>
    <m/>
    <s v="w_ct_m_generic_codetable_xwalk"/>
    <n v="0"/>
    <n v="0"/>
    <n v="2"/>
    <n v="8"/>
    <n v="33"/>
    <n v="1"/>
    <n v="1502"/>
    <n v="0"/>
    <n v="4"/>
    <n v="0"/>
    <n v="0"/>
  </r>
  <r>
    <s v="Event ROC Code Table XWalk"/>
    <x v="3"/>
    <m/>
    <s v="w_ct_m_generic_event_roc_xwalk"/>
    <n v="0"/>
    <n v="0"/>
    <n v="2"/>
    <n v="5"/>
    <n v="25"/>
    <n v="1"/>
    <n v="579"/>
    <n v="0"/>
    <n v="4"/>
    <n v="0"/>
    <n v="0"/>
  </r>
  <r>
    <s v="w_ct_m_intf_file_display"/>
    <x v="3"/>
    <m/>
    <s v="w_ct_m_intf_file_display"/>
    <n v="0"/>
    <n v="0"/>
    <n v="0"/>
    <n v="3"/>
    <n v="7"/>
    <n v="0"/>
    <n v="66"/>
    <n v="0"/>
    <n v="4"/>
    <n v="0"/>
    <n v="0"/>
  </r>
  <r>
    <s v="Job Error Log"/>
    <x v="5"/>
    <m/>
    <s v="w_ct_m_job_error_log"/>
    <n v="0"/>
    <n v="1"/>
    <n v="0"/>
    <n v="3"/>
    <n v="7"/>
    <n v="0"/>
    <n v="141"/>
    <n v="0"/>
    <n v="4"/>
    <n v="0"/>
    <n v="0"/>
  </r>
  <r>
    <s v="Mail Machine Interface"/>
    <x v="3"/>
    <m/>
    <s v="w_ct_m_mail_machine_interface"/>
    <n v="0"/>
    <n v="0"/>
    <n v="0"/>
    <n v="1"/>
    <n v="9"/>
    <n v="0"/>
    <n v="4"/>
    <n v="0"/>
    <n v="5"/>
    <n v="0"/>
    <n v="0"/>
  </r>
  <r>
    <s v="System Maintenance Request"/>
    <x v="3"/>
    <m/>
    <s v="w_ct_m_maintenance_request"/>
    <n v="1"/>
    <n v="3"/>
    <n v="0"/>
    <n v="1"/>
    <n v="15"/>
    <n v="1"/>
    <n v="146"/>
    <n v="0"/>
    <n v="4"/>
    <n v="0"/>
    <n v="0"/>
  </r>
  <r>
    <s v="System Maintenance Request Print"/>
    <x v="3"/>
    <m/>
    <s v="w_ct_m_maintenance_request_print"/>
    <n v="2"/>
    <n v="2"/>
    <n v="0"/>
    <n v="1"/>
    <n v="5"/>
    <n v="0"/>
    <n v="0"/>
    <n v="0"/>
    <n v="4"/>
    <n v="0"/>
    <n v="0"/>
  </r>
  <r>
    <s v="System Maintenance Request Report"/>
    <x v="3"/>
    <m/>
    <s v="w_ct_m_maintenance_request_qry"/>
    <n v="0"/>
    <n v="3"/>
    <n v="2"/>
    <n v="2"/>
    <n v="15"/>
    <n v="0"/>
    <n v="55"/>
    <n v="0"/>
    <n v="4"/>
    <n v="0"/>
    <n v="0"/>
  </r>
  <r>
    <s v="Mass Case Copy"/>
    <x v="3"/>
    <m/>
    <s v="w_ct_m_mass_case_copy"/>
    <n v="0"/>
    <n v="0"/>
    <n v="0"/>
    <n v="3"/>
    <n v="21"/>
    <n v="0"/>
    <n v="60"/>
    <n v="0"/>
    <n v="4"/>
    <n v="0"/>
    <n v="0"/>
  </r>
  <r>
    <s v="MOCS  BR / SP Assoc"/>
    <x v="3"/>
    <m/>
    <s v="w_ct_m_mocs_br_sp_assoc"/>
    <n v="0"/>
    <n v="0"/>
    <n v="0"/>
    <n v="2"/>
    <n v="19"/>
    <n v="1"/>
    <n v="289"/>
    <n v="0"/>
    <n v="4"/>
    <n v="0"/>
    <n v="0"/>
  </r>
  <r>
    <s v="MOCS Case Characteristics"/>
    <x v="3"/>
    <m/>
    <s v="w_ct_m_mocs_case_characteristics"/>
    <n v="0"/>
    <n v="0"/>
    <n v="0"/>
    <n v="1"/>
    <n v="12"/>
    <n v="1"/>
    <n v="117"/>
    <n v="0"/>
    <n v="4"/>
    <n v="0"/>
    <n v="0"/>
  </r>
  <r>
    <s v="MOCS Courtroom Setup"/>
    <x v="3"/>
    <m/>
    <s v="w_ct_m_mocs_courtroom_setup"/>
    <n v="0"/>
    <n v="0"/>
    <n v="0"/>
    <n v="1"/>
    <n v="14"/>
    <n v="1"/>
    <n v="449"/>
    <n v="0"/>
    <n v="4"/>
    <n v="0"/>
    <n v="0"/>
  </r>
  <r>
    <s v="Mocs Docket Definition"/>
    <x v="3"/>
    <m/>
    <s v="w_ct_m_mocs_docket_definition"/>
    <n v="0"/>
    <n v="0"/>
    <n v="0"/>
    <n v="3"/>
    <n v="26"/>
    <n v="1"/>
    <n v="826"/>
    <n v="0"/>
    <n v="4"/>
    <n v="0"/>
    <n v="0"/>
  </r>
  <r>
    <s v="MOCS SP Registry"/>
    <x v="3"/>
    <m/>
    <s v="w_ct_m_mocs_sp_registry"/>
    <n v="0"/>
    <n v="0"/>
    <n v="0"/>
    <n v="1"/>
    <n v="14"/>
    <n v="1"/>
    <n v="191"/>
    <n v="0"/>
    <n v="4"/>
    <n v="0"/>
    <n v="0"/>
  </r>
  <r>
    <s v="MOCS WorkFlow/Groups/Scenario Assoc"/>
    <x v="3"/>
    <m/>
    <s v="w_ct_m_mocs_wk_grp_scenarios"/>
    <n v="0"/>
    <n v="0"/>
    <n v="5"/>
    <n v="7"/>
    <n v="54"/>
    <n v="1"/>
    <n v="1226"/>
    <n v="0"/>
    <n v="4"/>
    <n v="0"/>
    <n v="0"/>
  </r>
  <r>
    <s v="Name Maintenance"/>
    <x v="3"/>
    <m/>
    <s v="w_ct_m_name_maintenance"/>
    <n v="0"/>
    <n v="1"/>
    <n v="0"/>
    <n v="1"/>
    <n v="6"/>
    <n v="1"/>
    <n v="4"/>
    <n v="0"/>
    <n v="4"/>
    <n v="0"/>
    <n v="0"/>
  </r>
  <r>
    <s v="Person Maintenance"/>
    <x v="3"/>
    <m/>
    <s v="w_ct_m_pers_aug"/>
    <n v="0"/>
    <n v="6"/>
    <n v="10"/>
    <n v="17"/>
    <n v="144"/>
    <n v="1"/>
    <n v="5777"/>
    <n v="0"/>
    <n v="7"/>
    <n v="0"/>
    <n v="0"/>
  </r>
  <r>
    <s v="Pre-Calendar Night Court Dates"/>
    <x v="3"/>
    <m/>
    <s v="w_ct_m_precal_nightcourt_dates"/>
    <n v="0"/>
    <n v="0"/>
    <n v="0"/>
    <n v="1"/>
    <n v="14"/>
    <n v="1"/>
    <n v="256"/>
    <n v="0"/>
    <n v="4"/>
    <n v="0"/>
    <n v="0"/>
  </r>
  <r>
    <s v="w_ct_m_pwd_reset"/>
    <x v="3"/>
    <m/>
    <s v="w_ct_m_pwd_reset"/>
    <n v="0"/>
    <n v="1"/>
    <n v="0"/>
    <n v="2"/>
    <n v="5"/>
    <n v="0"/>
    <n v="0"/>
    <n v="0"/>
    <n v="4"/>
    <n v="0"/>
    <n v="0"/>
  </r>
  <r>
    <s v="Report Selection"/>
    <x v="3"/>
    <m/>
    <s v="w_ct_m_report_select_conv"/>
    <n v="0"/>
    <n v="1"/>
    <n v="0"/>
    <n v="1"/>
    <n v="5"/>
    <n v="0"/>
    <n v="0"/>
    <n v="0"/>
    <n v="5"/>
    <n v="0"/>
    <n v="0"/>
  </r>
  <r>
    <s v="Sentence Augmentation"/>
    <x v="3"/>
    <m/>
    <s v="w_ct_m_sent_aug"/>
    <n v="0"/>
    <n v="2"/>
    <n v="7"/>
    <n v="9"/>
    <n v="31"/>
    <n v="1"/>
    <n v="340"/>
    <n v="0"/>
    <n v="4"/>
    <n v="0"/>
    <n v="0"/>
  </r>
  <r>
    <s v="Summary Judgment"/>
    <x v="1"/>
    <m/>
    <s v="w_ct_m_summary_judgement"/>
    <n v="0"/>
    <n v="3"/>
    <n v="6"/>
    <n v="9"/>
    <n v="58"/>
    <n v="1"/>
    <n v="4158"/>
    <n v="0"/>
    <n v="6"/>
    <n v="0"/>
    <n v="0"/>
  </r>
  <r>
    <s v="Task Maintenance"/>
    <x v="3"/>
    <m/>
    <s v="w_ct_m_task_maintenance"/>
    <n v="3"/>
    <n v="0"/>
    <n v="0"/>
    <n v="2"/>
    <n v="22"/>
    <n v="1"/>
    <n v="96"/>
    <n v="0"/>
    <n v="4"/>
    <n v="0"/>
    <n v="0"/>
  </r>
  <r>
    <s v="VLAN IP Ranges"/>
    <x v="4"/>
    <m/>
    <s v="w_ct_m_vlan_ip_ranges"/>
    <n v="0"/>
    <n v="1"/>
    <n v="0"/>
    <n v="3"/>
    <n v="27"/>
    <n v="1"/>
    <n v="187"/>
    <n v="1"/>
    <n v="4"/>
    <n v="0"/>
    <n v="0"/>
  </r>
  <r>
    <s v="Appeal Print"/>
    <x v="3"/>
    <m/>
    <s v="w_ct_p_apl_lettr_printing"/>
    <n v="1"/>
    <n v="0"/>
    <n v="0"/>
    <n v="1"/>
    <n v="7"/>
    <n v="0"/>
    <n v="87"/>
    <n v="0"/>
    <n v="3"/>
    <n v="0"/>
    <n v="0"/>
  </r>
  <r>
    <s v="PA distribution schedule update"/>
    <x v="3"/>
    <m/>
    <s v="w_ct_pa_dist_mass_update"/>
    <n v="0"/>
    <n v="1"/>
    <n v="0"/>
    <n v="6"/>
    <n v="45"/>
    <n v="0"/>
    <n v="324"/>
    <n v="0"/>
    <n v="4"/>
    <n v="0"/>
    <n v="0"/>
  </r>
  <r>
    <s v="w_ct_pa_dist_mass_update_prompt"/>
    <x v="3"/>
    <m/>
    <s v="w_ct_pa_dist_mass_update_prompt"/>
    <n v="1"/>
    <n v="0"/>
    <n v="0"/>
    <n v="1"/>
    <n v="3"/>
    <n v="0"/>
    <n v="18"/>
    <n v="0"/>
    <n v="3"/>
    <n v="0"/>
    <n v="0"/>
  </r>
  <r>
    <s v="w_ct_r_case_amnesty_granted"/>
    <x v="3"/>
    <m/>
    <s v="w_ct_r_case_amnesty_granted"/>
    <n v="0"/>
    <n v="0"/>
    <n v="0"/>
    <n v="1"/>
    <n v="2"/>
    <n v="0"/>
    <n v="27"/>
    <n v="0"/>
    <n v="3"/>
    <n v="0"/>
    <n v="0"/>
  </r>
  <r>
    <s v="Appeal Maintenance"/>
    <x v="3"/>
    <m/>
    <s v="w_ct_apl_appeal_maintenance"/>
    <n v="0"/>
    <n v="11"/>
    <n v="6"/>
    <n v="10"/>
    <n v="95"/>
    <n v="1"/>
    <n v="2257"/>
    <n v="0"/>
    <n v="5"/>
    <n v="0"/>
    <n v="0"/>
  </r>
  <r>
    <s v="Document Selection"/>
    <x v="3"/>
    <m/>
    <s v="w_ct_apl_select_filed_docs"/>
    <n v="1"/>
    <n v="0"/>
    <n v="0"/>
    <n v="2"/>
    <n v="20"/>
    <n v="0"/>
    <n v="99"/>
    <n v="0"/>
    <n v="4"/>
    <n v="0"/>
    <n v="0"/>
  </r>
  <r>
    <s v="Case - Defendants ( Appeals)"/>
    <x v="3"/>
    <m/>
    <s v="w_ct_defn_lookup"/>
    <n v="1"/>
    <n v="0"/>
    <n v="0"/>
    <n v="2"/>
    <n v="12"/>
    <n v="0"/>
    <n v="475"/>
    <n v="0"/>
    <n v="4"/>
    <n v="0"/>
    <n v="0"/>
  </r>
  <r>
    <s v="Activity Augmentation"/>
    <x v="3"/>
    <m/>
    <s v="w_ct_m_act_aug"/>
    <n v="0"/>
    <n v="2"/>
    <n v="2"/>
    <n v="3"/>
    <n v="12"/>
    <n v="1"/>
    <n v="311"/>
    <n v="0"/>
    <n v="4"/>
    <n v="0"/>
    <n v="0"/>
  </r>
  <r>
    <s v="Appeal Activity Maintenance"/>
    <x v="3"/>
    <m/>
    <s v="w_ct_m_activity_code_maint"/>
    <n v="0"/>
    <n v="1"/>
    <n v="4"/>
    <n v="8"/>
    <n v="59"/>
    <n v="1"/>
    <n v="2137"/>
    <n v="0"/>
    <n v="5"/>
    <n v="0"/>
    <n v="0"/>
  </r>
  <r>
    <s v="Activity Maintenance"/>
    <x v="3"/>
    <m/>
    <s v="w_ct_m_activity_maintenance"/>
    <n v="0"/>
    <n v="0"/>
    <n v="0"/>
    <n v="2"/>
    <n v="19"/>
    <n v="1"/>
    <n v="97"/>
    <n v="0"/>
    <n v="4"/>
    <n v="0"/>
    <n v="0"/>
  </r>
  <r>
    <s v="w_ct_m_bail_sched_conv"/>
    <x v="3"/>
    <m/>
    <s v="w_ct_m_bail_sched_conv"/>
    <n v="0"/>
    <n v="0"/>
    <n v="2"/>
    <n v="3"/>
    <n v="12"/>
    <n v="1"/>
    <n v="60"/>
    <n v="0"/>
    <n v="4"/>
    <n v="0"/>
    <n v="0"/>
  </r>
  <r>
    <s v="Case Augmentation"/>
    <x v="3"/>
    <m/>
    <s v="w_ct_m_case_aug"/>
    <n v="0"/>
    <n v="2"/>
    <n v="7"/>
    <n v="12"/>
    <n v="36"/>
    <n v="1"/>
    <n v="321"/>
    <n v="0"/>
    <n v="4"/>
    <n v="0"/>
    <n v="0"/>
  </r>
  <r>
    <s v="Case Copy &amp; Restore"/>
    <x v="4"/>
    <m/>
    <s v="w_ct_m_case_backup_trg"/>
    <n v="0"/>
    <n v="0"/>
    <n v="2"/>
    <n v="4"/>
    <n v="24"/>
    <n v="0"/>
    <n v="918"/>
    <n v="0"/>
    <n v="4"/>
    <n v="0"/>
    <n v="0"/>
  </r>
  <r>
    <s v="Conversion Case Initiation"/>
    <x v="3"/>
    <m/>
    <s v="w_ct_m_case_maint_conv"/>
    <n v="2"/>
    <n v="13"/>
    <n v="11"/>
    <n v="24"/>
    <n v="214"/>
    <n v="1"/>
    <n v="11731"/>
    <n v="3"/>
    <n v="9"/>
    <n v="0"/>
    <n v="0"/>
  </r>
  <r>
    <s v="NCIC Case Initiation"/>
    <x v="1"/>
    <m/>
    <s v="w_ct_m_case_maint_ncic"/>
    <n v="2"/>
    <n v="5"/>
    <n v="11"/>
    <n v="24"/>
    <n v="420"/>
    <n v="1"/>
    <n v="22812"/>
    <n v="3"/>
    <n v="10"/>
    <n v="0"/>
    <n v="0"/>
  </r>
  <r>
    <s v="Missing Complaint"/>
    <x v="3"/>
    <m/>
    <s v="w_ct_m_case_missing_complaint_aug"/>
    <n v="0"/>
    <n v="5"/>
    <n v="8"/>
    <n v="17"/>
    <n v="157"/>
    <n v="1"/>
    <n v="5549"/>
    <n v="1"/>
    <n v="9"/>
    <n v="0"/>
    <n v="0"/>
  </r>
  <r>
    <s v="w_ct_m_case_status_maint ( Conversion)"/>
    <x v="3"/>
    <m/>
    <s v="w_ct_m_case_status_maint"/>
    <n v="0"/>
    <n v="1"/>
    <n v="0"/>
    <n v="2"/>
    <n v="6"/>
    <n v="0"/>
    <n v="22"/>
    <n v="0"/>
    <n v="4"/>
    <n v="0"/>
    <n v="0"/>
  </r>
  <r>
    <s v="Case Summary"/>
    <x v="3"/>
    <m/>
    <s v="w_ct_m_case_summary_1170"/>
    <n v="0"/>
    <n v="2"/>
    <n v="22"/>
    <n v="52"/>
    <n v="145"/>
    <n v="0"/>
    <n v="8136"/>
    <n v="1"/>
    <n v="7"/>
    <n v="0"/>
    <n v="0"/>
  </r>
  <r>
    <s v="Case Transfer ( Case Copy) - Not used"/>
    <x v="4"/>
    <m/>
    <s v="w_ct_m_case_transfer"/>
    <n v="0"/>
    <n v="1"/>
    <n v="0"/>
    <n v="2"/>
    <n v="21"/>
    <n v="0"/>
    <n v="145"/>
    <n v="0"/>
    <n v="4"/>
    <n v="0"/>
    <n v="0"/>
  </r>
  <r>
    <s v="Case Transfer"/>
    <x v="4"/>
    <m/>
    <s v="w_ct_m_case_transfer_cst"/>
    <n v="0"/>
    <n v="1"/>
    <n v="0"/>
    <n v="5"/>
    <n v="26"/>
    <n v="0"/>
    <n v="903"/>
    <n v="0"/>
    <n v="4"/>
    <n v="0"/>
    <n v="0"/>
  </r>
  <r>
    <s v="Check 21 Interface"/>
    <x v="3"/>
    <m/>
    <s v="w_ct_m_check_21_interface"/>
    <n v="0"/>
    <n v="0"/>
    <n v="0"/>
    <n v="1"/>
    <n v="8"/>
    <n v="0"/>
    <n v="4"/>
    <n v="0"/>
    <n v="4"/>
    <n v="0"/>
    <n v="0"/>
  </r>
  <r>
    <s v="Code Entries XWalk"/>
    <x v="3"/>
    <m/>
    <s v="w_ct_m_codetable_xwalk"/>
    <n v="0"/>
    <n v="0"/>
    <n v="2"/>
    <n v="8"/>
    <n v="33"/>
    <n v="1"/>
    <n v="574"/>
    <n v="0"/>
    <n v="4"/>
    <n v="0"/>
    <n v="0"/>
  </r>
  <r>
    <s v="List Search ( FTBTI window)"/>
    <x v="5"/>
    <m/>
    <s v="w_ct_r_cmmn_list_search"/>
    <n v="1"/>
    <n v="0"/>
    <n v="0"/>
    <n v="0"/>
    <n v="6"/>
    <n v="0"/>
    <n v="22"/>
    <n v="0"/>
    <n v="3"/>
    <n v="0"/>
    <n v="0"/>
  </r>
  <r>
    <s v="Defendant List ( Batch Payment window)"/>
    <x v="5"/>
    <m/>
    <s v="w_ct_r_cntr_batch_pmt_def_list"/>
    <n v="1"/>
    <n v="0"/>
    <n v="0"/>
    <n v="1"/>
    <n v="5"/>
    <n v="0"/>
    <n v="140"/>
    <n v="1"/>
    <n v="3"/>
    <n v="0"/>
    <n v="0"/>
  </r>
  <r>
    <s v="Other Case Balances ( Batch Payment window)"/>
    <x v="5"/>
    <m/>
    <s v="w_ct_r_cntr_case_balances"/>
    <n v="1"/>
    <n v="0"/>
    <n v="0"/>
    <n v="2"/>
    <n v="4"/>
    <n v="0"/>
    <n v="140"/>
    <n v="2"/>
    <n v="3"/>
    <n v="0"/>
    <n v="0"/>
  </r>
  <r>
    <s v="Docket Macro Preview ( launched from docket macro window)"/>
    <x v="5"/>
    <m/>
    <s v="w_ct_r_dckt_macro_preview"/>
    <n v="1"/>
    <n v="1"/>
    <n v="0"/>
    <n v="5"/>
    <n v="46"/>
    <n v="1"/>
    <n v="2797"/>
    <n v="1"/>
    <n v="3"/>
    <n v="0"/>
    <n v="0"/>
  </r>
  <r>
    <s v="Defendant Select Window ( agency payment)"/>
    <x v="3"/>
    <m/>
    <s v="w_ct_r_defendant_name"/>
    <n v="2"/>
    <n v="0"/>
    <n v="0"/>
    <n v="1"/>
    <n v="4"/>
    <n v="0"/>
    <n v="0"/>
    <n v="0"/>
    <n v="3"/>
    <n v="0"/>
    <n v="0"/>
  </r>
  <r>
    <s v="w_ct_r_ext_notes ( Launched from Job Eerror Log)"/>
    <x v="5"/>
    <m/>
    <s v="w_ct_r_ext_notes"/>
    <n v="1"/>
    <n v="0"/>
    <n v="0"/>
    <n v="1"/>
    <n v="4"/>
    <n v="0"/>
    <n v="15"/>
    <n v="0"/>
    <n v="3"/>
    <n v="0"/>
    <n v="0"/>
  </r>
  <r>
    <s v="Specify Check Number ( part of check approval process)"/>
    <x v="3"/>
    <m/>
    <s v="w_ct_r_fscl_chk_nbr"/>
    <n v="2"/>
    <n v="1"/>
    <n v="0"/>
    <n v="0"/>
    <n v="4"/>
    <n v="0"/>
    <n v="35"/>
    <n v="0"/>
    <n v="3"/>
    <n v="0"/>
    <n v="0"/>
  </r>
  <r>
    <s v="Quick Add (Person Maintenance)"/>
    <x v="3"/>
    <m/>
    <m/>
    <m/>
    <m/>
    <m/>
    <m/>
    <m/>
    <m/>
    <m/>
    <m/>
    <m/>
    <m/>
    <m/>
  </r>
  <r>
    <s v="Unavailable Court Dates (Case Maintenance)"/>
    <x v="3"/>
    <m/>
    <m/>
    <m/>
    <m/>
    <m/>
    <m/>
    <m/>
    <m/>
    <m/>
    <m/>
    <m/>
    <m/>
    <m/>
  </r>
  <r>
    <s v="Case Dates (Case Maintenance)"/>
    <x v="3"/>
    <m/>
    <m/>
    <m/>
    <m/>
    <m/>
    <m/>
    <m/>
    <m/>
    <m/>
    <m/>
    <m/>
    <m/>
    <m/>
  </r>
  <r>
    <s v="Other Cases (Case Maintenance)"/>
    <x v="3"/>
    <m/>
    <m/>
    <m/>
    <m/>
    <m/>
    <m/>
    <m/>
    <m/>
    <m/>
    <m/>
    <m/>
    <m/>
    <m/>
  </r>
  <r>
    <s v="ATP Elig? Button (Case Summary)"/>
    <x v="3"/>
    <m/>
    <m/>
    <m/>
    <m/>
    <m/>
    <m/>
    <m/>
    <m/>
    <m/>
    <m/>
    <m/>
    <m/>
    <m/>
  </r>
  <r>
    <s v="Close Elig? Button (Case Summary)"/>
    <x v="3"/>
    <m/>
    <m/>
    <m/>
    <m/>
    <m/>
    <m/>
    <m/>
    <m/>
    <m/>
    <m/>
    <m/>
    <m/>
    <m/>
  </r>
  <r>
    <s v="Post Bond (Bail Entry, insert/add row)"/>
    <x v="3"/>
    <m/>
    <m/>
    <m/>
    <m/>
    <m/>
    <m/>
    <m/>
    <m/>
    <m/>
    <m/>
    <m/>
    <m/>
    <m/>
  </r>
  <r>
    <s v="Agency Unit Address List (Bail Entry, arrow button)"/>
    <x v="3"/>
    <m/>
    <m/>
    <m/>
    <m/>
    <m/>
    <m/>
    <m/>
    <m/>
    <m/>
    <m/>
    <m/>
    <m/>
    <m/>
  </r>
  <r>
    <s v="Traffic School Payment Plan (Counter Payment)"/>
    <x v="3"/>
    <m/>
    <m/>
    <m/>
    <m/>
    <m/>
    <m/>
    <m/>
    <m/>
    <m/>
    <m/>
    <m/>
    <m/>
    <m/>
  </r>
  <r>
    <s v="Multicase Entry"/>
    <x v="3"/>
    <m/>
    <m/>
    <m/>
    <m/>
    <m/>
    <m/>
    <m/>
    <m/>
    <m/>
    <m/>
    <m/>
    <m/>
    <m/>
  </r>
  <r>
    <s v="Courtroom Print"/>
    <x v="3"/>
    <m/>
    <m/>
    <m/>
    <m/>
    <m/>
    <m/>
    <m/>
    <m/>
    <m/>
    <m/>
    <m/>
    <m/>
    <m/>
  </r>
  <r>
    <s v="Remittance Distribution (Case Payment History, double click remit)"/>
    <x v="3"/>
    <m/>
    <m/>
    <m/>
    <m/>
    <m/>
    <m/>
    <m/>
    <m/>
    <m/>
    <m/>
    <m/>
    <m/>
    <m/>
  </r>
  <r>
    <s v="Folder icon button (OneOC - Clerk Review Module, launches PDF image based on Report or Essay columns)"/>
    <x v="3"/>
    <m/>
    <m/>
    <m/>
    <m/>
    <m/>
    <m/>
    <m/>
    <m/>
    <m/>
    <m/>
    <m/>
    <m/>
    <m/>
  </r>
  <r>
    <m/>
    <x v="3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82DF13-28DF-49D6-BB6C-F189822407AD}" name="PivotTable1" cacheId="12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8">
        <item x="6"/>
        <item x="4"/>
        <item x="5"/>
        <item x="1"/>
        <item x="2"/>
        <item x="0"/>
        <item x="3"/>
        <item t="default"/>
      </items>
    </pivotField>
    <pivotField axis="axisCol" showAll="0">
      <items count="3">
        <item n="Internal - CTS" x="1"/>
        <item n="Business" x="0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Group" fld="13" subtotal="count" baseField="0" baseItem="0"/>
  </dataFields>
  <formats count="10">
    <format dxfId="12">
      <pivotArea type="all" dataOnly="0" outline="0" fieldPosition="0"/>
    </format>
    <format dxfId="13">
      <pivotArea outline="0" collapsedLevelsAreSubtotals="1" fieldPosition="0"/>
    </format>
    <format dxfId="14">
      <pivotArea type="origin" dataOnly="0" labelOnly="1" outline="0" fieldPosition="0"/>
    </format>
    <format dxfId="15">
      <pivotArea field="14" type="button" dataOnly="0" labelOnly="1" outline="0" axis="axisCol" fieldPosition="0"/>
    </format>
    <format dxfId="16">
      <pivotArea type="topRight" dataOnly="0" labelOnly="1" outline="0" fieldPosition="0"/>
    </format>
    <format dxfId="17">
      <pivotArea field="13" type="button" dataOnly="0" labelOnly="1" outline="0" axis="axisRow" fieldPosition="0"/>
    </format>
    <format dxfId="18">
      <pivotArea dataOnly="0" labelOnly="1" fieldPosition="0">
        <references count="1">
          <reference field="13" count="0"/>
        </references>
      </pivotArea>
    </format>
    <format dxfId="19">
      <pivotArea dataOnly="0" labelOnly="1" grandRow="1" outline="0" fieldPosition="0"/>
    </format>
    <format dxfId="20">
      <pivotArea dataOnly="0" labelOnly="1" fieldPosition="0">
        <references count="1">
          <reference field="14" count="0"/>
        </references>
      </pivotArea>
    </format>
    <format dxfId="2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3B428-D40E-463E-A5C7-41807083C70B}" name="PivotTable1" cacheId="12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11" firstHeaderRow="1" firstDataRow="1" firstDataCol="1"/>
  <pivotFields count="15">
    <pivotField showAll="0"/>
    <pivotField axis="axisRow" dataField="1" showAll="0" sortType="ascending">
      <items count="9">
        <item x="6"/>
        <item x="5"/>
        <item m="1" x="7"/>
        <item x="4"/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 v="7"/>
    </i>
    <i>
      <x/>
    </i>
    <i>
      <x v="6"/>
    </i>
    <i>
      <x v="5"/>
    </i>
    <i>
      <x v="4"/>
    </i>
    <i>
      <x v="1"/>
    </i>
    <i>
      <x v="3"/>
    </i>
    <i t="grand">
      <x/>
    </i>
  </rowItems>
  <colItems count="1">
    <i/>
  </colItems>
  <dataFields count="1">
    <dataField name="Count of Group" fld="1" subtotal="count" baseField="0" baseItem="0"/>
  </dataFields>
  <formats count="6">
    <format dxfId="6">
      <pivotArea type="all" dataOnly="0" outline="0" fieldPosition="0"/>
    </format>
    <format dxfId="7">
      <pivotArea outline="0" collapsedLevelsAreSubtotals="1" fieldPosition="0"/>
    </format>
    <format dxfId="8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5CC8A-7DEE-4BA7-9CE0-CC8C8A390C71}" name="PivotTable1" cacheId="12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B5:C13" firstHeaderRow="1" firstDataRow="1" firstDataCol="1"/>
  <pivotFields count="15">
    <pivotField showAll="0"/>
    <pivotField axis="axisRow" dataField="1" showAll="0" sortType="ascending">
      <items count="9">
        <item x="6"/>
        <item x="5"/>
        <item m="1" x="7"/>
        <item x="4"/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 v="7"/>
    </i>
    <i>
      <x/>
    </i>
    <i>
      <x v="6"/>
    </i>
    <i>
      <x v="5"/>
    </i>
    <i>
      <x v="4"/>
    </i>
    <i>
      <x v="1"/>
    </i>
    <i>
      <x v="3"/>
    </i>
    <i t="grand">
      <x/>
    </i>
  </rowItems>
  <colItems count="1">
    <i/>
  </colItems>
  <dataFields count="1">
    <dataField name="Count of Group" fld="1" subtotal="count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072C9-CD29-4138-A09D-80412AE14B01}">
  <dimension ref="A3:K23"/>
  <sheetViews>
    <sheetView zoomScale="115" zoomScaleNormal="115" workbookViewId="0">
      <selection activeCell="A19" sqref="A19"/>
    </sheetView>
  </sheetViews>
  <sheetFormatPr defaultRowHeight="15"/>
  <cols>
    <col min="1" max="1" width="15" bestFit="1" customWidth="1"/>
    <col min="2" max="2" width="16.85546875" bestFit="1" customWidth="1"/>
    <col min="3" max="3" width="9.140625" bestFit="1" customWidth="1"/>
    <col min="4" max="4" width="11.28515625" bestFit="1" customWidth="1"/>
    <col min="8" max="8" width="18.5703125" customWidth="1"/>
    <col min="11" max="11" width="33.7109375" customWidth="1"/>
  </cols>
  <sheetData>
    <row r="3" spans="1:11">
      <c r="A3" s="105" t="s">
        <v>0</v>
      </c>
      <c r="B3" s="105" t="s">
        <v>1</v>
      </c>
      <c r="C3" s="5"/>
      <c r="D3" s="5"/>
    </row>
    <row r="4" spans="1:11">
      <c r="A4" s="105" t="s">
        <v>2</v>
      </c>
      <c r="B4" s="5" t="s">
        <v>3</v>
      </c>
      <c r="C4" s="5" t="s">
        <v>4</v>
      </c>
      <c r="D4" s="5" t="s">
        <v>5</v>
      </c>
      <c r="H4" s="107" t="s">
        <v>2</v>
      </c>
      <c r="I4" s="107" t="s">
        <v>3</v>
      </c>
      <c r="J4" s="107" t="s">
        <v>4</v>
      </c>
      <c r="K4" s="107" t="s">
        <v>5</v>
      </c>
    </row>
    <row r="5" spans="1:11">
      <c r="A5" s="106" t="s">
        <v>6</v>
      </c>
      <c r="B5" s="5"/>
      <c r="C5" s="5">
        <v>5</v>
      </c>
      <c r="D5" s="5">
        <v>5</v>
      </c>
      <c r="H5" s="106" t="s">
        <v>6</v>
      </c>
      <c r="I5" s="5">
        <f xml:space="preserve"> (G22*GETPIVOTDATA("Group",$A$3,"Group","High","CTS","Internal - CTS"))</f>
        <v>0</v>
      </c>
      <c r="J5" s="5">
        <f xml:space="preserve"> (H22*GETPIVOTDATA("Group",$A$3,"Group","High","CTS","Internal - CTS"))</f>
        <v>0</v>
      </c>
      <c r="K5" s="5">
        <v>5</v>
      </c>
    </row>
    <row r="6" spans="1:11">
      <c r="A6" s="106" t="s">
        <v>7</v>
      </c>
      <c r="B6" s="5">
        <v>8</v>
      </c>
      <c r="C6" s="5">
        <v>38</v>
      </c>
      <c r="D6" s="5">
        <v>46</v>
      </c>
      <c r="H6" s="106" t="s">
        <v>7</v>
      </c>
      <c r="I6" s="5">
        <f xml:space="preserve"> (GETPIVOTDATA("Group",$A$3,"Group","Low","CTS","Internal - CTS")*G18)</f>
        <v>44</v>
      </c>
      <c r="J6" s="5">
        <f xml:space="preserve"> (GETPIVOTDATA("Group",$A$3,"Group","Low","CTS","Internal - CTS")*H18)</f>
        <v>72</v>
      </c>
      <c r="K6" s="5">
        <v>46</v>
      </c>
    </row>
    <row r="7" spans="1:11">
      <c r="A7" s="106" t="s">
        <v>8</v>
      </c>
      <c r="B7" s="5">
        <v>10</v>
      </c>
      <c r="C7" s="5">
        <v>62</v>
      </c>
      <c r="D7" s="5">
        <v>72</v>
      </c>
      <c r="H7" s="106" t="s">
        <v>8</v>
      </c>
      <c r="I7" s="5">
        <f xml:space="preserve"> ( GETPIVOTDATA("Group",$A$3,"Group","Low High","CTS","Internal - CTS")*G19)</f>
        <v>130</v>
      </c>
      <c r="J7" s="5">
        <f xml:space="preserve"> ( GETPIVOTDATA("Group",$A$3,"Group","Low High","CTS","Internal - CTS")*H19)</f>
        <v>220</v>
      </c>
      <c r="K7" s="5">
        <v>72</v>
      </c>
    </row>
    <row r="8" spans="1:11">
      <c r="A8" s="106" t="s">
        <v>9</v>
      </c>
      <c r="B8" s="5">
        <v>4</v>
      </c>
      <c r="C8" s="5">
        <v>39</v>
      </c>
      <c r="D8" s="5">
        <v>43</v>
      </c>
      <c r="H8" s="106" t="s">
        <v>9</v>
      </c>
      <c r="I8" s="5">
        <f>(GETPIVOTDATA("Group",$A$3,"Group","Medium","CTS","Internal - CTS")*G20)</f>
        <v>74</v>
      </c>
      <c r="J8" s="5">
        <f>(GETPIVOTDATA("Group",$A$3,"Group","Medium","CTS","Internal - CTS")*H20)</f>
        <v>120</v>
      </c>
      <c r="K8" s="5">
        <v>43</v>
      </c>
    </row>
    <row r="9" spans="1:11">
      <c r="A9" s="106" t="s">
        <v>10</v>
      </c>
      <c r="B9" s="5">
        <v>4</v>
      </c>
      <c r="C9" s="5">
        <v>22</v>
      </c>
      <c r="D9" s="5">
        <v>26</v>
      </c>
      <c r="H9" s="106" t="s">
        <v>10</v>
      </c>
      <c r="I9" s="5">
        <f xml:space="preserve"> (GETPIVOTDATA("Group",$A$3,"Group","Medium high","CTS","Internal - CTS")*G21)</f>
        <v>104</v>
      </c>
      <c r="J9" s="5">
        <f xml:space="preserve"> (GETPIVOTDATA("Group",$A$3,"Group","Medium high","CTS","Internal - CTS")*H21)</f>
        <v>164</v>
      </c>
      <c r="K9" s="5">
        <v>26</v>
      </c>
    </row>
    <row r="10" spans="1:11">
      <c r="A10" s="106" t="s">
        <v>11</v>
      </c>
      <c r="B10" s="5"/>
      <c r="C10" s="5">
        <v>7</v>
      </c>
      <c r="D10" s="5">
        <v>7</v>
      </c>
      <c r="H10" s="106" t="s">
        <v>11</v>
      </c>
      <c r="I10" s="5">
        <f xml:space="preserve"> (GETPIVOTDATA("Group",$A$3,"Group","Very High","CTS","Internal - CTS")*G23)</f>
        <v>0</v>
      </c>
      <c r="J10" s="5">
        <f xml:space="preserve"> (GETPIVOTDATA("Group",$A$3,"Group","Very High","CTS","Internal - CTS")*H23)</f>
        <v>0</v>
      </c>
      <c r="K10" s="5">
        <v>7</v>
      </c>
    </row>
    <row r="11" spans="1:11">
      <c r="A11" s="106" t="s">
        <v>12</v>
      </c>
      <c r="B11" s="5"/>
      <c r="C11" s="5"/>
      <c r="D11" s="5"/>
      <c r="H11" s="106" t="s">
        <v>12</v>
      </c>
      <c r="I11" s="5"/>
      <c r="J11" s="5"/>
      <c r="K11" s="5"/>
    </row>
    <row r="12" spans="1:11">
      <c r="A12" s="106" t="s">
        <v>5</v>
      </c>
      <c r="B12" s="5">
        <v>26</v>
      </c>
      <c r="C12" s="5">
        <v>173</v>
      </c>
      <c r="D12" s="5">
        <v>199</v>
      </c>
      <c r="H12" s="108" t="s">
        <v>5</v>
      </c>
      <c r="I12" s="107">
        <v>26</v>
      </c>
      <c r="J12" s="107">
        <v>173</v>
      </c>
      <c r="K12" s="107">
        <v>199</v>
      </c>
    </row>
    <row r="17" spans="1:8" ht="45">
      <c r="A17" s="102" t="s">
        <v>13</v>
      </c>
      <c r="B17" s="102" t="s">
        <v>14</v>
      </c>
      <c r="C17" s="102" t="s">
        <v>15</v>
      </c>
      <c r="D17" s="103" t="s">
        <v>16</v>
      </c>
      <c r="E17" s="103" t="s">
        <v>17</v>
      </c>
      <c r="F17" s="103" t="s">
        <v>18</v>
      </c>
      <c r="G17" s="104" t="s">
        <v>19</v>
      </c>
    </row>
    <row r="18" spans="1:8">
      <c r="A18" s="23" t="s">
        <v>7</v>
      </c>
      <c r="B18" s="98">
        <v>2</v>
      </c>
      <c r="C18" s="99">
        <v>1</v>
      </c>
      <c r="D18" s="100">
        <v>1</v>
      </c>
      <c r="E18" s="100">
        <v>1</v>
      </c>
      <c r="F18" s="101">
        <v>0.5</v>
      </c>
      <c r="G18" s="97">
        <f xml:space="preserve"> SUM(B18:F18)</f>
        <v>5.5</v>
      </c>
      <c r="H18" s="97">
        <f xml:space="preserve"> SUM(C18:G18)</f>
        <v>9</v>
      </c>
    </row>
    <row r="19" spans="1:8">
      <c r="A19" s="23" t="s">
        <v>8</v>
      </c>
      <c r="B19" s="98">
        <v>4</v>
      </c>
      <c r="C19" s="99">
        <v>2</v>
      </c>
      <c r="D19" s="100">
        <v>4</v>
      </c>
      <c r="E19" s="100">
        <v>2</v>
      </c>
      <c r="F19" s="101">
        <v>1</v>
      </c>
      <c r="G19" s="97">
        <f t="shared" ref="G19:H22" si="0" xml:space="preserve"> SUM(B19:F19)</f>
        <v>13</v>
      </c>
      <c r="H19" s="97">
        <f t="shared" si="0"/>
        <v>22</v>
      </c>
    </row>
    <row r="20" spans="1:8">
      <c r="A20" s="23" t="s">
        <v>9</v>
      </c>
      <c r="B20" s="98">
        <v>7</v>
      </c>
      <c r="C20" s="99">
        <v>2</v>
      </c>
      <c r="D20" s="100">
        <v>5</v>
      </c>
      <c r="E20" s="100">
        <v>3</v>
      </c>
      <c r="F20" s="101">
        <v>1.5</v>
      </c>
      <c r="G20" s="97">
        <f t="shared" si="0"/>
        <v>18.5</v>
      </c>
      <c r="H20" s="97">
        <f t="shared" si="0"/>
        <v>30</v>
      </c>
    </row>
    <row r="21" spans="1:8">
      <c r="A21" s="23" t="s">
        <v>10</v>
      </c>
      <c r="B21" s="98">
        <v>11</v>
      </c>
      <c r="C21" s="99">
        <v>3</v>
      </c>
      <c r="D21" s="100">
        <v>6</v>
      </c>
      <c r="E21" s="100">
        <v>4</v>
      </c>
      <c r="F21" s="101">
        <v>2</v>
      </c>
      <c r="G21" s="97">
        <f t="shared" si="0"/>
        <v>26</v>
      </c>
      <c r="H21" s="97">
        <f t="shared" si="0"/>
        <v>41</v>
      </c>
    </row>
    <row r="22" spans="1:8">
      <c r="A22" s="23" t="s">
        <v>6</v>
      </c>
      <c r="B22" s="98">
        <v>13</v>
      </c>
      <c r="C22" s="99">
        <v>3</v>
      </c>
      <c r="D22" s="100">
        <v>7</v>
      </c>
      <c r="E22" s="100">
        <v>5</v>
      </c>
      <c r="F22" s="101">
        <v>3</v>
      </c>
      <c r="G22" s="97">
        <f t="shared" si="0"/>
        <v>31</v>
      </c>
      <c r="H22" s="97">
        <f t="shared" si="0"/>
        <v>49</v>
      </c>
    </row>
    <row r="23" spans="1:8">
      <c r="A23" s="23" t="s">
        <v>11</v>
      </c>
      <c r="B23" s="98">
        <v>15</v>
      </c>
      <c r="C23" s="99">
        <v>4</v>
      </c>
      <c r="D23" s="100">
        <v>7</v>
      </c>
      <c r="E23" s="100">
        <v>5</v>
      </c>
      <c r="F23" s="101">
        <v>4</v>
      </c>
      <c r="G23" s="97">
        <f xml:space="preserve"> SUM(B23:F23)</f>
        <v>35</v>
      </c>
      <c r="H23" s="97">
        <f xml:space="preserve"> SUM(C23:G23)</f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87"/>
  <sheetViews>
    <sheetView tabSelected="1" zoomScale="85" zoomScaleNormal="85" workbookViewId="0">
      <pane ySplit="1" topLeftCell="A2" activePane="bottomLeft" state="frozen"/>
      <selection pane="bottomLeft" activeCell="D185" sqref="D185"/>
    </sheetView>
  </sheetViews>
  <sheetFormatPr defaultColWidth="9.140625" defaultRowHeight="15"/>
  <cols>
    <col min="1" max="1" width="56.5703125" style="75" bestFit="1" customWidth="1"/>
    <col min="2" max="2" width="17.7109375" style="7" customWidth="1"/>
    <col min="3" max="3" width="19.85546875" style="7" customWidth="1"/>
    <col min="4" max="4" width="34.42578125" style="5" customWidth="1"/>
    <col min="5" max="5" width="16.5703125" style="5" bestFit="1" customWidth="1"/>
    <col min="6" max="6" width="25.140625" style="5" customWidth="1"/>
    <col min="7" max="7" width="14.5703125" style="5" customWidth="1"/>
    <col min="8" max="8" width="10.28515625" style="13" bestFit="1" customWidth="1"/>
    <col min="9" max="9" width="12.42578125" style="5" bestFit="1" customWidth="1"/>
    <col min="10" max="10" width="15.85546875" style="5" bestFit="1" customWidth="1"/>
    <col min="11" max="11" width="15.42578125" style="5" bestFit="1" customWidth="1"/>
    <col min="12" max="12" width="10.7109375" style="5" bestFit="1" customWidth="1"/>
    <col min="13" max="13" width="11.42578125" style="13" bestFit="1" customWidth="1"/>
    <col min="14" max="14" width="14.140625" style="5" bestFit="1" customWidth="1"/>
    <col min="15" max="15" width="14.140625" style="36" customWidth="1"/>
    <col min="16" max="16" width="19.85546875" style="7" customWidth="1"/>
    <col min="17" max="17" width="14.5703125" style="5" customWidth="1"/>
    <col min="18" max="18" width="11.7109375" style="5" bestFit="1" customWidth="1"/>
    <col min="19" max="19" width="13.85546875" style="5" customWidth="1"/>
    <col min="20" max="20" width="17.85546875" style="5" bestFit="1" customWidth="1"/>
    <col min="21" max="21" width="16.42578125" style="5" customWidth="1"/>
    <col min="22" max="22" width="12.85546875" style="5" customWidth="1"/>
    <col min="23" max="23" width="10" style="5" customWidth="1"/>
    <col min="24" max="24" width="11.28515625" style="5" customWidth="1"/>
    <col min="25" max="25" width="12.85546875" style="5" customWidth="1"/>
    <col min="26" max="16384" width="9.140625" style="5"/>
  </cols>
  <sheetData>
    <row r="1" spans="1:27" s="1" customFormat="1" ht="48.75" customHeight="1">
      <c r="A1" s="1" t="s">
        <v>20</v>
      </c>
      <c r="B1" s="2" t="s">
        <v>21</v>
      </c>
      <c r="C1" s="111" t="s">
        <v>22</v>
      </c>
      <c r="D1" s="5" t="s">
        <v>23</v>
      </c>
      <c r="E1" s="1" t="s">
        <v>24</v>
      </c>
      <c r="F1" s="1" t="s">
        <v>25</v>
      </c>
      <c r="G1" s="1" t="s">
        <v>26</v>
      </c>
      <c r="H1" s="1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1" t="s">
        <v>32</v>
      </c>
      <c r="N1" s="1" t="s">
        <v>33</v>
      </c>
      <c r="O1" s="33" t="s">
        <v>34</v>
      </c>
      <c r="P1" s="111" t="s">
        <v>35</v>
      </c>
      <c r="Q1" s="1" t="s">
        <v>36</v>
      </c>
    </row>
    <row r="2" spans="1:27" s="3" customFormat="1">
      <c r="A2" s="74" t="s">
        <v>37</v>
      </c>
      <c r="B2" s="3" t="s">
        <v>11</v>
      </c>
      <c r="C2" s="5"/>
      <c r="D2" s="5"/>
      <c r="E2" s="4"/>
      <c r="F2" s="4"/>
      <c r="G2" s="4"/>
      <c r="H2" s="12"/>
      <c r="I2" s="4"/>
      <c r="J2" s="4"/>
      <c r="K2" s="4"/>
      <c r="L2" s="4"/>
      <c r="M2" s="12"/>
      <c r="N2" s="4"/>
      <c r="O2" s="34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s="3" customFormat="1">
      <c r="A3" s="74" t="s">
        <v>38</v>
      </c>
      <c r="B3" s="7" t="s">
        <v>9</v>
      </c>
      <c r="C3" s="7"/>
      <c r="D3" s="5"/>
      <c r="E3" s="4"/>
      <c r="F3" s="4"/>
      <c r="G3" s="4"/>
      <c r="H3" s="12"/>
      <c r="I3" s="4"/>
      <c r="J3" s="4"/>
      <c r="K3" s="4"/>
      <c r="L3" s="4"/>
      <c r="M3" s="12"/>
      <c r="N3" s="4"/>
      <c r="O3" s="34"/>
      <c r="P3" s="7"/>
      <c r="Q3" s="5"/>
      <c r="R3" s="5"/>
      <c r="S3" s="5"/>
      <c r="T3" s="41" t="s">
        <v>39</v>
      </c>
      <c r="U3" s="47" t="s">
        <v>40</v>
      </c>
      <c r="V3" s="5"/>
      <c r="W3" s="5"/>
      <c r="X3" s="5"/>
      <c r="Y3" s="5"/>
      <c r="Z3" s="5"/>
      <c r="AA3" s="5"/>
    </row>
    <row r="4" spans="1:27" s="3" customFormat="1">
      <c r="A4" s="74" t="s">
        <v>41</v>
      </c>
      <c r="B4" s="5" t="s">
        <v>10</v>
      </c>
      <c r="C4" s="5"/>
      <c r="D4" s="5"/>
      <c r="E4" s="4"/>
      <c r="F4" s="4"/>
      <c r="G4" s="4"/>
      <c r="H4" s="12"/>
      <c r="I4" s="4"/>
      <c r="J4" s="4"/>
      <c r="K4" s="4"/>
      <c r="L4" s="4"/>
      <c r="M4" s="12"/>
      <c r="N4" s="4"/>
      <c r="O4" s="34"/>
      <c r="P4" s="5"/>
      <c r="Q4" s="5"/>
      <c r="R4" s="5"/>
      <c r="S4" s="5"/>
      <c r="T4" s="38" t="s">
        <v>42</v>
      </c>
      <c r="U4" s="64" t="s">
        <v>43</v>
      </c>
      <c r="V4" s="5"/>
      <c r="W4" s="5"/>
      <c r="X4" s="5"/>
      <c r="Y4" s="5"/>
      <c r="Z4" s="5"/>
      <c r="AA4" s="5"/>
    </row>
    <row r="5" spans="1:27" s="3" customFormat="1">
      <c r="A5" s="74" t="s">
        <v>44</v>
      </c>
      <c r="B5" s="5"/>
      <c r="C5" s="5"/>
      <c r="D5" s="5"/>
      <c r="E5" s="4"/>
      <c r="F5" s="4"/>
      <c r="G5" s="4"/>
      <c r="H5" s="12"/>
      <c r="I5" s="4"/>
      <c r="J5" s="4"/>
      <c r="K5" s="4"/>
      <c r="L5" s="4"/>
      <c r="M5" s="12"/>
      <c r="N5" s="4"/>
      <c r="O5" s="34"/>
      <c r="P5" s="5"/>
      <c r="Q5" s="5"/>
      <c r="R5" s="5"/>
      <c r="S5" s="5"/>
      <c r="T5" s="39" t="s">
        <v>45</v>
      </c>
      <c r="U5" s="65" t="s">
        <v>46</v>
      </c>
      <c r="V5" s="5"/>
      <c r="W5" s="5"/>
      <c r="X5" s="5"/>
      <c r="Y5" s="5"/>
      <c r="Z5" s="5"/>
      <c r="AA5" s="5"/>
    </row>
    <row r="6" spans="1:27" s="3" customFormat="1">
      <c r="A6" s="74" t="s">
        <v>47</v>
      </c>
      <c r="B6" s="5"/>
      <c r="C6" s="5"/>
      <c r="D6" s="5"/>
      <c r="E6" s="4"/>
      <c r="F6" s="4"/>
      <c r="G6" s="4"/>
      <c r="H6" s="12"/>
      <c r="I6" s="4"/>
      <c r="J6" s="4"/>
      <c r="K6" s="4"/>
      <c r="L6" s="4"/>
      <c r="M6" s="12"/>
      <c r="N6" s="4"/>
      <c r="O6" s="34"/>
      <c r="P6" s="5"/>
      <c r="Q6" s="5"/>
      <c r="R6" s="5"/>
      <c r="S6" s="5"/>
      <c r="T6" s="40" t="s">
        <v>48</v>
      </c>
      <c r="U6" s="5"/>
      <c r="V6" s="5"/>
      <c r="W6" s="5"/>
      <c r="X6" s="5"/>
      <c r="Y6" s="5"/>
      <c r="Z6" s="5"/>
      <c r="AA6" s="5"/>
    </row>
    <row r="7" spans="1:27" s="3" customFormat="1">
      <c r="A7" s="74" t="s">
        <v>49</v>
      </c>
      <c r="B7" s="5"/>
      <c r="C7" s="5"/>
      <c r="D7" s="5"/>
      <c r="E7" s="4"/>
      <c r="F7" s="4"/>
      <c r="G7" s="4"/>
      <c r="H7" s="12"/>
      <c r="I7" s="4"/>
      <c r="J7" s="4"/>
      <c r="K7" s="4"/>
      <c r="L7" s="4"/>
      <c r="M7" s="12"/>
      <c r="N7" s="4"/>
      <c r="O7" s="34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s="3" customFormat="1">
      <c r="A8" s="74" t="s">
        <v>50</v>
      </c>
      <c r="B8" s="5" t="s">
        <v>8</v>
      </c>
      <c r="C8" s="5"/>
      <c r="D8" s="5"/>
      <c r="E8" s="4"/>
      <c r="F8" s="4"/>
      <c r="G8" s="4"/>
      <c r="H8" s="12"/>
      <c r="I8" s="4"/>
      <c r="J8" s="4"/>
      <c r="K8" s="4"/>
      <c r="L8" s="4"/>
      <c r="M8" s="12"/>
      <c r="N8" s="4"/>
      <c r="O8" s="34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s="3" customFormat="1">
      <c r="A9" s="74" t="s">
        <v>51</v>
      </c>
      <c r="B9" s="5" t="s">
        <v>7</v>
      </c>
      <c r="C9" s="5"/>
      <c r="D9" s="5"/>
      <c r="E9" s="4"/>
      <c r="F9" s="4"/>
      <c r="G9" s="4"/>
      <c r="H9" s="12"/>
      <c r="I9" s="4"/>
      <c r="J9" s="4"/>
      <c r="K9" s="4"/>
      <c r="L9" s="4"/>
      <c r="M9" s="12"/>
      <c r="N9" s="4"/>
      <c r="O9" s="34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>
      <c r="A10" s="75" t="s">
        <v>52</v>
      </c>
      <c r="B10" s="3" t="s">
        <v>10</v>
      </c>
      <c r="C10" s="5"/>
      <c r="D10" s="5" t="s">
        <v>53</v>
      </c>
      <c r="E10" s="6">
        <v>25</v>
      </c>
      <c r="F10" s="6">
        <v>8</v>
      </c>
      <c r="G10" s="6">
        <v>0</v>
      </c>
      <c r="H10" s="12">
        <v>3</v>
      </c>
      <c r="I10" s="6">
        <v>32</v>
      </c>
      <c r="J10" s="6">
        <v>0</v>
      </c>
      <c r="K10" s="6">
        <v>1594</v>
      </c>
      <c r="L10" s="6">
        <v>0</v>
      </c>
      <c r="M10" s="12">
        <v>5</v>
      </c>
      <c r="N10" s="6">
        <v>1974625</v>
      </c>
      <c r="O10" s="35">
        <f xml:space="preserve"> (N10/200)</f>
        <v>9873.125</v>
      </c>
      <c r="P10" s="5"/>
      <c r="R10" s="17" t="s">
        <v>54</v>
      </c>
      <c r="S10" s="17"/>
      <c r="T10" s="17" t="s">
        <v>14</v>
      </c>
      <c r="U10" s="17" t="s">
        <v>15</v>
      </c>
    </row>
    <row r="11" spans="1:27">
      <c r="A11" s="75" t="s">
        <v>55</v>
      </c>
      <c r="B11" s="7" t="s">
        <v>9</v>
      </c>
      <c r="D11" s="5" t="s">
        <v>56</v>
      </c>
      <c r="E11" s="6">
        <v>22</v>
      </c>
      <c r="F11" s="6">
        <v>0</v>
      </c>
      <c r="G11" s="6">
        <v>0</v>
      </c>
      <c r="H11" s="12">
        <v>2</v>
      </c>
      <c r="I11" s="6">
        <v>12</v>
      </c>
      <c r="J11" s="6">
        <v>0</v>
      </c>
      <c r="K11" s="6">
        <v>563</v>
      </c>
      <c r="L11" s="6">
        <v>0</v>
      </c>
      <c r="M11" s="12">
        <v>4</v>
      </c>
      <c r="N11" s="6">
        <v>1878026</v>
      </c>
      <c r="O11" s="35">
        <f t="shared" ref="O11:O74" si="0" xml:space="preserve"> (N11/200)</f>
        <v>9390.1299999999992</v>
      </c>
      <c r="S11" s="3" t="s">
        <v>7</v>
      </c>
      <c r="T11" s="5">
        <v>5</v>
      </c>
    </row>
    <row r="12" spans="1:27">
      <c r="A12" s="75" t="s">
        <v>57</v>
      </c>
      <c r="B12" s="3" t="s">
        <v>11</v>
      </c>
      <c r="C12" s="5"/>
      <c r="D12" s="5" t="s">
        <v>58</v>
      </c>
      <c r="E12" s="6">
        <v>3</v>
      </c>
      <c r="F12" s="6">
        <v>9</v>
      </c>
      <c r="G12" s="6">
        <v>0</v>
      </c>
      <c r="H12" s="12">
        <v>0</v>
      </c>
      <c r="I12" s="6">
        <v>46</v>
      </c>
      <c r="J12" s="6">
        <v>0</v>
      </c>
      <c r="K12" s="6">
        <v>529</v>
      </c>
      <c r="L12" s="6">
        <v>0</v>
      </c>
      <c r="M12" s="12">
        <v>8</v>
      </c>
      <c r="N12" s="6">
        <v>1061955</v>
      </c>
      <c r="O12" s="35">
        <f t="shared" si="0"/>
        <v>5309.7749999999996</v>
      </c>
      <c r="P12" s="5"/>
      <c r="S12" s="3" t="s">
        <v>8</v>
      </c>
      <c r="T12" s="5">
        <v>6</v>
      </c>
    </row>
    <row r="13" spans="1:27">
      <c r="A13" s="75" t="s">
        <v>59</v>
      </c>
      <c r="B13" s="3" t="s">
        <v>8</v>
      </c>
      <c r="C13" s="5" t="s">
        <v>7</v>
      </c>
      <c r="D13" s="5" t="s">
        <v>59</v>
      </c>
      <c r="E13" s="6">
        <v>2</v>
      </c>
      <c r="F13" s="6">
        <v>0</v>
      </c>
      <c r="G13" s="6">
        <v>0</v>
      </c>
      <c r="H13" s="12">
        <v>0</v>
      </c>
      <c r="I13" s="6">
        <v>5</v>
      </c>
      <c r="J13" s="6">
        <v>0</v>
      </c>
      <c r="K13" s="6">
        <v>293</v>
      </c>
      <c r="L13" s="6">
        <v>0</v>
      </c>
      <c r="M13" s="12">
        <v>4</v>
      </c>
      <c r="N13" s="6">
        <v>764960</v>
      </c>
      <c r="O13" s="35">
        <f t="shared" si="0"/>
        <v>3824.8</v>
      </c>
      <c r="P13" s="5"/>
      <c r="S13" s="3" t="s">
        <v>9</v>
      </c>
      <c r="T13" s="5">
        <v>7</v>
      </c>
    </row>
    <row r="14" spans="1:27">
      <c r="A14" s="75" t="s">
        <v>60</v>
      </c>
      <c r="B14" s="3" t="s">
        <v>6</v>
      </c>
      <c r="C14" s="5"/>
      <c r="D14" s="5" t="s">
        <v>61</v>
      </c>
      <c r="E14" s="6">
        <v>0</v>
      </c>
      <c r="F14" s="6">
        <v>6</v>
      </c>
      <c r="G14" s="6">
        <v>2</v>
      </c>
      <c r="H14" s="12">
        <v>19</v>
      </c>
      <c r="I14" s="6">
        <v>105</v>
      </c>
      <c r="J14" s="6">
        <v>1</v>
      </c>
      <c r="K14" s="6">
        <v>1608</v>
      </c>
      <c r="L14" s="6">
        <v>0</v>
      </c>
      <c r="M14" s="12">
        <v>6</v>
      </c>
      <c r="N14" s="6">
        <v>417876</v>
      </c>
      <c r="O14" s="35">
        <f t="shared" si="0"/>
        <v>2089.38</v>
      </c>
      <c r="P14" s="5"/>
      <c r="R14" s="5" t="s">
        <v>62</v>
      </c>
      <c r="S14" s="3" t="s">
        <v>10</v>
      </c>
      <c r="T14" s="5">
        <v>8</v>
      </c>
    </row>
    <row r="15" spans="1:27">
      <c r="A15" s="75" t="s">
        <v>63</v>
      </c>
      <c r="B15" s="3" t="s">
        <v>11</v>
      </c>
      <c r="C15" s="5"/>
      <c r="D15" s="5" t="s">
        <v>64</v>
      </c>
      <c r="E15" s="6">
        <v>3</v>
      </c>
      <c r="F15" s="6">
        <v>7</v>
      </c>
      <c r="G15" s="6">
        <v>8</v>
      </c>
      <c r="H15" s="12">
        <v>24</v>
      </c>
      <c r="I15" s="6">
        <v>256</v>
      </c>
      <c r="J15" s="6">
        <v>1</v>
      </c>
      <c r="K15" s="6">
        <v>13480</v>
      </c>
      <c r="L15" s="6">
        <v>1</v>
      </c>
      <c r="M15" s="12">
        <v>16</v>
      </c>
      <c r="N15" s="6">
        <v>347492</v>
      </c>
      <c r="O15" s="35">
        <f t="shared" si="0"/>
        <v>1737.46</v>
      </c>
      <c r="P15" s="5"/>
      <c r="S15" s="3" t="s">
        <v>6</v>
      </c>
      <c r="T15" s="5">
        <v>9</v>
      </c>
    </row>
    <row r="16" spans="1:27">
      <c r="A16" s="75" t="s">
        <v>65</v>
      </c>
      <c r="B16" s="3" t="s">
        <v>8</v>
      </c>
      <c r="C16" s="5"/>
      <c r="D16" s="5" t="s">
        <v>66</v>
      </c>
      <c r="E16" s="6">
        <v>3</v>
      </c>
      <c r="F16" s="6">
        <v>0</v>
      </c>
      <c r="G16" s="6">
        <v>0</v>
      </c>
      <c r="H16" s="12">
        <v>4</v>
      </c>
      <c r="I16" s="6">
        <v>19</v>
      </c>
      <c r="J16" s="6">
        <v>0</v>
      </c>
      <c r="K16" s="6">
        <v>116</v>
      </c>
      <c r="L16" s="6">
        <v>0</v>
      </c>
      <c r="M16" s="12">
        <v>4</v>
      </c>
      <c r="N16" s="6">
        <v>242499</v>
      </c>
      <c r="O16" s="35">
        <f t="shared" si="0"/>
        <v>1212.4949999999999</v>
      </c>
      <c r="P16" s="5"/>
      <c r="S16" s="3" t="s">
        <v>11</v>
      </c>
      <c r="T16" s="5">
        <v>10</v>
      </c>
    </row>
    <row r="17" spans="1:26">
      <c r="A17" s="75" t="s">
        <v>67</v>
      </c>
      <c r="B17" s="3" t="s">
        <v>10</v>
      </c>
      <c r="C17" s="5" t="s">
        <v>6</v>
      </c>
      <c r="D17" s="5" t="s">
        <v>68</v>
      </c>
      <c r="E17" s="6">
        <v>1</v>
      </c>
      <c r="F17" s="6">
        <v>6</v>
      </c>
      <c r="G17" s="6">
        <v>24</v>
      </c>
      <c r="H17" s="12">
        <v>64</v>
      </c>
      <c r="I17" s="6">
        <v>162</v>
      </c>
      <c r="J17" s="6">
        <v>0</v>
      </c>
      <c r="K17" s="6">
        <v>9007</v>
      </c>
      <c r="L17" s="6">
        <v>1</v>
      </c>
      <c r="M17" s="12">
        <v>7</v>
      </c>
      <c r="N17" s="6">
        <v>237720</v>
      </c>
      <c r="O17" s="35">
        <f t="shared" si="0"/>
        <v>1188.5999999999999</v>
      </c>
      <c r="P17" s="5"/>
    </row>
    <row r="18" spans="1:26">
      <c r="A18" s="75" t="s">
        <v>69</v>
      </c>
      <c r="B18" s="3" t="s">
        <v>11</v>
      </c>
      <c r="C18" s="5"/>
      <c r="D18" s="5" t="s">
        <v>70</v>
      </c>
      <c r="E18" s="6">
        <v>7</v>
      </c>
      <c r="F18" s="6">
        <v>12</v>
      </c>
      <c r="G18" s="6">
        <v>11</v>
      </c>
      <c r="H18" s="12">
        <v>24</v>
      </c>
      <c r="I18" s="6">
        <v>222</v>
      </c>
      <c r="J18" s="6">
        <v>1</v>
      </c>
      <c r="K18" s="6">
        <v>12464</v>
      </c>
      <c r="L18" s="6">
        <v>3</v>
      </c>
      <c r="M18" s="12">
        <v>10</v>
      </c>
      <c r="N18" s="6">
        <v>235413</v>
      </c>
      <c r="O18" s="35">
        <f t="shared" si="0"/>
        <v>1177.0650000000001</v>
      </c>
      <c r="P18" s="5"/>
      <c r="S18" s="19"/>
      <c r="T18" s="19"/>
      <c r="U18" s="19"/>
      <c r="V18" s="19"/>
      <c r="W18" s="19"/>
      <c r="X18" s="19"/>
      <c r="Y18" s="19"/>
    </row>
    <row r="19" spans="1:26" ht="30">
      <c r="A19" s="75" t="s">
        <v>71</v>
      </c>
      <c r="B19" s="3" t="s">
        <v>11</v>
      </c>
      <c r="C19" s="5"/>
      <c r="D19" s="5" t="s">
        <v>72</v>
      </c>
      <c r="E19" s="6">
        <v>3</v>
      </c>
      <c r="F19" s="6">
        <v>7</v>
      </c>
      <c r="G19" s="6">
        <v>14</v>
      </c>
      <c r="H19" s="12">
        <v>54</v>
      </c>
      <c r="I19" s="6">
        <v>344</v>
      </c>
      <c r="J19" s="6">
        <v>1</v>
      </c>
      <c r="K19" s="6">
        <v>11426</v>
      </c>
      <c r="L19" s="6">
        <v>1</v>
      </c>
      <c r="M19" s="12">
        <v>10</v>
      </c>
      <c r="N19" s="6">
        <v>230271</v>
      </c>
      <c r="O19" s="35">
        <f t="shared" si="0"/>
        <v>1151.355</v>
      </c>
      <c r="P19" s="5"/>
      <c r="R19" s="18"/>
      <c r="S19" s="21" t="s">
        <v>54</v>
      </c>
      <c r="T19" s="102" t="s">
        <v>13</v>
      </c>
      <c r="U19" s="102" t="s">
        <v>14</v>
      </c>
      <c r="V19" s="102" t="s">
        <v>15</v>
      </c>
      <c r="W19" s="103" t="s">
        <v>16</v>
      </c>
      <c r="X19" s="103" t="s">
        <v>17</v>
      </c>
      <c r="Y19" s="103" t="s">
        <v>18</v>
      </c>
      <c r="Z19" s="104"/>
    </row>
    <row r="20" spans="1:26">
      <c r="A20" s="75" t="s">
        <v>73</v>
      </c>
      <c r="B20" s="3" t="s">
        <v>8</v>
      </c>
      <c r="C20" s="5"/>
      <c r="D20" s="5" t="s">
        <v>74</v>
      </c>
      <c r="E20" s="6">
        <v>10</v>
      </c>
      <c r="F20" s="6">
        <v>9</v>
      </c>
      <c r="G20" s="6">
        <v>5</v>
      </c>
      <c r="H20" s="12">
        <v>5</v>
      </c>
      <c r="I20" s="6">
        <v>32</v>
      </c>
      <c r="J20" s="6">
        <v>0</v>
      </c>
      <c r="K20" s="6">
        <v>984</v>
      </c>
      <c r="L20" s="6">
        <v>0</v>
      </c>
      <c r="M20" s="12">
        <v>7</v>
      </c>
      <c r="N20" s="6">
        <v>192463</v>
      </c>
      <c r="O20" s="35">
        <f t="shared" si="0"/>
        <v>962.31500000000005</v>
      </c>
      <c r="P20" s="5"/>
      <c r="R20" s="18"/>
      <c r="S20" s="22"/>
      <c r="T20" s="23" t="s">
        <v>7</v>
      </c>
      <c r="U20" s="98">
        <v>2</v>
      </c>
      <c r="V20" s="99">
        <v>1</v>
      </c>
      <c r="W20" s="100">
        <v>1</v>
      </c>
      <c r="X20" s="100">
        <v>1</v>
      </c>
      <c r="Y20" s="101">
        <v>0.5</v>
      </c>
      <c r="Z20" s="97">
        <f xml:space="preserve"> SUM(U20:Y20)</f>
        <v>5.5</v>
      </c>
    </row>
    <row r="21" spans="1:26">
      <c r="A21" s="75" t="s">
        <v>75</v>
      </c>
      <c r="B21" s="7" t="s">
        <v>9</v>
      </c>
      <c r="D21" s="5" t="s">
        <v>76</v>
      </c>
      <c r="E21" s="6">
        <v>1</v>
      </c>
      <c r="F21" s="6">
        <v>0</v>
      </c>
      <c r="G21" s="6">
        <v>2</v>
      </c>
      <c r="H21" s="12">
        <v>3</v>
      </c>
      <c r="I21" s="6">
        <v>33</v>
      </c>
      <c r="J21" s="6">
        <v>0</v>
      </c>
      <c r="K21" s="6">
        <v>3324</v>
      </c>
      <c r="L21" s="6">
        <v>0</v>
      </c>
      <c r="M21" s="12">
        <v>5</v>
      </c>
      <c r="N21" s="6">
        <v>185816</v>
      </c>
      <c r="O21" s="35">
        <f t="shared" si="0"/>
        <v>929.08</v>
      </c>
      <c r="R21" s="18"/>
      <c r="S21" s="22"/>
      <c r="T21" s="23" t="s">
        <v>8</v>
      </c>
      <c r="U21" s="98">
        <v>4</v>
      </c>
      <c r="V21" s="99">
        <v>2</v>
      </c>
      <c r="W21" s="100">
        <v>4</v>
      </c>
      <c r="X21" s="100">
        <v>2</v>
      </c>
      <c r="Y21" s="101">
        <v>1</v>
      </c>
      <c r="Z21" s="97">
        <f t="shared" ref="Z21:Z24" si="1" xml:space="preserve"> SUM(U21:Y21)</f>
        <v>13</v>
      </c>
    </row>
    <row r="22" spans="1:26">
      <c r="A22" s="75" t="s">
        <v>77</v>
      </c>
      <c r="B22" s="7" t="s">
        <v>9</v>
      </c>
      <c r="D22" s="5" t="s">
        <v>78</v>
      </c>
      <c r="E22" s="6">
        <v>10</v>
      </c>
      <c r="F22" s="6">
        <v>9</v>
      </c>
      <c r="G22" s="6">
        <v>10</v>
      </c>
      <c r="H22" s="12">
        <v>17</v>
      </c>
      <c r="I22" s="6">
        <v>136</v>
      </c>
      <c r="J22" s="6">
        <v>1</v>
      </c>
      <c r="K22" s="6">
        <v>4274</v>
      </c>
      <c r="L22" s="6">
        <v>0</v>
      </c>
      <c r="M22" s="12">
        <v>7</v>
      </c>
      <c r="N22" s="6">
        <v>168338</v>
      </c>
      <c r="O22" s="35">
        <f t="shared" si="0"/>
        <v>841.69</v>
      </c>
      <c r="R22" s="18"/>
      <c r="S22" s="22"/>
      <c r="T22" s="23" t="s">
        <v>9</v>
      </c>
      <c r="U22" s="98">
        <v>7</v>
      </c>
      <c r="V22" s="99">
        <v>2</v>
      </c>
      <c r="W22" s="100">
        <v>5</v>
      </c>
      <c r="X22" s="100">
        <v>3</v>
      </c>
      <c r="Y22" s="101">
        <v>1.5</v>
      </c>
      <c r="Z22" s="97">
        <f t="shared" si="1"/>
        <v>18.5</v>
      </c>
    </row>
    <row r="23" spans="1:26">
      <c r="A23" s="75" t="s">
        <v>79</v>
      </c>
      <c r="B23" s="3" t="s">
        <v>10</v>
      </c>
      <c r="C23" s="5"/>
      <c r="D23" s="5" t="s">
        <v>80</v>
      </c>
      <c r="E23" s="6">
        <v>35</v>
      </c>
      <c r="F23" s="6">
        <v>2</v>
      </c>
      <c r="G23" s="6">
        <v>3</v>
      </c>
      <c r="H23" s="12">
        <v>4</v>
      </c>
      <c r="I23" s="6">
        <v>51</v>
      </c>
      <c r="J23" s="6">
        <v>0</v>
      </c>
      <c r="K23" s="6">
        <v>2197</v>
      </c>
      <c r="L23" s="6">
        <v>0</v>
      </c>
      <c r="M23" s="12">
        <v>5</v>
      </c>
      <c r="N23" s="6">
        <v>144939</v>
      </c>
      <c r="O23" s="35">
        <f t="shared" si="0"/>
        <v>724.69500000000005</v>
      </c>
      <c r="P23" s="5"/>
      <c r="R23" s="18"/>
      <c r="S23" s="22" t="s">
        <v>62</v>
      </c>
      <c r="T23" s="23" t="s">
        <v>10</v>
      </c>
      <c r="U23" s="98">
        <v>11</v>
      </c>
      <c r="V23" s="99">
        <v>3</v>
      </c>
      <c r="W23" s="100">
        <v>6</v>
      </c>
      <c r="X23" s="100">
        <v>4</v>
      </c>
      <c r="Y23" s="101">
        <v>2</v>
      </c>
      <c r="Z23" s="97">
        <f t="shared" si="1"/>
        <v>26</v>
      </c>
    </row>
    <row r="24" spans="1:26">
      <c r="A24" s="75" t="s">
        <v>81</v>
      </c>
      <c r="B24" s="3" t="s">
        <v>10</v>
      </c>
      <c r="C24" s="5"/>
      <c r="D24" s="5" t="s">
        <v>82</v>
      </c>
      <c r="E24" s="6">
        <v>8</v>
      </c>
      <c r="F24" s="6">
        <v>2</v>
      </c>
      <c r="G24" s="6">
        <v>2</v>
      </c>
      <c r="H24" s="12">
        <v>4</v>
      </c>
      <c r="I24" s="6">
        <v>48</v>
      </c>
      <c r="J24" s="6">
        <v>0</v>
      </c>
      <c r="K24" s="6">
        <v>1946</v>
      </c>
      <c r="L24" s="6">
        <v>0</v>
      </c>
      <c r="M24" s="12">
        <v>6</v>
      </c>
      <c r="N24" s="6">
        <v>133035</v>
      </c>
      <c r="O24" s="35">
        <f t="shared" si="0"/>
        <v>665.17499999999995</v>
      </c>
      <c r="P24" s="5"/>
      <c r="R24" s="18"/>
      <c r="S24" s="22"/>
      <c r="T24" s="23" t="s">
        <v>6</v>
      </c>
      <c r="U24" s="98">
        <v>13</v>
      </c>
      <c r="V24" s="99">
        <v>3</v>
      </c>
      <c r="W24" s="100">
        <v>7</v>
      </c>
      <c r="X24" s="100">
        <v>5</v>
      </c>
      <c r="Y24" s="101">
        <v>3</v>
      </c>
      <c r="Z24" s="97">
        <f t="shared" si="1"/>
        <v>31</v>
      </c>
    </row>
    <row r="25" spans="1:26">
      <c r="A25" s="75" t="s">
        <v>83</v>
      </c>
      <c r="B25" s="7" t="s">
        <v>9</v>
      </c>
      <c r="D25" s="5" t="s">
        <v>84</v>
      </c>
      <c r="E25" s="6">
        <v>3</v>
      </c>
      <c r="F25" s="6">
        <v>2</v>
      </c>
      <c r="G25" s="6">
        <v>2</v>
      </c>
      <c r="H25" s="12">
        <v>3</v>
      </c>
      <c r="I25" s="6">
        <v>25</v>
      </c>
      <c r="J25" s="6">
        <v>0</v>
      </c>
      <c r="K25" s="6">
        <v>699</v>
      </c>
      <c r="L25" s="6">
        <v>0</v>
      </c>
      <c r="M25" s="12">
        <v>4</v>
      </c>
      <c r="N25" s="6">
        <v>130543</v>
      </c>
      <c r="O25" s="35">
        <f t="shared" si="0"/>
        <v>652.71500000000003</v>
      </c>
      <c r="R25" s="18"/>
      <c r="S25" s="22"/>
      <c r="T25" s="23" t="s">
        <v>11</v>
      </c>
      <c r="U25" s="98">
        <v>15</v>
      </c>
      <c r="V25" s="99">
        <v>4</v>
      </c>
      <c r="W25" s="100">
        <v>7</v>
      </c>
      <c r="X25" s="100">
        <v>5</v>
      </c>
      <c r="Y25" s="101">
        <v>4</v>
      </c>
      <c r="Z25" s="97">
        <f xml:space="preserve"> SUM(U25:Y25)</f>
        <v>35</v>
      </c>
    </row>
    <row r="26" spans="1:26">
      <c r="A26" s="75" t="s">
        <v>85</v>
      </c>
      <c r="B26" s="3" t="s">
        <v>8</v>
      </c>
      <c r="C26" s="5"/>
      <c r="D26" s="5" t="s">
        <v>86</v>
      </c>
      <c r="E26" s="6">
        <v>2</v>
      </c>
      <c r="F26" s="6">
        <v>0</v>
      </c>
      <c r="G26" s="6">
        <v>0</v>
      </c>
      <c r="H26" s="12">
        <v>2</v>
      </c>
      <c r="I26" s="6">
        <v>23</v>
      </c>
      <c r="J26" s="6">
        <v>1</v>
      </c>
      <c r="K26" s="6">
        <v>1328</v>
      </c>
      <c r="L26" s="6">
        <v>0</v>
      </c>
      <c r="M26" s="12">
        <v>3</v>
      </c>
      <c r="N26" s="6">
        <v>88865</v>
      </c>
      <c r="O26" s="35">
        <f t="shared" si="0"/>
        <v>444.32499999999999</v>
      </c>
      <c r="P26" s="5"/>
      <c r="S26" s="20"/>
      <c r="T26" s="20"/>
      <c r="U26" s="20"/>
      <c r="V26" s="20"/>
      <c r="W26" s="20"/>
      <c r="X26" s="20"/>
      <c r="Y26" s="20"/>
    </row>
    <row r="27" spans="1:26">
      <c r="A27" s="75" t="s">
        <v>87</v>
      </c>
      <c r="B27" s="7" t="s">
        <v>9</v>
      </c>
      <c r="D27" s="5" t="s">
        <v>88</v>
      </c>
      <c r="E27" s="6">
        <v>0</v>
      </c>
      <c r="F27" s="6">
        <v>1</v>
      </c>
      <c r="G27" s="6">
        <v>3</v>
      </c>
      <c r="H27" s="12">
        <v>5</v>
      </c>
      <c r="I27" s="6">
        <v>38</v>
      </c>
      <c r="J27" s="6">
        <v>0</v>
      </c>
      <c r="K27" s="6">
        <v>237</v>
      </c>
      <c r="L27" s="6">
        <v>0</v>
      </c>
      <c r="M27" s="12">
        <v>5</v>
      </c>
      <c r="N27" s="6">
        <v>70990</v>
      </c>
      <c r="O27" s="35">
        <f t="shared" si="0"/>
        <v>354.95</v>
      </c>
    </row>
    <row r="28" spans="1:26">
      <c r="A28" s="75" t="s">
        <v>89</v>
      </c>
      <c r="B28" s="3" t="s">
        <v>8</v>
      </c>
      <c r="C28" s="5"/>
      <c r="D28" s="5" t="s">
        <v>90</v>
      </c>
      <c r="E28" s="6">
        <v>9</v>
      </c>
      <c r="F28" s="6">
        <v>1</v>
      </c>
      <c r="G28" s="6">
        <v>0</v>
      </c>
      <c r="H28" s="12">
        <v>5</v>
      </c>
      <c r="I28" s="6">
        <v>37</v>
      </c>
      <c r="J28" s="6">
        <v>1</v>
      </c>
      <c r="K28" s="6">
        <v>1447</v>
      </c>
      <c r="L28" s="6">
        <v>5</v>
      </c>
      <c r="M28" s="12">
        <v>4</v>
      </c>
      <c r="N28" s="6">
        <v>57689</v>
      </c>
      <c r="O28" s="35">
        <f t="shared" si="0"/>
        <v>288.44499999999999</v>
      </c>
      <c r="P28" s="5"/>
    </row>
    <row r="29" spans="1:26">
      <c r="A29" s="75" t="s">
        <v>91</v>
      </c>
      <c r="B29" s="3" t="s">
        <v>8</v>
      </c>
      <c r="C29" s="5"/>
      <c r="D29" s="5" t="s">
        <v>92</v>
      </c>
      <c r="E29" s="6">
        <v>1</v>
      </c>
      <c r="F29" s="6">
        <v>1</v>
      </c>
      <c r="G29" s="6">
        <v>0</v>
      </c>
      <c r="H29" s="12">
        <v>2</v>
      </c>
      <c r="I29" s="6">
        <v>17</v>
      </c>
      <c r="J29" s="6">
        <v>0</v>
      </c>
      <c r="K29" s="6">
        <v>400</v>
      </c>
      <c r="L29" s="6">
        <v>0</v>
      </c>
      <c r="M29" s="12">
        <v>5</v>
      </c>
      <c r="N29" s="6">
        <v>40676</v>
      </c>
      <c r="O29" s="35">
        <f t="shared" si="0"/>
        <v>203.38</v>
      </c>
      <c r="P29" s="5"/>
    </row>
    <row r="30" spans="1:26">
      <c r="A30" s="75" t="s">
        <v>46</v>
      </c>
      <c r="B30" s="3" t="s">
        <v>11</v>
      </c>
      <c r="C30" s="5"/>
      <c r="D30" s="5" t="s">
        <v>93</v>
      </c>
      <c r="E30" s="6">
        <v>0</v>
      </c>
      <c r="F30" s="6">
        <v>5</v>
      </c>
      <c r="G30" s="6">
        <v>0</v>
      </c>
      <c r="H30" s="12">
        <v>0</v>
      </c>
      <c r="I30" s="6">
        <v>24</v>
      </c>
      <c r="J30" s="6">
        <v>0</v>
      </c>
      <c r="K30" s="6">
        <v>360</v>
      </c>
      <c r="L30" s="6">
        <v>0</v>
      </c>
      <c r="M30" s="12">
        <v>7</v>
      </c>
      <c r="N30" s="6">
        <v>36619</v>
      </c>
      <c r="O30" s="35">
        <f t="shared" si="0"/>
        <v>183.095</v>
      </c>
      <c r="P30" s="5"/>
    </row>
    <row r="31" spans="1:26" s="8" customFormat="1">
      <c r="A31" s="76" t="s">
        <v>94</v>
      </c>
      <c r="B31" s="10"/>
      <c r="C31" s="7"/>
      <c r="D31" s="8" t="s">
        <v>95</v>
      </c>
      <c r="E31" s="9">
        <v>1</v>
      </c>
      <c r="F31" s="9">
        <v>0</v>
      </c>
      <c r="G31" s="9">
        <v>2</v>
      </c>
      <c r="H31" s="12">
        <v>3</v>
      </c>
      <c r="I31" s="9">
        <v>51</v>
      </c>
      <c r="J31" s="9">
        <v>1</v>
      </c>
      <c r="K31" s="9">
        <v>10535</v>
      </c>
      <c r="L31" s="9">
        <v>0</v>
      </c>
      <c r="M31" s="12">
        <v>4</v>
      </c>
      <c r="N31" s="9">
        <v>35936</v>
      </c>
      <c r="O31" s="35">
        <f t="shared" si="0"/>
        <v>179.68</v>
      </c>
      <c r="P31" s="7"/>
    </row>
    <row r="32" spans="1:26">
      <c r="A32" s="75" t="s">
        <v>96</v>
      </c>
      <c r="B32" s="7" t="s">
        <v>9</v>
      </c>
      <c r="D32" s="5" t="s">
        <v>97</v>
      </c>
      <c r="E32" s="6">
        <v>1</v>
      </c>
      <c r="F32" s="6">
        <v>3</v>
      </c>
      <c r="G32" s="6">
        <v>0</v>
      </c>
      <c r="H32" s="12">
        <v>3</v>
      </c>
      <c r="I32" s="6">
        <v>29</v>
      </c>
      <c r="J32" s="6">
        <v>1</v>
      </c>
      <c r="K32" s="6">
        <v>3253</v>
      </c>
      <c r="L32" s="6">
        <v>0</v>
      </c>
      <c r="M32" s="12">
        <v>4</v>
      </c>
      <c r="N32" s="6">
        <v>33985</v>
      </c>
      <c r="O32" s="35">
        <f t="shared" si="0"/>
        <v>169.92500000000001</v>
      </c>
    </row>
    <row r="33" spans="1:16" s="8" customFormat="1">
      <c r="A33" s="76" t="s">
        <v>98</v>
      </c>
      <c r="B33" s="10"/>
      <c r="C33" s="7"/>
      <c r="D33" s="8" t="s">
        <v>99</v>
      </c>
      <c r="E33" s="9">
        <v>0</v>
      </c>
      <c r="F33" s="9">
        <v>2</v>
      </c>
      <c r="G33" s="9">
        <v>0</v>
      </c>
      <c r="H33" s="12">
        <v>1</v>
      </c>
      <c r="I33" s="9">
        <v>6</v>
      </c>
      <c r="J33" s="9">
        <v>0</v>
      </c>
      <c r="K33" s="9">
        <v>168</v>
      </c>
      <c r="L33" s="9">
        <v>0</v>
      </c>
      <c r="M33" s="12">
        <v>5</v>
      </c>
      <c r="N33" s="9">
        <v>27027</v>
      </c>
      <c r="O33" s="35">
        <f t="shared" si="0"/>
        <v>135.13499999999999</v>
      </c>
      <c r="P33" s="7"/>
    </row>
    <row r="34" spans="1:16">
      <c r="A34" s="75" t="s">
        <v>100</v>
      </c>
      <c r="B34" s="3" t="s">
        <v>10</v>
      </c>
      <c r="C34" s="5"/>
      <c r="D34" s="5" t="s">
        <v>101</v>
      </c>
      <c r="E34" s="6">
        <v>3</v>
      </c>
      <c r="F34" s="6">
        <v>0</v>
      </c>
      <c r="G34" s="6">
        <v>3</v>
      </c>
      <c r="H34" s="12">
        <v>12</v>
      </c>
      <c r="I34" s="6">
        <v>85</v>
      </c>
      <c r="J34" s="6">
        <v>1</v>
      </c>
      <c r="K34" s="6">
        <v>2750</v>
      </c>
      <c r="L34" s="6">
        <v>0</v>
      </c>
      <c r="M34" s="12">
        <v>6</v>
      </c>
      <c r="N34" s="6">
        <v>24479</v>
      </c>
      <c r="O34" s="35">
        <f t="shared" si="0"/>
        <v>122.395</v>
      </c>
      <c r="P34" s="5"/>
    </row>
    <row r="35" spans="1:16">
      <c r="A35" s="75" t="s">
        <v>102</v>
      </c>
      <c r="B35" s="7" t="s">
        <v>7</v>
      </c>
      <c r="D35" s="5" t="s">
        <v>103</v>
      </c>
      <c r="E35" s="6">
        <v>0</v>
      </c>
      <c r="F35" s="6">
        <v>0</v>
      </c>
      <c r="G35" s="6">
        <v>0</v>
      </c>
      <c r="H35" s="12">
        <v>0</v>
      </c>
      <c r="I35" s="6">
        <v>1</v>
      </c>
      <c r="J35" s="6">
        <v>0</v>
      </c>
      <c r="K35" s="6">
        <v>0</v>
      </c>
      <c r="L35" s="6">
        <v>0</v>
      </c>
      <c r="M35" s="12">
        <v>4</v>
      </c>
      <c r="N35" s="6">
        <v>19726</v>
      </c>
      <c r="O35" s="35">
        <f t="shared" si="0"/>
        <v>98.63</v>
      </c>
    </row>
    <row r="36" spans="1:16">
      <c r="A36" s="75" t="s">
        <v>104</v>
      </c>
      <c r="B36" s="3" t="s">
        <v>10</v>
      </c>
      <c r="C36" s="5"/>
      <c r="D36" s="5" t="s">
        <v>105</v>
      </c>
      <c r="E36" s="6">
        <v>1</v>
      </c>
      <c r="F36" s="6">
        <v>1</v>
      </c>
      <c r="G36" s="6">
        <v>0</v>
      </c>
      <c r="H36" s="12">
        <v>7</v>
      </c>
      <c r="I36" s="6">
        <v>14</v>
      </c>
      <c r="J36" s="6">
        <v>0</v>
      </c>
      <c r="K36" s="6">
        <v>46</v>
      </c>
      <c r="L36" s="6">
        <v>0</v>
      </c>
      <c r="M36" s="12">
        <v>4</v>
      </c>
      <c r="N36" s="6">
        <v>18544</v>
      </c>
      <c r="O36" s="35">
        <f t="shared" si="0"/>
        <v>92.72</v>
      </c>
      <c r="P36" s="5"/>
    </row>
    <row r="37" spans="1:16">
      <c r="A37" s="75" t="s">
        <v>106</v>
      </c>
      <c r="B37" s="7" t="s">
        <v>9</v>
      </c>
      <c r="D37" s="5" t="s">
        <v>107</v>
      </c>
      <c r="E37" s="6">
        <v>0</v>
      </c>
      <c r="F37" s="6">
        <v>3</v>
      </c>
      <c r="G37" s="6">
        <v>0</v>
      </c>
      <c r="H37" s="12">
        <v>3</v>
      </c>
      <c r="I37" s="6">
        <v>35</v>
      </c>
      <c r="J37" s="6">
        <v>1</v>
      </c>
      <c r="K37" s="6">
        <v>3008</v>
      </c>
      <c r="L37" s="6">
        <v>0</v>
      </c>
      <c r="M37" s="12">
        <v>4</v>
      </c>
      <c r="N37" s="6">
        <v>18448</v>
      </c>
      <c r="O37" s="35">
        <f t="shared" si="0"/>
        <v>92.24</v>
      </c>
    </row>
    <row r="38" spans="1:16">
      <c r="A38" s="75" t="s">
        <v>108</v>
      </c>
      <c r="B38" s="7" t="s">
        <v>7</v>
      </c>
      <c r="D38" s="5" t="s">
        <v>109</v>
      </c>
      <c r="E38" s="6">
        <v>2</v>
      </c>
      <c r="F38" s="6">
        <v>0</v>
      </c>
      <c r="G38" s="6">
        <v>0</v>
      </c>
      <c r="H38" s="12">
        <v>1</v>
      </c>
      <c r="I38" s="6">
        <v>11</v>
      </c>
      <c r="J38" s="6">
        <v>1</v>
      </c>
      <c r="K38" s="6">
        <v>52</v>
      </c>
      <c r="L38" s="6">
        <v>0</v>
      </c>
      <c r="M38" s="12">
        <v>3</v>
      </c>
      <c r="N38" s="6">
        <v>16761</v>
      </c>
      <c r="O38" s="35">
        <f t="shared" si="0"/>
        <v>83.805000000000007</v>
      </c>
    </row>
    <row r="39" spans="1:16">
      <c r="A39" s="75" t="s">
        <v>110</v>
      </c>
      <c r="B39" s="3" t="s">
        <v>8</v>
      </c>
      <c r="C39" s="5"/>
      <c r="D39" s="5" t="s">
        <v>111</v>
      </c>
      <c r="E39" s="6">
        <v>2</v>
      </c>
      <c r="F39" s="6">
        <v>0</v>
      </c>
      <c r="G39" s="6">
        <v>0</v>
      </c>
      <c r="H39" s="12">
        <v>0</v>
      </c>
      <c r="I39" s="6">
        <v>1</v>
      </c>
      <c r="J39" s="6">
        <v>0</v>
      </c>
      <c r="K39" s="6">
        <v>0</v>
      </c>
      <c r="L39" s="6">
        <v>0</v>
      </c>
      <c r="M39" s="12">
        <v>4</v>
      </c>
      <c r="N39" s="6">
        <v>15989</v>
      </c>
      <c r="O39" s="35">
        <f t="shared" si="0"/>
        <v>79.944999999999993</v>
      </c>
      <c r="P39" s="5"/>
    </row>
    <row r="40" spans="1:16">
      <c r="A40" s="75" t="s">
        <v>112</v>
      </c>
      <c r="B40" s="3" t="s">
        <v>8</v>
      </c>
      <c r="C40" s="5"/>
      <c r="D40" s="5" t="s">
        <v>113</v>
      </c>
      <c r="E40" s="6">
        <v>0</v>
      </c>
      <c r="F40" s="6">
        <v>0</v>
      </c>
      <c r="G40" s="6">
        <v>0</v>
      </c>
      <c r="H40" s="12">
        <v>2</v>
      </c>
      <c r="I40" s="6">
        <v>20</v>
      </c>
      <c r="J40" s="6">
        <v>1</v>
      </c>
      <c r="K40" s="6">
        <v>517</v>
      </c>
      <c r="L40" s="6">
        <v>0</v>
      </c>
      <c r="M40" s="12">
        <v>5</v>
      </c>
      <c r="N40" s="6">
        <v>15930</v>
      </c>
      <c r="O40" s="35">
        <f t="shared" si="0"/>
        <v>79.650000000000006</v>
      </c>
      <c r="P40" s="5"/>
    </row>
    <row r="41" spans="1:16">
      <c r="A41" s="75" t="s">
        <v>114</v>
      </c>
      <c r="B41" s="7" t="s">
        <v>7</v>
      </c>
      <c r="D41" s="5" t="s">
        <v>115</v>
      </c>
      <c r="E41" s="6">
        <v>0</v>
      </c>
      <c r="F41" s="6">
        <v>0</v>
      </c>
      <c r="G41" s="6">
        <v>0</v>
      </c>
      <c r="H41" s="12">
        <v>1</v>
      </c>
      <c r="I41" s="6">
        <v>10</v>
      </c>
      <c r="J41" s="6">
        <v>0</v>
      </c>
      <c r="K41" s="6">
        <v>0</v>
      </c>
      <c r="L41" s="6">
        <v>0</v>
      </c>
      <c r="M41" s="12">
        <v>4</v>
      </c>
      <c r="N41" s="6">
        <v>15297</v>
      </c>
      <c r="O41" s="35">
        <f t="shared" si="0"/>
        <v>76.484999999999999</v>
      </c>
    </row>
    <row r="42" spans="1:16">
      <c r="A42" s="75" t="s">
        <v>116</v>
      </c>
      <c r="B42" s="7" t="s">
        <v>9</v>
      </c>
      <c r="D42" s="5" t="s">
        <v>117</v>
      </c>
      <c r="E42" s="6">
        <v>0</v>
      </c>
      <c r="F42" s="6">
        <v>1</v>
      </c>
      <c r="G42" s="6">
        <v>0</v>
      </c>
      <c r="H42" s="12">
        <v>5</v>
      </c>
      <c r="I42" s="6">
        <v>38</v>
      </c>
      <c r="J42" s="6">
        <v>1</v>
      </c>
      <c r="K42" s="6">
        <v>980</v>
      </c>
      <c r="L42" s="6">
        <v>1</v>
      </c>
      <c r="M42" s="12">
        <v>5</v>
      </c>
      <c r="N42" s="6">
        <v>14220</v>
      </c>
      <c r="O42" s="35">
        <f t="shared" si="0"/>
        <v>71.099999999999994</v>
      </c>
    </row>
    <row r="43" spans="1:16">
      <c r="A43" s="75" t="s">
        <v>118</v>
      </c>
      <c r="B43" s="3" t="s">
        <v>10</v>
      </c>
      <c r="C43" s="5"/>
      <c r="D43" s="5" t="s">
        <v>119</v>
      </c>
      <c r="E43" s="6">
        <v>2</v>
      </c>
      <c r="F43" s="6">
        <v>3</v>
      </c>
      <c r="G43" s="6">
        <v>0</v>
      </c>
      <c r="H43" s="12">
        <v>18</v>
      </c>
      <c r="I43" s="6">
        <v>134</v>
      </c>
      <c r="J43" s="6">
        <v>1</v>
      </c>
      <c r="K43" s="6">
        <v>3539</v>
      </c>
      <c r="L43" s="6">
        <v>9</v>
      </c>
      <c r="M43" s="12">
        <v>10</v>
      </c>
      <c r="N43" s="6">
        <v>11815</v>
      </c>
      <c r="O43" s="35">
        <f t="shared" si="0"/>
        <v>59.075000000000003</v>
      </c>
      <c r="P43" s="5"/>
    </row>
    <row r="44" spans="1:16">
      <c r="A44" s="75" t="s">
        <v>120</v>
      </c>
      <c r="B44" s="3" t="s">
        <v>10</v>
      </c>
      <c r="C44" s="5"/>
      <c r="D44" s="5" t="s">
        <v>121</v>
      </c>
      <c r="E44" s="6">
        <v>0</v>
      </c>
      <c r="F44" s="6">
        <v>1</v>
      </c>
      <c r="G44" s="6">
        <v>0</v>
      </c>
      <c r="H44" s="12">
        <v>5</v>
      </c>
      <c r="I44" s="6">
        <v>53</v>
      </c>
      <c r="J44" s="6">
        <v>1</v>
      </c>
      <c r="K44" s="6">
        <v>2504</v>
      </c>
      <c r="L44" s="6">
        <v>1</v>
      </c>
      <c r="M44" s="12">
        <v>4</v>
      </c>
      <c r="N44" s="6">
        <v>9084</v>
      </c>
      <c r="O44" s="35">
        <f t="shared" si="0"/>
        <v>45.42</v>
      </c>
      <c r="P44" s="5"/>
    </row>
    <row r="45" spans="1:16">
      <c r="A45" s="75" t="s">
        <v>122</v>
      </c>
      <c r="B45" s="3" t="s">
        <v>8</v>
      </c>
      <c r="C45" s="5"/>
      <c r="D45" s="5" t="s">
        <v>123</v>
      </c>
      <c r="E45" s="6">
        <v>0</v>
      </c>
      <c r="F45" s="6">
        <v>0</v>
      </c>
      <c r="G45" s="6">
        <v>0</v>
      </c>
      <c r="H45" s="12">
        <v>2</v>
      </c>
      <c r="I45" s="6">
        <v>19</v>
      </c>
      <c r="J45" s="6">
        <v>1</v>
      </c>
      <c r="K45" s="6">
        <v>832</v>
      </c>
      <c r="L45" s="6">
        <v>0</v>
      </c>
      <c r="M45" s="12">
        <v>4</v>
      </c>
      <c r="N45" s="6">
        <v>8414</v>
      </c>
      <c r="O45" s="35">
        <f t="shared" si="0"/>
        <v>42.07</v>
      </c>
      <c r="P45" s="5"/>
    </row>
    <row r="46" spans="1:16">
      <c r="A46" s="75" t="s">
        <v>124</v>
      </c>
      <c r="B46" s="3" t="s">
        <v>8</v>
      </c>
      <c r="C46" s="5"/>
      <c r="D46" s="5" t="s">
        <v>125</v>
      </c>
      <c r="E46" s="6">
        <v>0</v>
      </c>
      <c r="F46" s="6">
        <v>1</v>
      </c>
      <c r="G46" s="6">
        <v>0</v>
      </c>
      <c r="H46" s="12">
        <v>4</v>
      </c>
      <c r="I46" s="6">
        <v>36</v>
      </c>
      <c r="J46" s="6">
        <v>1</v>
      </c>
      <c r="K46" s="6">
        <v>1734</v>
      </c>
      <c r="L46" s="6">
        <v>0</v>
      </c>
      <c r="M46" s="12">
        <v>5</v>
      </c>
      <c r="N46" s="6">
        <v>7962</v>
      </c>
      <c r="O46" s="35">
        <f t="shared" si="0"/>
        <v>39.81</v>
      </c>
      <c r="P46" s="5"/>
    </row>
    <row r="47" spans="1:16">
      <c r="A47" s="75" t="s">
        <v>126</v>
      </c>
      <c r="B47" s="3" t="s">
        <v>10</v>
      </c>
      <c r="C47" s="5"/>
      <c r="D47" s="5" t="s">
        <v>127</v>
      </c>
      <c r="E47" s="6">
        <v>0</v>
      </c>
      <c r="F47" s="6">
        <v>2</v>
      </c>
      <c r="G47" s="6">
        <v>0</v>
      </c>
      <c r="H47" s="12">
        <v>18</v>
      </c>
      <c r="I47" s="6">
        <v>114</v>
      </c>
      <c r="J47" s="6">
        <v>0</v>
      </c>
      <c r="K47" s="6">
        <v>1576</v>
      </c>
      <c r="L47" s="6">
        <v>10</v>
      </c>
      <c r="M47" s="12">
        <v>11</v>
      </c>
      <c r="N47" s="6">
        <v>7884</v>
      </c>
      <c r="O47" s="35">
        <f t="shared" si="0"/>
        <v>39.42</v>
      </c>
      <c r="P47" s="5"/>
    </row>
    <row r="48" spans="1:16">
      <c r="A48" s="75" t="s">
        <v>128</v>
      </c>
      <c r="B48" s="7" t="s">
        <v>9</v>
      </c>
      <c r="D48" s="5" t="s">
        <v>129</v>
      </c>
      <c r="E48" s="6">
        <v>0</v>
      </c>
      <c r="F48" s="6">
        <v>4</v>
      </c>
      <c r="G48" s="6">
        <v>0</v>
      </c>
      <c r="H48" s="12">
        <v>2</v>
      </c>
      <c r="I48" s="6">
        <v>51</v>
      </c>
      <c r="J48" s="6">
        <v>1</v>
      </c>
      <c r="K48" s="6">
        <v>3112</v>
      </c>
      <c r="L48" s="6">
        <v>0</v>
      </c>
      <c r="M48" s="12">
        <v>7</v>
      </c>
      <c r="N48" s="6">
        <v>7441</v>
      </c>
      <c r="O48" s="35">
        <f t="shared" si="0"/>
        <v>37.204999999999998</v>
      </c>
    </row>
    <row r="49" spans="1:17">
      <c r="A49" s="75" t="s">
        <v>130</v>
      </c>
      <c r="B49" s="3" t="s">
        <v>7</v>
      </c>
      <c r="C49" s="5"/>
      <c r="D49" s="5" t="s">
        <v>131</v>
      </c>
      <c r="E49" s="6">
        <v>2</v>
      </c>
      <c r="F49" s="6">
        <v>0</v>
      </c>
      <c r="G49" s="6">
        <v>0</v>
      </c>
      <c r="H49" s="12">
        <v>1</v>
      </c>
      <c r="I49" s="6">
        <v>7</v>
      </c>
      <c r="J49" s="6">
        <v>0</v>
      </c>
      <c r="K49" s="6">
        <v>46</v>
      </c>
      <c r="L49" s="6">
        <v>0</v>
      </c>
      <c r="M49" s="12">
        <v>3</v>
      </c>
      <c r="N49" s="6">
        <v>7392</v>
      </c>
      <c r="O49" s="35">
        <f t="shared" si="0"/>
        <v>36.96</v>
      </c>
      <c r="P49" s="5"/>
    </row>
    <row r="50" spans="1:17">
      <c r="A50" s="75" t="s">
        <v>132</v>
      </c>
      <c r="B50" s="3" t="s">
        <v>8</v>
      </c>
      <c r="C50" s="5"/>
      <c r="D50" s="5" t="s">
        <v>133</v>
      </c>
      <c r="E50" s="6">
        <v>1</v>
      </c>
      <c r="F50" s="6">
        <v>5</v>
      </c>
      <c r="G50" s="6">
        <v>0</v>
      </c>
      <c r="H50" s="12">
        <v>6</v>
      </c>
      <c r="I50" s="6">
        <v>37</v>
      </c>
      <c r="J50" s="6">
        <v>1</v>
      </c>
      <c r="K50" s="6">
        <v>790</v>
      </c>
      <c r="L50" s="6">
        <v>0</v>
      </c>
      <c r="M50" s="12">
        <v>4</v>
      </c>
      <c r="N50" s="6">
        <v>7011</v>
      </c>
      <c r="O50" s="35">
        <f t="shared" si="0"/>
        <v>35.055</v>
      </c>
      <c r="P50" s="5"/>
    </row>
    <row r="51" spans="1:17">
      <c r="A51" s="75" t="s">
        <v>134</v>
      </c>
      <c r="B51" s="3" t="s">
        <v>8</v>
      </c>
      <c r="C51" s="5"/>
      <c r="D51" s="5" t="s">
        <v>135</v>
      </c>
      <c r="E51" s="6">
        <v>0</v>
      </c>
      <c r="F51" s="6">
        <v>1</v>
      </c>
      <c r="G51" s="6">
        <v>0</v>
      </c>
      <c r="H51" s="12">
        <v>3</v>
      </c>
      <c r="I51" s="6">
        <v>26</v>
      </c>
      <c r="J51" s="6">
        <v>1</v>
      </c>
      <c r="K51" s="6">
        <v>930</v>
      </c>
      <c r="L51" s="6">
        <v>0</v>
      </c>
      <c r="M51" s="12">
        <v>4</v>
      </c>
      <c r="N51" s="6">
        <v>6900</v>
      </c>
      <c r="O51" s="35">
        <f t="shared" si="0"/>
        <v>34.5</v>
      </c>
      <c r="P51" s="5"/>
    </row>
    <row r="52" spans="1:17">
      <c r="A52" s="75" t="s">
        <v>136</v>
      </c>
      <c r="B52" s="3" t="s">
        <v>8</v>
      </c>
      <c r="C52" s="5"/>
      <c r="D52" s="5" t="s">
        <v>137</v>
      </c>
      <c r="E52" s="6">
        <v>0</v>
      </c>
      <c r="F52" s="6">
        <v>1</v>
      </c>
      <c r="G52" s="6">
        <v>0</v>
      </c>
      <c r="H52" s="12">
        <v>2</v>
      </c>
      <c r="I52" s="6">
        <v>22</v>
      </c>
      <c r="J52" s="6">
        <v>1</v>
      </c>
      <c r="K52" s="6">
        <v>2016</v>
      </c>
      <c r="L52" s="6">
        <v>0</v>
      </c>
      <c r="M52" s="12">
        <v>5</v>
      </c>
      <c r="N52" s="6">
        <v>6896</v>
      </c>
      <c r="O52" s="35">
        <f t="shared" si="0"/>
        <v>34.479999999999997</v>
      </c>
      <c r="P52" s="5"/>
    </row>
    <row r="53" spans="1:17">
      <c r="A53" s="75" t="s">
        <v>138</v>
      </c>
      <c r="B53" s="3" t="s">
        <v>10</v>
      </c>
      <c r="C53" s="5"/>
      <c r="D53" s="5" t="s">
        <v>139</v>
      </c>
      <c r="E53" s="6">
        <v>6</v>
      </c>
      <c r="F53" s="6">
        <v>6</v>
      </c>
      <c r="G53" s="6">
        <v>8</v>
      </c>
      <c r="H53" s="12">
        <v>17</v>
      </c>
      <c r="I53" s="6">
        <v>158</v>
      </c>
      <c r="J53" s="6">
        <v>1</v>
      </c>
      <c r="K53" s="6">
        <v>5675</v>
      </c>
      <c r="L53" s="6">
        <v>1</v>
      </c>
      <c r="M53" s="12">
        <v>9</v>
      </c>
      <c r="N53" s="6">
        <v>6459</v>
      </c>
      <c r="O53" s="35">
        <f t="shared" si="0"/>
        <v>32.295000000000002</v>
      </c>
      <c r="P53" s="5"/>
    </row>
    <row r="54" spans="1:17">
      <c r="A54" s="75" t="s">
        <v>140</v>
      </c>
      <c r="B54" s="7" t="s">
        <v>7</v>
      </c>
      <c r="D54" s="5" t="s">
        <v>141</v>
      </c>
      <c r="E54" s="6">
        <v>0</v>
      </c>
      <c r="F54" s="6">
        <v>1</v>
      </c>
      <c r="G54" s="6">
        <v>0</v>
      </c>
      <c r="H54" s="12">
        <v>1</v>
      </c>
      <c r="I54" s="6">
        <v>13</v>
      </c>
      <c r="J54" s="5">
        <v>1</v>
      </c>
      <c r="K54" s="6">
        <v>562</v>
      </c>
      <c r="L54" s="6">
        <v>0</v>
      </c>
      <c r="M54" s="12">
        <v>5</v>
      </c>
      <c r="N54" s="6">
        <v>6088</v>
      </c>
      <c r="O54" s="35">
        <f t="shared" si="0"/>
        <v>30.44</v>
      </c>
    </row>
    <row r="55" spans="1:17">
      <c r="A55" s="75" t="s">
        <v>142</v>
      </c>
      <c r="B55" s="7" t="s">
        <v>8</v>
      </c>
      <c r="D55" s="5" t="s">
        <v>143</v>
      </c>
      <c r="E55" s="6">
        <v>1</v>
      </c>
      <c r="F55" s="6">
        <v>3</v>
      </c>
      <c r="G55" s="6">
        <v>0</v>
      </c>
      <c r="H55" s="12">
        <v>3</v>
      </c>
      <c r="I55" s="6">
        <v>35</v>
      </c>
      <c r="J55" s="6">
        <v>1</v>
      </c>
      <c r="K55" s="6">
        <v>1447</v>
      </c>
      <c r="L55" s="6">
        <v>2</v>
      </c>
      <c r="M55" s="12">
        <v>6</v>
      </c>
      <c r="N55" s="6">
        <v>6007</v>
      </c>
      <c r="O55" s="35">
        <f t="shared" si="0"/>
        <v>30.035</v>
      </c>
    </row>
    <row r="56" spans="1:17">
      <c r="A56" s="75" t="s">
        <v>144</v>
      </c>
      <c r="B56" s="7" t="s">
        <v>7</v>
      </c>
      <c r="D56" s="5" t="s">
        <v>145</v>
      </c>
      <c r="E56" s="6">
        <v>1</v>
      </c>
      <c r="F56" s="6">
        <v>0</v>
      </c>
      <c r="G56" s="6">
        <v>0</v>
      </c>
      <c r="H56" s="12">
        <v>4</v>
      </c>
      <c r="I56" s="6">
        <v>7</v>
      </c>
      <c r="J56" s="6">
        <v>0</v>
      </c>
      <c r="K56" s="6">
        <v>0</v>
      </c>
      <c r="L56" s="6">
        <v>0</v>
      </c>
      <c r="M56" s="12">
        <v>3</v>
      </c>
      <c r="N56" s="6">
        <v>5075</v>
      </c>
      <c r="O56" s="35">
        <f t="shared" si="0"/>
        <v>25.375</v>
      </c>
    </row>
    <row r="57" spans="1:17">
      <c r="A57" s="75" t="s">
        <v>146</v>
      </c>
      <c r="B57" s="7" t="s">
        <v>7</v>
      </c>
      <c r="D57" s="5" t="s">
        <v>147</v>
      </c>
      <c r="E57" s="6">
        <v>2</v>
      </c>
      <c r="F57" s="6">
        <v>1</v>
      </c>
      <c r="G57" s="6">
        <v>0</v>
      </c>
      <c r="H57" s="12">
        <v>1</v>
      </c>
      <c r="I57" s="6">
        <v>6</v>
      </c>
      <c r="J57" s="6">
        <v>0</v>
      </c>
      <c r="K57" s="6">
        <v>6</v>
      </c>
      <c r="L57" s="6">
        <v>0</v>
      </c>
      <c r="M57" s="12">
        <v>3</v>
      </c>
      <c r="N57" s="6">
        <v>4752</v>
      </c>
      <c r="O57" s="35">
        <f t="shared" si="0"/>
        <v>23.76</v>
      </c>
    </row>
    <row r="58" spans="1:17">
      <c r="A58" s="93" t="s">
        <v>148</v>
      </c>
      <c r="B58" s="7" t="s">
        <v>8</v>
      </c>
      <c r="D58" s="5" t="s">
        <v>149</v>
      </c>
      <c r="E58" s="6">
        <v>0</v>
      </c>
      <c r="F58" s="6">
        <v>0</v>
      </c>
      <c r="G58" s="6">
        <v>0</v>
      </c>
      <c r="H58" s="12">
        <v>1</v>
      </c>
      <c r="I58" s="6">
        <v>7</v>
      </c>
      <c r="J58" s="6">
        <v>1</v>
      </c>
      <c r="K58" s="6">
        <v>22</v>
      </c>
      <c r="L58" s="6">
        <v>0</v>
      </c>
      <c r="M58" s="12">
        <v>4</v>
      </c>
      <c r="N58" s="6">
        <v>4145</v>
      </c>
      <c r="O58" s="35">
        <f t="shared" si="0"/>
        <v>20.725000000000001</v>
      </c>
    </row>
    <row r="59" spans="1:17">
      <c r="A59" s="75" t="s">
        <v>150</v>
      </c>
      <c r="B59" s="7" t="s">
        <v>8</v>
      </c>
      <c r="D59" s="5" t="s">
        <v>151</v>
      </c>
      <c r="E59" s="6">
        <v>0</v>
      </c>
      <c r="F59" s="6">
        <v>2</v>
      </c>
      <c r="G59" s="6">
        <v>0</v>
      </c>
      <c r="H59" s="12">
        <v>2</v>
      </c>
      <c r="I59" s="6">
        <v>17</v>
      </c>
      <c r="J59" s="6">
        <v>1</v>
      </c>
      <c r="K59" s="6">
        <v>1039</v>
      </c>
      <c r="L59" s="6">
        <v>0</v>
      </c>
      <c r="M59" s="12">
        <v>4</v>
      </c>
      <c r="N59" s="6">
        <v>3953</v>
      </c>
      <c r="O59" s="35">
        <f t="shared" si="0"/>
        <v>19.765000000000001</v>
      </c>
    </row>
    <row r="60" spans="1:17">
      <c r="A60" s="75" t="s">
        <v>152</v>
      </c>
      <c r="B60" s="3" t="s">
        <v>10</v>
      </c>
      <c r="C60" s="5"/>
      <c r="D60" s="5" t="s">
        <v>153</v>
      </c>
      <c r="E60" s="6">
        <v>0</v>
      </c>
      <c r="F60" s="6">
        <v>0</v>
      </c>
      <c r="G60" s="6">
        <v>4</v>
      </c>
      <c r="H60" s="12">
        <v>11</v>
      </c>
      <c r="I60" s="6">
        <v>25</v>
      </c>
      <c r="J60" s="6">
        <v>0</v>
      </c>
      <c r="K60" s="6">
        <v>275</v>
      </c>
      <c r="L60" s="6">
        <v>0</v>
      </c>
      <c r="M60" s="12">
        <v>4</v>
      </c>
      <c r="N60" s="6">
        <v>3759</v>
      </c>
      <c r="O60" s="35">
        <f t="shared" si="0"/>
        <v>18.795000000000002</v>
      </c>
      <c r="P60" s="5"/>
    </row>
    <row r="61" spans="1:17">
      <c r="A61" s="94" t="s">
        <v>154</v>
      </c>
      <c r="B61" s="3" t="s">
        <v>10</v>
      </c>
      <c r="C61" s="5"/>
      <c r="D61" s="5" t="s">
        <v>155</v>
      </c>
      <c r="E61" s="6">
        <v>3</v>
      </c>
      <c r="F61" s="6">
        <v>8</v>
      </c>
      <c r="G61" s="6">
        <v>11</v>
      </c>
      <c r="H61" s="12">
        <v>26</v>
      </c>
      <c r="I61" s="6">
        <v>279</v>
      </c>
      <c r="J61" s="6">
        <v>1</v>
      </c>
      <c r="K61" s="6">
        <v>10864</v>
      </c>
      <c r="L61" s="6">
        <v>0</v>
      </c>
      <c r="M61" s="12">
        <v>8</v>
      </c>
      <c r="N61" s="6">
        <v>3647</v>
      </c>
      <c r="O61" s="35">
        <f t="shared" si="0"/>
        <v>18.234999999999999</v>
      </c>
      <c r="P61" s="5"/>
      <c r="Q61" s="5" t="s">
        <v>156</v>
      </c>
    </row>
    <row r="62" spans="1:17">
      <c r="A62" s="75" t="s">
        <v>157</v>
      </c>
      <c r="B62" s="7" t="s">
        <v>11</v>
      </c>
      <c r="D62" s="5" t="s">
        <v>158</v>
      </c>
      <c r="E62" s="6">
        <v>1</v>
      </c>
      <c r="F62" s="6">
        <v>1</v>
      </c>
      <c r="G62" s="6">
        <v>0</v>
      </c>
      <c r="H62" s="12">
        <v>3</v>
      </c>
      <c r="I62" s="6">
        <v>43</v>
      </c>
      <c r="J62" s="6">
        <v>0</v>
      </c>
      <c r="K62" s="6">
        <v>1015</v>
      </c>
      <c r="L62" s="6">
        <v>3</v>
      </c>
      <c r="M62" s="12">
        <v>8</v>
      </c>
      <c r="N62" s="6">
        <v>3366</v>
      </c>
      <c r="O62" s="35">
        <f t="shared" si="0"/>
        <v>16.829999999999998</v>
      </c>
    </row>
    <row r="63" spans="1:17">
      <c r="A63" s="75" t="s">
        <v>159</v>
      </c>
      <c r="B63" s="7" t="s">
        <v>9</v>
      </c>
      <c r="D63" s="5" t="s">
        <v>160</v>
      </c>
      <c r="E63" s="6">
        <v>3</v>
      </c>
      <c r="F63" s="6">
        <v>4</v>
      </c>
      <c r="G63" s="6">
        <v>0</v>
      </c>
      <c r="H63" s="12">
        <v>10</v>
      </c>
      <c r="I63" s="6">
        <v>71</v>
      </c>
      <c r="J63" s="6">
        <v>1</v>
      </c>
      <c r="K63" s="6">
        <v>1119</v>
      </c>
      <c r="L63" s="6">
        <v>0</v>
      </c>
      <c r="M63" s="12">
        <v>4</v>
      </c>
      <c r="N63" s="6">
        <v>2931</v>
      </c>
      <c r="O63" s="35">
        <f t="shared" si="0"/>
        <v>14.654999999999999</v>
      </c>
    </row>
    <row r="64" spans="1:17">
      <c r="A64" s="75" t="s">
        <v>161</v>
      </c>
      <c r="B64" s="7" t="s">
        <v>7</v>
      </c>
      <c r="D64" s="5" t="s">
        <v>162</v>
      </c>
      <c r="E64" s="6">
        <v>3</v>
      </c>
      <c r="F64" s="6">
        <v>0</v>
      </c>
      <c r="G64" s="6">
        <v>0</v>
      </c>
      <c r="H64" s="12">
        <v>1</v>
      </c>
      <c r="I64" s="6">
        <v>4</v>
      </c>
      <c r="J64" s="6">
        <v>0</v>
      </c>
      <c r="K64" s="6">
        <v>81</v>
      </c>
      <c r="L64" s="6">
        <v>0</v>
      </c>
      <c r="M64" s="12">
        <v>3</v>
      </c>
      <c r="N64" s="6">
        <v>2929</v>
      </c>
      <c r="O64" s="35">
        <f t="shared" si="0"/>
        <v>14.645</v>
      </c>
    </row>
    <row r="65" spans="1:17">
      <c r="A65" s="75" t="s">
        <v>163</v>
      </c>
      <c r="B65" s="7" t="s">
        <v>9</v>
      </c>
      <c r="D65" s="5" t="s">
        <v>164</v>
      </c>
      <c r="E65" s="6">
        <v>0</v>
      </c>
      <c r="F65" s="6">
        <v>1</v>
      </c>
      <c r="G65" s="6">
        <v>4</v>
      </c>
      <c r="H65" s="12">
        <v>12</v>
      </c>
      <c r="I65" s="6">
        <v>79</v>
      </c>
      <c r="J65" s="6">
        <v>1</v>
      </c>
      <c r="K65" s="6">
        <v>2466</v>
      </c>
      <c r="L65" s="6">
        <v>0</v>
      </c>
      <c r="M65" s="12">
        <v>4</v>
      </c>
      <c r="N65" s="6">
        <v>2719</v>
      </c>
      <c r="O65" s="35">
        <f t="shared" si="0"/>
        <v>13.595000000000001</v>
      </c>
    </row>
    <row r="66" spans="1:17">
      <c r="A66" s="75" t="s">
        <v>165</v>
      </c>
      <c r="B66" s="7" t="s">
        <v>7</v>
      </c>
      <c r="D66" s="5" t="s">
        <v>165</v>
      </c>
      <c r="E66" s="6">
        <v>1</v>
      </c>
      <c r="F66" s="6">
        <v>0</v>
      </c>
      <c r="G66" s="6">
        <v>0</v>
      </c>
      <c r="H66" s="12">
        <v>1</v>
      </c>
      <c r="I66" s="6">
        <v>6</v>
      </c>
      <c r="J66" s="6">
        <v>0</v>
      </c>
      <c r="K66" s="6">
        <v>100</v>
      </c>
      <c r="L66" s="6">
        <v>0</v>
      </c>
      <c r="M66" s="12">
        <v>3</v>
      </c>
      <c r="N66" s="6">
        <v>2646</v>
      </c>
      <c r="O66" s="35">
        <f t="shared" si="0"/>
        <v>13.23</v>
      </c>
    </row>
    <row r="67" spans="1:17">
      <c r="A67" s="75" t="s">
        <v>166</v>
      </c>
      <c r="B67" s="7" t="s">
        <v>9</v>
      </c>
      <c r="D67" s="5" t="s">
        <v>167</v>
      </c>
      <c r="E67" s="6">
        <v>0</v>
      </c>
      <c r="F67" s="6">
        <v>1</v>
      </c>
      <c r="G67" s="6">
        <v>1</v>
      </c>
      <c r="H67" s="12">
        <v>4</v>
      </c>
      <c r="I67" s="6">
        <v>28</v>
      </c>
      <c r="J67" s="6">
        <v>0</v>
      </c>
      <c r="K67" s="6">
        <v>1195</v>
      </c>
      <c r="L67" s="6">
        <v>0</v>
      </c>
      <c r="M67" s="12">
        <v>4</v>
      </c>
      <c r="N67" s="6">
        <v>1738</v>
      </c>
      <c r="O67" s="35">
        <f t="shared" si="0"/>
        <v>8.69</v>
      </c>
    </row>
    <row r="68" spans="1:17">
      <c r="A68" s="75" t="s">
        <v>168</v>
      </c>
      <c r="B68" s="7" t="s">
        <v>8</v>
      </c>
      <c r="D68" s="5" t="s">
        <v>169</v>
      </c>
      <c r="E68" s="6">
        <v>0</v>
      </c>
      <c r="F68" s="6">
        <v>2</v>
      </c>
      <c r="G68" s="6">
        <v>0</v>
      </c>
      <c r="H68" s="12">
        <v>2</v>
      </c>
      <c r="I68" s="6">
        <v>13</v>
      </c>
      <c r="J68" s="6">
        <v>0</v>
      </c>
      <c r="K68" s="6">
        <v>288</v>
      </c>
      <c r="L68" s="6">
        <v>2</v>
      </c>
      <c r="M68" s="12">
        <v>4</v>
      </c>
      <c r="N68" s="6">
        <v>1705</v>
      </c>
      <c r="O68" s="35">
        <f t="shared" si="0"/>
        <v>8.5250000000000004</v>
      </c>
    </row>
    <row r="69" spans="1:17">
      <c r="A69" s="75" t="s">
        <v>170</v>
      </c>
      <c r="B69" s="7" t="s">
        <v>8</v>
      </c>
      <c r="D69" s="5" t="s">
        <v>170</v>
      </c>
      <c r="E69" s="6">
        <v>1</v>
      </c>
      <c r="F69" s="6">
        <v>0</v>
      </c>
      <c r="G69" s="6">
        <v>0</v>
      </c>
      <c r="H69" s="12">
        <v>6</v>
      </c>
      <c r="I69" s="6">
        <v>11</v>
      </c>
      <c r="J69" s="6">
        <v>0</v>
      </c>
      <c r="K69" s="6">
        <v>333</v>
      </c>
      <c r="L69" s="6">
        <v>0</v>
      </c>
      <c r="M69" s="12">
        <v>3</v>
      </c>
      <c r="N69" s="6">
        <v>1671</v>
      </c>
      <c r="O69" s="35">
        <f t="shared" si="0"/>
        <v>8.3550000000000004</v>
      </c>
    </row>
    <row r="70" spans="1:17">
      <c r="A70" s="75" t="s">
        <v>171</v>
      </c>
      <c r="B70" s="7" t="s">
        <v>9</v>
      </c>
      <c r="D70" s="5" t="s">
        <v>172</v>
      </c>
      <c r="E70" s="6">
        <v>1</v>
      </c>
      <c r="F70" s="6">
        <v>0</v>
      </c>
      <c r="G70" s="6">
        <v>0</v>
      </c>
      <c r="H70" s="12">
        <v>1</v>
      </c>
      <c r="I70" s="6">
        <v>10</v>
      </c>
      <c r="J70" s="6">
        <v>0</v>
      </c>
      <c r="K70" s="6">
        <v>46</v>
      </c>
      <c r="L70" s="6">
        <v>0</v>
      </c>
      <c r="M70" s="12">
        <v>3</v>
      </c>
      <c r="N70" s="6">
        <v>1499</v>
      </c>
      <c r="O70" s="35">
        <f t="shared" si="0"/>
        <v>7.4950000000000001</v>
      </c>
    </row>
    <row r="71" spans="1:17">
      <c r="A71" s="75" t="s">
        <v>173</v>
      </c>
      <c r="B71" s="7" t="s">
        <v>9</v>
      </c>
      <c r="D71" s="5" t="s">
        <v>174</v>
      </c>
      <c r="E71" s="6">
        <v>0</v>
      </c>
      <c r="F71" s="6">
        <v>2</v>
      </c>
      <c r="G71" s="6">
        <v>2</v>
      </c>
      <c r="H71" s="12">
        <v>4</v>
      </c>
      <c r="I71" s="6">
        <v>50</v>
      </c>
      <c r="J71" s="6">
        <v>1</v>
      </c>
      <c r="K71" s="6">
        <v>1026</v>
      </c>
      <c r="L71" s="6">
        <v>0</v>
      </c>
      <c r="M71" s="12">
        <v>7</v>
      </c>
      <c r="N71" s="6">
        <v>1403</v>
      </c>
      <c r="O71" s="35">
        <f t="shared" si="0"/>
        <v>7.0149999999999997</v>
      </c>
    </row>
    <row r="72" spans="1:17">
      <c r="A72" s="75" t="s">
        <v>175</v>
      </c>
      <c r="B72" s="7" t="s">
        <v>10</v>
      </c>
      <c r="D72" s="5" t="s">
        <v>176</v>
      </c>
      <c r="E72" s="6">
        <v>0</v>
      </c>
      <c r="F72" s="6">
        <v>0</v>
      </c>
      <c r="G72" s="6">
        <v>3</v>
      </c>
      <c r="H72" s="12">
        <v>7</v>
      </c>
      <c r="I72" s="6">
        <v>51</v>
      </c>
      <c r="J72" s="6">
        <v>1</v>
      </c>
      <c r="K72" s="6">
        <v>2902</v>
      </c>
      <c r="L72" s="6">
        <v>0</v>
      </c>
      <c r="M72" s="12">
        <v>4</v>
      </c>
      <c r="N72" s="6">
        <v>1370</v>
      </c>
      <c r="O72" s="35">
        <f t="shared" si="0"/>
        <v>6.85</v>
      </c>
    </row>
    <row r="73" spans="1:17">
      <c r="A73" s="75" t="s">
        <v>177</v>
      </c>
      <c r="B73" s="7" t="s">
        <v>8</v>
      </c>
      <c r="D73" s="5" t="s">
        <v>178</v>
      </c>
      <c r="E73" s="6">
        <v>1</v>
      </c>
      <c r="F73" s="6">
        <v>1</v>
      </c>
      <c r="G73" s="6">
        <v>0</v>
      </c>
      <c r="H73" s="12">
        <v>4</v>
      </c>
      <c r="I73" s="6">
        <v>13</v>
      </c>
      <c r="J73" s="6">
        <v>0</v>
      </c>
      <c r="K73" s="6">
        <v>238</v>
      </c>
      <c r="L73" s="6">
        <v>1</v>
      </c>
      <c r="M73" s="12">
        <v>4</v>
      </c>
      <c r="N73" s="6">
        <v>1319</v>
      </c>
      <c r="O73" s="35">
        <f t="shared" si="0"/>
        <v>6.5949999999999998</v>
      </c>
    </row>
    <row r="74" spans="1:17">
      <c r="A74" s="75" t="s">
        <v>179</v>
      </c>
      <c r="B74" s="7" t="s">
        <v>6</v>
      </c>
      <c r="D74" s="5" t="s">
        <v>179</v>
      </c>
      <c r="E74" s="6">
        <v>0</v>
      </c>
      <c r="F74" s="6">
        <v>2</v>
      </c>
      <c r="G74" s="6">
        <v>5</v>
      </c>
      <c r="H74" s="12">
        <v>8</v>
      </c>
      <c r="I74" s="6">
        <v>81</v>
      </c>
      <c r="J74" s="6">
        <v>1</v>
      </c>
      <c r="K74" s="6">
        <v>1172</v>
      </c>
      <c r="L74" s="6">
        <v>0</v>
      </c>
      <c r="M74" s="12">
        <v>5</v>
      </c>
      <c r="N74" s="6">
        <v>1197</v>
      </c>
      <c r="O74" s="35">
        <f t="shared" si="0"/>
        <v>5.9850000000000003</v>
      </c>
    </row>
    <row r="75" spans="1:17">
      <c r="A75" s="75" t="s">
        <v>180</v>
      </c>
      <c r="B75" s="7" t="s">
        <v>8</v>
      </c>
      <c r="D75" s="5" t="s">
        <v>181</v>
      </c>
      <c r="E75" s="6">
        <v>0</v>
      </c>
      <c r="F75" s="6">
        <v>2</v>
      </c>
      <c r="G75" s="6">
        <v>0</v>
      </c>
      <c r="H75" s="12">
        <v>2</v>
      </c>
      <c r="I75" s="6">
        <v>15</v>
      </c>
      <c r="J75" s="6">
        <v>1</v>
      </c>
      <c r="K75" s="6">
        <v>459</v>
      </c>
      <c r="L75" s="6">
        <v>0</v>
      </c>
      <c r="M75" s="12">
        <v>5</v>
      </c>
      <c r="N75" s="6">
        <v>1077</v>
      </c>
      <c r="O75" s="35">
        <f t="shared" ref="O75:O138" si="2" xml:space="preserve"> (N75/200)</f>
        <v>5.3849999999999998</v>
      </c>
    </row>
    <row r="76" spans="1:17">
      <c r="A76" s="75" t="s">
        <v>182</v>
      </c>
      <c r="B76" s="7" t="s">
        <v>10</v>
      </c>
      <c r="D76" s="5" t="s">
        <v>182</v>
      </c>
      <c r="E76" s="6">
        <v>0</v>
      </c>
      <c r="F76" s="6">
        <v>3</v>
      </c>
      <c r="G76" s="6">
        <v>3</v>
      </c>
      <c r="H76" s="12">
        <v>21</v>
      </c>
      <c r="I76" s="6">
        <v>148</v>
      </c>
      <c r="J76" s="6">
        <v>1</v>
      </c>
      <c r="K76" s="6">
        <v>2234</v>
      </c>
      <c r="L76" s="6">
        <v>0</v>
      </c>
      <c r="M76" s="12">
        <v>7</v>
      </c>
      <c r="N76" s="6">
        <v>1000</v>
      </c>
      <c r="O76" s="35">
        <f t="shared" si="2"/>
        <v>5</v>
      </c>
    </row>
    <row r="77" spans="1:17">
      <c r="A77" s="75" t="s">
        <v>183</v>
      </c>
      <c r="B77" s="7" t="s">
        <v>9</v>
      </c>
      <c r="D77" s="5" t="s">
        <v>184</v>
      </c>
      <c r="E77" s="6">
        <v>0</v>
      </c>
      <c r="F77" s="6">
        <v>1</v>
      </c>
      <c r="G77" s="6">
        <v>0</v>
      </c>
      <c r="H77" s="12">
        <v>8</v>
      </c>
      <c r="I77" s="6">
        <v>39</v>
      </c>
      <c r="J77" s="6">
        <v>1</v>
      </c>
      <c r="K77" s="6">
        <v>2512</v>
      </c>
      <c r="L77" s="6">
        <v>0</v>
      </c>
      <c r="M77" s="12">
        <v>5</v>
      </c>
      <c r="N77" s="6">
        <v>975</v>
      </c>
      <c r="O77" s="35">
        <f t="shared" si="2"/>
        <v>4.875</v>
      </c>
    </row>
    <row r="78" spans="1:17">
      <c r="A78" s="75" t="s">
        <v>185</v>
      </c>
      <c r="B78" s="7" t="s">
        <v>9</v>
      </c>
      <c r="D78" s="5" t="s">
        <v>186</v>
      </c>
      <c r="E78" s="6">
        <v>0</v>
      </c>
      <c r="F78" s="6">
        <v>0</v>
      </c>
      <c r="G78" s="6">
        <v>3</v>
      </c>
      <c r="H78" s="12">
        <v>4</v>
      </c>
      <c r="I78" s="6">
        <v>29</v>
      </c>
      <c r="J78" s="6">
        <v>1</v>
      </c>
      <c r="K78" s="6">
        <v>3423</v>
      </c>
      <c r="L78" s="6">
        <v>0</v>
      </c>
      <c r="M78" s="12">
        <v>5</v>
      </c>
      <c r="N78" s="6">
        <v>918</v>
      </c>
      <c r="O78" s="35">
        <f t="shared" si="2"/>
        <v>4.59</v>
      </c>
    </row>
    <row r="79" spans="1:17">
      <c r="A79" s="75" t="s">
        <v>187</v>
      </c>
      <c r="B79" s="7" t="s">
        <v>10</v>
      </c>
      <c r="D79" s="5" t="s">
        <v>188</v>
      </c>
      <c r="E79" s="6">
        <v>0</v>
      </c>
      <c r="F79" s="6">
        <v>1</v>
      </c>
      <c r="G79" s="6">
        <v>4</v>
      </c>
      <c r="H79" s="12">
        <v>17</v>
      </c>
      <c r="I79" s="6">
        <v>129</v>
      </c>
      <c r="J79" s="6">
        <v>1</v>
      </c>
      <c r="K79" s="6">
        <v>5494</v>
      </c>
      <c r="L79" s="6">
        <v>1</v>
      </c>
      <c r="M79" s="12">
        <v>8</v>
      </c>
      <c r="N79" s="6">
        <v>896</v>
      </c>
      <c r="O79" s="35">
        <f t="shared" si="2"/>
        <v>4.4800000000000004</v>
      </c>
    </row>
    <row r="80" spans="1:17">
      <c r="A80" s="109" t="s">
        <v>189</v>
      </c>
      <c r="B80" s="7" t="s">
        <v>8</v>
      </c>
      <c r="D80" s="5" t="s">
        <v>190</v>
      </c>
      <c r="E80" s="6">
        <v>0</v>
      </c>
      <c r="F80" s="6">
        <v>0</v>
      </c>
      <c r="G80" s="6">
        <v>2</v>
      </c>
      <c r="H80" s="12">
        <v>6</v>
      </c>
      <c r="I80" s="6">
        <v>72</v>
      </c>
      <c r="J80" s="6">
        <v>1</v>
      </c>
      <c r="K80" s="6">
        <v>504</v>
      </c>
      <c r="L80" s="6">
        <v>2</v>
      </c>
      <c r="M80" s="12">
        <v>5</v>
      </c>
      <c r="N80" s="6">
        <v>863</v>
      </c>
      <c r="O80" s="35">
        <f t="shared" si="2"/>
        <v>4.3150000000000004</v>
      </c>
      <c r="Q80" s="5" t="s">
        <v>156</v>
      </c>
    </row>
    <row r="81" spans="1:17">
      <c r="A81" s="75" t="s">
        <v>191</v>
      </c>
      <c r="B81" s="7" t="s">
        <v>6</v>
      </c>
      <c r="D81" s="5" t="s">
        <v>192</v>
      </c>
      <c r="E81" s="6">
        <v>0</v>
      </c>
      <c r="F81" s="6">
        <v>6</v>
      </c>
      <c r="G81" s="6">
        <v>6</v>
      </c>
      <c r="H81" s="12">
        <v>12</v>
      </c>
      <c r="I81" s="6">
        <v>110</v>
      </c>
      <c r="J81" s="6">
        <v>1</v>
      </c>
      <c r="K81" s="6">
        <v>4472</v>
      </c>
      <c r="L81" s="6">
        <v>0</v>
      </c>
      <c r="M81" s="12">
        <v>7</v>
      </c>
      <c r="N81" s="6">
        <v>827</v>
      </c>
      <c r="O81" s="35">
        <f t="shared" si="2"/>
        <v>4.1349999999999998</v>
      </c>
    </row>
    <row r="82" spans="1:17">
      <c r="A82" s="75" t="s">
        <v>193</v>
      </c>
      <c r="B82" s="7" t="s">
        <v>9</v>
      </c>
      <c r="D82" s="5" t="s">
        <v>194</v>
      </c>
      <c r="E82" s="6">
        <v>0</v>
      </c>
      <c r="F82" s="6">
        <v>0</v>
      </c>
      <c r="G82" s="6">
        <v>0</v>
      </c>
      <c r="H82" s="6">
        <v>4</v>
      </c>
      <c r="I82" s="6">
        <v>27</v>
      </c>
      <c r="J82" s="6">
        <v>1</v>
      </c>
      <c r="K82" s="6">
        <v>516</v>
      </c>
      <c r="L82" s="6">
        <v>0</v>
      </c>
      <c r="M82" s="6">
        <v>4</v>
      </c>
      <c r="N82" s="6">
        <v>759</v>
      </c>
      <c r="O82" s="35">
        <f t="shared" si="2"/>
        <v>3.7949999999999999</v>
      </c>
    </row>
    <row r="83" spans="1:17">
      <c r="A83" s="75" t="s">
        <v>195</v>
      </c>
      <c r="B83" s="7" t="s">
        <v>9</v>
      </c>
      <c r="D83" s="5" t="s">
        <v>196</v>
      </c>
      <c r="E83" s="6">
        <v>0</v>
      </c>
      <c r="F83" s="6">
        <v>1</v>
      </c>
      <c r="G83" s="6">
        <v>2</v>
      </c>
      <c r="H83" s="12">
        <v>5</v>
      </c>
      <c r="I83" s="6">
        <v>51</v>
      </c>
      <c r="J83" s="6">
        <v>1</v>
      </c>
      <c r="K83" s="6">
        <v>1160</v>
      </c>
      <c r="L83" s="6">
        <v>0</v>
      </c>
      <c r="M83" s="12">
        <v>4</v>
      </c>
      <c r="N83" s="6">
        <v>732</v>
      </c>
      <c r="O83" s="35">
        <f t="shared" si="2"/>
        <v>3.66</v>
      </c>
    </row>
    <row r="84" spans="1:17">
      <c r="A84" s="94" t="s">
        <v>197</v>
      </c>
      <c r="B84" s="7" t="s">
        <v>10</v>
      </c>
      <c r="D84" s="5" t="s">
        <v>198</v>
      </c>
      <c r="E84" s="6">
        <v>0</v>
      </c>
      <c r="F84" s="6">
        <v>0</v>
      </c>
      <c r="G84" s="6">
        <v>0</v>
      </c>
      <c r="H84" s="12">
        <v>10</v>
      </c>
      <c r="I84" s="6">
        <v>104</v>
      </c>
      <c r="J84" s="6">
        <v>1</v>
      </c>
      <c r="K84" s="6">
        <v>1162</v>
      </c>
      <c r="L84" s="6">
        <v>8</v>
      </c>
      <c r="M84" s="12">
        <v>3</v>
      </c>
      <c r="N84" s="6">
        <v>721</v>
      </c>
      <c r="O84" s="35">
        <f t="shared" si="2"/>
        <v>3.605</v>
      </c>
      <c r="Q84" s="5" t="s">
        <v>156</v>
      </c>
    </row>
    <row r="85" spans="1:17">
      <c r="A85" s="75" t="s">
        <v>199</v>
      </c>
      <c r="B85" s="7" t="s">
        <v>7</v>
      </c>
      <c r="D85" s="5" t="s">
        <v>200</v>
      </c>
      <c r="E85" s="6">
        <v>5</v>
      </c>
      <c r="F85" s="6">
        <v>0</v>
      </c>
      <c r="G85" s="6">
        <v>0</v>
      </c>
      <c r="H85" s="12">
        <v>2</v>
      </c>
      <c r="I85" s="6">
        <v>5</v>
      </c>
      <c r="J85" s="6">
        <v>0</v>
      </c>
      <c r="K85" s="6">
        <v>176</v>
      </c>
      <c r="L85" s="6">
        <v>0</v>
      </c>
      <c r="M85" s="12">
        <v>4</v>
      </c>
      <c r="N85" s="6">
        <v>668</v>
      </c>
      <c r="O85" s="35">
        <f t="shared" si="2"/>
        <v>3.34</v>
      </c>
    </row>
    <row r="86" spans="1:17" s="8" customFormat="1">
      <c r="A86" s="76" t="s">
        <v>201</v>
      </c>
      <c r="B86" s="10"/>
      <c r="C86" s="7"/>
      <c r="D86" s="8" t="s">
        <v>202</v>
      </c>
      <c r="E86" s="9">
        <v>0</v>
      </c>
      <c r="F86" s="9">
        <v>0</v>
      </c>
      <c r="G86" s="9">
        <v>0</v>
      </c>
      <c r="H86" s="9">
        <v>4</v>
      </c>
      <c r="I86" s="9">
        <v>14</v>
      </c>
      <c r="J86" s="9">
        <v>0</v>
      </c>
      <c r="K86" s="9">
        <v>190</v>
      </c>
      <c r="L86" s="9">
        <v>0</v>
      </c>
      <c r="M86" s="9">
        <v>4</v>
      </c>
      <c r="N86" s="9">
        <v>587</v>
      </c>
      <c r="O86" s="35">
        <f t="shared" si="2"/>
        <v>2.9350000000000001</v>
      </c>
      <c r="P86" s="7"/>
    </row>
    <row r="87" spans="1:17">
      <c r="A87" s="93" t="s">
        <v>203</v>
      </c>
      <c r="B87" s="7" t="s">
        <v>9</v>
      </c>
      <c r="D87" s="5" t="s">
        <v>203</v>
      </c>
      <c r="E87" s="6">
        <v>0</v>
      </c>
      <c r="F87" s="6">
        <v>0</v>
      </c>
      <c r="G87" s="6">
        <v>2</v>
      </c>
      <c r="H87" s="12">
        <v>6</v>
      </c>
      <c r="I87" s="6">
        <v>60</v>
      </c>
      <c r="J87" s="6">
        <v>1</v>
      </c>
      <c r="K87" s="6">
        <v>2826</v>
      </c>
      <c r="L87" s="6">
        <v>0</v>
      </c>
      <c r="M87" s="12">
        <v>4</v>
      </c>
      <c r="N87" s="6">
        <v>536</v>
      </c>
      <c r="O87" s="35">
        <f t="shared" si="2"/>
        <v>2.68</v>
      </c>
    </row>
    <row r="88" spans="1:17">
      <c r="A88" s="75" t="s">
        <v>204</v>
      </c>
      <c r="B88" s="7" t="s">
        <v>9</v>
      </c>
      <c r="D88" s="5" t="s">
        <v>205</v>
      </c>
      <c r="E88" s="6">
        <v>0</v>
      </c>
      <c r="F88" s="6">
        <v>1</v>
      </c>
      <c r="G88" s="6">
        <v>0</v>
      </c>
      <c r="H88" s="12">
        <v>3</v>
      </c>
      <c r="I88" s="6">
        <v>31</v>
      </c>
      <c r="J88" s="6">
        <v>1</v>
      </c>
      <c r="K88" s="6">
        <v>999</v>
      </c>
      <c r="L88" s="6">
        <v>0</v>
      </c>
      <c r="M88" s="12">
        <v>5</v>
      </c>
      <c r="N88" s="6">
        <v>525</v>
      </c>
      <c r="O88" s="35">
        <f t="shared" si="2"/>
        <v>2.625</v>
      </c>
    </row>
    <row r="89" spans="1:17">
      <c r="A89" s="75" t="s">
        <v>206</v>
      </c>
      <c r="B89" s="7" t="s">
        <v>7</v>
      </c>
      <c r="D89" s="5" t="s">
        <v>207</v>
      </c>
      <c r="E89" s="6">
        <v>0</v>
      </c>
      <c r="F89" s="6">
        <v>0</v>
      </c>
      <c r="G89" s="6">
        <v>0</v>
      </c>
      <c r="H89" s="12">
        <v>2</v>
      </c>
      <c r="I89" s="6">
        <v>16</v>
      </c>
      <c r="J89" s="6">
        <v>0</v>
      </c>
      <c r="K89" s="6">
        <v>301</v>
      </c>
      <c r="L89" s="6">
        <v>0</v>
      </c>
      <c r="M89" s="12">
        <v>5</v>
      </c>
      <c r="N89" s="6">
        <v>484</v>
      </c>
      <c r="O89" s="35">
        <f t="shared" si="2"/>
        <v>2.42</v>
      </c>
    </row>
    <row r="90" spans="1:17">
      <c r="A90" s="75" t="s">
        <v>208</v>
      </c>
      <c r="B90" s="7" t="s">
        <v>7</v>
      </c>
      <c r="D90" s="5" t="s">
        <v>208</v>
      </c>
      <c r="E90" s="6">
        <v>2</v>
      </c>
      <c r="F90" s="6">
        <v>0</v>
      </c>
      <c r="G90" s="6">
        <v>0</v>
      </c>
      <c r="H90" s="12">
        <v>2</v>
      </c>
      <c r="I90" s="6">
        <v>3</v>
      </c>
      <c r="J90" s="6">
        <v>0</v>
      </c>
      <c r="K90" s="6">
        <v>33</v>
      </c>
      <c r="L90" s="6">
        <v>0</v>
      </c>
      <c r="M90" s="12">
        <v>3</v>
      </c>
      <c r="N90" s="6">
        <v>454</v>
      </c>
      <c r="O90" s="35">
        <f t="shared" si="2"/>
        <v>2.27</v>
      </c>
    </row>
    <row r="91" spans="1:17">
      <c r="A91" s="75" t="s">
        <v>209</v>
      </c>
      <c r="B91" s="7" t="s">
        <v>9</v>
      </c>
      <c r="D91" s="5" t="s">
        <v>210</v>
      </c>
      <c r="E91" s="6">
        <v>0</v>
      </c>
      <c r="F91" s="6">
        <v>1</v>
      </c>
      <c r="G91" s="6">
        <v>0</v>
      </c>
      <c r="H91" s="12">
        <v>4</v>
      </c>
      <c r="I91" s="6">
        <v>29</v>
      </c>
      <c r="J91" s="6">
        <v>1</v>
      </c>
      <c r="K91" s="6">
        <v>2655</v>
      </c>
      <c r="L91" s="6">
        <v>0</v>
      </c>
      <c r="M91" s="12">
        <v>5</v>
      </c>
      <c r="N91" s="6">
        <v>424</v>
      </c>
      <c r="O91" s="35">
        <f t="shared" si="2"/>
        <v>2.12</v>
      </c>
    </row>
    <row r="92" spans="1:17">
      <c r="A92" s="75" t="s">
        <v>211</v>
      </c>
      <c r="B92" s="7" t="s">
        <v>7</v>
      </c>
      <c r="D92" s="5" t="s">
        <v>212</v>
      </c>
      <c r="E92" s="6">
        <v>3</v>
      </c>
      <c r="F92" s="6">
        <v>0</v>
      </c>
      <c r="G92" s="6">
        <v>0</v>
      </c>
      <c r="H92" s="12">
        <v>0</v>
      </c>
      <c r="I92" s="6">
        <v>3</v>
      </c>
      <c r="J92" s="6">
        <v>0</v>
      </c>
      <c r="K92" s="6">
        <v>0</v>
      </c>
      <c r="L92" s="6">
        <v>0</v>
      </c>
      <c r="M92" s="12">
        <v>3</v>
      </c>
      <c r="N92" s="6">
        <v>391</v>
      </c>
      <c r="O92" s="35">
        <f t="shared" si="2"/>
        <v>1.9550000000000001</v>
      </c>
    </row>
    <row r="93" spans="1:17">
      <c r="A93" s="75" t="s">
        <v>213</v>
      </c>
      <c r="B93" s="7" t="s">
        <v>9</v>
      </c>
      <c r="D93" s="5" t="s">
        <v>214</v>
      </c>
      <c r="E93" s="6">
        <v>0</v>
      </c>
      <c r="F93" s="6">
        <v>0</v>
      </c>
      <c r="G93" s="6">
        <v>3</v>
      </c>
      <c r="H93" s="12">
        <v>4</v>
      </c>
      <c r="I93" s="6">
        <v>30</v>
      </c>
      <c r="J93" s="6">
        <v>0</v>
      </c>
      <c r="K93" s="6">
        <v>357</v>
      </c>
      <c r="L93" s="6">
        <v>0</v>
      </c>
      <c r="M93" s="12">
        <v>7</v>
      </c>
      <c r="N93" s="6">
        <v>374</v>
      </c>
      <c r="O93" s="35">
        <f t="shared" si="2"/>
        <v>1.87</v>
      </c>
    </row>
    <row r="94" spans="1:17">
      <c r="A94" s="75" t="s">
        <v>215</v>
      </c>
      <c r="B94" s="7" t="s">
        <v>7</v>
      </c>
      <c r="D94" s="5" t="s">
        <v>216</v>
      </c>
      <c r="E94" s="6">
        <v>1</v>
      </c>
      <c r="F94" s="6">
        <v>0</v>
      </c>
      <c r="G94" s="6">
        <v>0</v>
      </c>
      <c r="H94" s="12">
        <v>1</v>
      </c>
      <c r="I94" s="6">
        <v>5</v>
      </c>
      <c r="J94" s="6">
        <v>0</v>
      </c>
      <c r="K94" s="6">
        <v>140</v>
      </c>
      <c r="L94" s="6">
        <v>1</v>
      </c>
      <c r="M94" s="12">
        <v>3</v>
      </c>
      <c r="N94" s="6">
        <v>365</v>
      </c>
      <c r="O94" s="35">
        <f t="shared" si="2"/>
        <v>1.825</v>
      </c>
    </row>
    <row r="95" spans="1:17">
      <c r="A95" s="75" t="s">
        <v>217</v>
      </c>
      <c r="B95" s="7" t="s">
        <v>10</v>
      </c>
      <c r="D95" s="5" t="s">
        <v>218</v>
      </c>
      <c r="E95" s="6">
        <v>0</v>
      </c>
      <c r="F95" s="6">
        <v>4</v>
      </c>
      <c r="G95" s="6">
        <v>0</v>
      </c>
      <c r="H95" s="12">
        <v>2</v>
      </c>
      <c r="I95" s="6">
        <v>39</v>
      </c>
      <c r="J95" s="6">
        <v>1</v>
      </c>
      <c r="K95" s="6">
        <v>3041</v>
      </c>
      <c r="L95" s="6">
        <v>2</v>
      </c>
      <c r="M95" s="12">
        <v>6</v>
      </c>
      <c r="N95" s="6">
        <v>365</v>
      </c>
      <c r="O95" s="35">
        <f t="shared" si="2"/>
        <v>1.825</v>
      </c>
    </row>
    <row r="96" spans="1:17">
      <c r="A96" s="75" t="s">
        <v>219</v>
      </c>
      <c r="B96" s="7" t="s">
        <v>10</v>
      </c>
      <c r="D96" s="5" t="s">
        <v>220</v>
      </c>
      <c r="E96" s="6">
        <v>0</v>
      </c>
      <c r="F96" s="6">
        <v>1</v>
      </c>
      <c r="G96" s="6">
        <v>0</v>
      </c>
      <c r="H96" s="12">
        <v>2</v>
      </c>
      <c r="I96" s="6">
        <v>22</v>
      </c>
      <c r="J96" s="6">
        <v>1</v>
      </c>
      <c r="K96" s="6">
        <v>2224</v>
      </c>
      <c r="L96" s="6">
        <v>0</v>
      </c>
      <c r="M96" s="12">
        <v>6</v>
      </c>
      <c r="N96" s="6">
        <v>300</v>
      </c>
      <c r="O96" s="35">
        <f t="shared" si="2"/>
        <v>1.5</v>
      </c>
    </row>
    <row r="97" spans="1:17">
      <c r="A97" s="75" t="s">
        <v>221</v>
      </c>
      <c r="B97" s="7" t="s">
        <v>6</v>
      </c>
      <c r="D97" s="5" t="s">
        <v>222</v>
      </c>
      <c r="E97" s="6">
        <v>0</v>
      </c>
      <c r="F97" s="6">
        <v>2</v>
      </c>
      <c r="G97" s="6">
        <v>3</v>
      </c>
      <c r="H97" s="12">
        <v>26</v>
      </c>
      <c r="I97" s="6">
        <v>204</v>
      </c>
      <c r="J97" s="6">
        <v>0</v>
      </c>
      <c r="K97" s="6">
        <v>1164</v>
      </c>
      <c r="L97" s="6">
        <v>0</v>
      </c>
      <c r="M97" s="12">
        <v>6</v>
      </c>
      <c r="N97" s="6">
        <v>292</v>
      </c>
      <c r="O97" s="35">
        <f t="shared" si="2"/>
        <v>1.46</v>
      </c>
    </row>
    <row r="98" spans="1:17">
      <c r="A98" s="75" t="s">
        <v>223</v>
      </c>
      <c r="B98" s="7" t="s">
        <v>9</v>
      </c>
      <c r="D98" s="5" t="s">
        <v>224</v>
      </c>
      <c r="E98" s="6">
        <v>0</v>
      </c>
      <c r="F98" s="6">
        <v>1</v>
      </c>
      <c r="G98" s="6">
        <v>0</v>
      </c>
      <c r="H98" s="12">
        <v>2</v>
      </c>
      <c r="I98" s="6">
        <v>22</v>
      </c>
      <c r="J98" s="6">
        <v>1</v>
      </c>
      <c r="K98" s="6">
        <v>1497</v>
      </c>
      <c r="L98" s="6">
        <v>0</v>
      </c>
      <c r="M98" s="12">
        <v>5</v>
      </c>
      <c r="N98" s="6">
        <v>288</v>
      </c>
      <c r="O98" s="35">
        <f t="shared" si="2"/>
        <v>1.44</v>
      </c>
    </row>
    <row r="99" spans="1:17">
      <c r="A99" s="75" t="s">
        <v>225</v>
      </c>
      <c r="B99" s="7" t="s">
        <v>10</v>
      </c>
      <c r="D99" s="5" t="s">
        <v>226</v>
      </c>
      <c r="E99" s="6">
        <v>0</v>
      </c>
      <c r="F99" s="6">
        <v>1</v>
      </c>
      <c r="G99" s="6">
        <v>2</v>
      </c>
      <c r="H99" s="12">
        <v>5</v>
      </c>
      <c r="I99" s="6">
        <v>29</v>
      </c>
      <c r="J99" s="6">
        <v>0</v>
      </c>
      <c r="K99" s="6">
        <v>1584</v>
      </c>
      <c r="L99" s="6">
        <v>2</v>
      </c>
      <c r="M99" s="12">
        <v>5</v>
      </c>
      <c r="N99" s="6">
        <v>281</v>
      </c>
      <c r="O99" s="35">
        <f t="shared" si="2"/>
        <v>1.405</v>
      </c>
    </row>
    <row r="100" spans="1:17">
      <c r="A100" s="75" t="s">
        <v>227</v>
      </c>
      <c r="B100" s="7" t="s">
        <v>9</v>
      </c>
      <c r="D100" s="5" t="s">
        <v>228</v>
      </c>
      <c r="E100" s="6">
        <v>3</v>
      </c>
      <c r="F100" s="6">
        <v>4</v>
      </c>
      <c r="G100" s="6">
        <v>0</v>
      </c>
      <c r="H100" s="12">
        <v>4</v>
      </c>
      <c r="I100" s="6">
        <v>25</v>
      </c>
      <c r="J100" s="6">
        <v>1</v>
      </c>
      <c r="K100" s="6">
        <v>555</v>
      </c>
      <c r="L100" s="6">
        <v>0</v>
      </c>
      <c r="M100" s="12">
        <v>4</v>
      </c>
      <c r="N100" s="6">
        <v>260</v>
      </c>
      <c r="O100" s="35">
        <f t="shared" si="2"/>
        <v>1.3</v>
      </c>
    </row>
    <row r="101" spans="1:17">
      <c r="A101" s="94" t="s">
        <v>229</v>
      </c>
      <c r="B101" s="7" t="s">
        <v>8</v>
      </c>
      <c r="D101" s="5" t="s">
        <v>230</v>
      </c>
      <c r="E101" s="6">
        <v>0</v>
      </c>
      <c r="F101" s="6">
        <v>0</v>
      </c>
      <c r="G101" s="6">
        <v>6</v>
      </c>
      <c r="H101" s="12">
        <v>1</v>
      </c>
      <c r="I101" s="6">
        <v>9</v>
      </c>
      <c r="J101" s="6">
        <v>0</v>
      </c>
      <c r="K101" s="6">
        <v>168</v>
      </c>
      <c r="L101" s="6">
        <v>0</v>
      </c>
      <c r="M101" s="12">
        <v>4</v>
      </c>
      <c r="N101" s="6">
        <v>257</v>
      </c>
      <c r="O101" s="35">
        <f t="shared" si="2"/>
        <v>1.2849999999999999</v>
      </c>
      <c r="Q101" s="5" t="s">
        <v>156</v>
      </c>
    </row>
    <row r="102" spans="1:17">
      <c r="A102" s="75" t="s">
        <v>213</v>
      </c>
      <c r="B102" s="7" t="s">
        <v>9</v>
      </c>
      <c r="D102" s="5" t="s">
        <v>231</v>
      </c>
      <c r="E102" s="6">
        <v>1</v>
      </c>
      <c r="F102" s="6">
        <v>3</v>
      </c>
      <c r="G102" s="6">
        <v>3</v>
      </c>
      <c r="H102" s="12">
        <v>10</v>
      </c>
      <c r="I102" s="6">
        <v>95</v>
      </c>
      <c r="J102" s="6">
        <v>0</v>
      </c>
      <c r="K102" s="6">
        <v>3629</v>
      </c>
      <c r="L102" s="6">
        <v>0</v>
      </c>
      <c r="M102" s="12">
        <v>6</v>
      </c>
      <c r="N102" s="6">
        <v>244</v>
      </c>
      <c r="O102" s="35">
        <f t="shared" si="2"/>
        <v>1.22</v>
      </c>
    </row>
    <row r="103" spans="1:17">
      <c r="A103" s="75" t="s">
        <v>232</v>
      </c>
      <c r="B103" s="7" t="s">
        <v>9</v>
      </c>
      <c r="D103" s="5" t="s">
        <v>233</v>
      </c>
      <c r="E103" s="6">
        <v>0</v>
      </c>
      <c r="F103" s="6">
        <v>0</v>
      </c>
      <c r="G103" s="6">
        <v>0</v>
      </c>
      <c r="H103" s="12">
        <v>4</v>
      </c>
      <c r="I103" s="6">
        <v>30</v>
      </c>
      <c r="J103" s="6">
        <v>1</v>
      </c>
      <c r="K103" s="6">
        <v>1493</v>
      </c>
      <c r="L103" s="6">
        <v>0</v>
      </c>
      <c r="M103" s="12">
        <v>5</v>
      </c>
      <c r="N103" s="6">
        <v>233</v>
      </c>
      <c r="O103" s="35">
        <f t="shared" si="2"/>
        <v>1.165</v>
      </c>
    </row>
    <row r="104" spans="1:17">
      <c r="A104" s="75" t="s">
        <v>234</v>
      </c>
      <c r="B104" s="7" t="s">
        <v>10</v>
      </c>
      <c r="D104" s="5" t="s">
        <v>234</v>
      </c>
      <c r="E104" s="6">
        <v>0</v>
      </c>
      <c r="F104" s="6">
        <v>4</v>
      </c>
      <c r="G104" s="6">
        <v>3</v>
      </c>
      <c r="H104" s="12">
        <v>24</v>
      </c>
      <c r="I104" s="6">
        <v>185</v>
      </c>
      <c r="J104" s="6">
        <v>1</v>
      </c>
      <c r="K104" s="6">
        <v>4532</v>
      </c>
      <c r="L104" s="6">
        <v>1</v>
      </c>
      <c r="M104" s="12">
        <v>7</v>
      </c>
      <c r="N104" s="6">
        <v>222</v>
      </c>
      <c r="O104" s="35">
        <f t="shared" si="2"/>
        <v>1.1100000000000001</v>
      </c>
    </row>
    <row r="105" spans="1:17">
      <c r="A105" s="75" t="s">
        <v>235</v>
      </c>
      <c r="B105" s="14"/>
      <c r="D105" s="5" t="s">
        <v>236</v>
      </c>
      <c r="E105" s="6">
        <v>1</v>
      </c>
      <c r="F105" s="6">
        <v>0</v>
      </c>
      <c r="G105" s="6">
        <v>0</v>
      </c>
      <c r="H105" s="12">
        <v>0</v>
      </c>
      <c r="I105" s="6">
        <v>11</v>
      </c>
      <c r="J105" s="6">
        <v>0</v>
      </c>
      <c r="K105" s="6">
        <v>263</v>
      </c>
      <c r="L105" s="6">
        <v>0</v>
      </c>
      <c r="M105" s="12">
        <v>4</v>
      </c>
      <c r="N105" s="6">
        <v>200</v>
      </c>
      <c r="O105" s="35">
        <f t="shared" si="2"/>
        <v>1</v>
      </c>
    </row>
    <row r="106" spans="1:17">
      <c r="A106" s="75" t="s">
        <v>237</v>
      </c>
      <c r="B106" s="7" t="s">
        <v>9</v>
      </c>
      <c r="D106" s="5" t="s">
        <v>238</v>
      </c>
      <c r="E106" s="6">
        <v>0</v>
      </c>
      <c r="F106" s="6">
        <v>0</v>
      </c>
      <c r="G106" s="6">
        <v>2</v>
      </c>
      <c r="H106" s="12">
        <v>4</v>
      </c>
      <c r="I106" s="6">
        <v>19</v>
      </c>
      <c r="J106" s="6">
        <v>0</v>
      </c>
      <c r="K106" s="6">
        <v>303</v>
      </c>
      <c r="L106" s="6">
        <v>0</v>
      </c>
      <c r="M106" s="12">
        <v>4</v>
      </c>
      <c r="N106" s="6">
        <v>176</v>
      </c>
      <c r="O106" s="35">
        <f t="shared" si="2"/>
        <v>0.88</v>
      </c>
    </row>
    <row r="107" spans="1:17">
      <c r="A107" s="94" t="s">
        <v>239</v>
      </c>
      <c r="B107" s="7" t="s">
        <v>8</v>
      </c>
      <c r="D107" s="5" t="s">
        <v>240</v>
      </c>
      <c r="E107" s="6">
        <v>0</v>
      </c>
      <c r="F107" s="6">
        <v>1</v>
      </c>
      <c r="G107" s="6">
        <v>0</v>
      </c>
      <c r="H107" s="12">
        <v>1</v>
      </c>
      <c r="I107" s="6">
        <v>24</v>
      </c>
      <c r="J107" s="6">
        <v>1</v>
      </c>
      <c r="K107" s="6">
        <v>546</v>
      </c>
      <c r="L107" s="6">
        <v>0</v>
      </c>
      <c r="M107" s="12">
        <v>4</v>
      </c>
      <c r="N107" s="6">
        <v>152</v>
      </c>
      <c r="O107" s="35">
        <f t="shared" si="2"/>
        <v>0.76</v>
      </c>
      <c r="Q107" s="5" t="s">
        <v>156</v>
      </c>
    </row>
    <row r="108" spans="1:17" s="88" customFormat="1">
      <c r="A108" s="92" t="s">
        <v>241</v>
      </c>
      <c r="B108" s="91"/>
      <c r="C108" s="7"/>
      <c r="D108" s="88" t="s">
        <v>242</v>
      </c>
      <c r="E108" s="89">
        <v>0</v>
      </c>
      <c r="F108" s="89">
        <v>0</v>
      </c>
      <c r="G108" s="89">
        <v>0</v>
      </c>
      <c r="H108" s="89">
        <v>0</v>
      </c>
      <c r="I108" s="89">
        <v>1</v>
      </c>
      <c r="J108" s="89">
        <v>0</v>
      </c>
      <c r="K108" s="89">
        <v>0</v>
      </c>
      <c r="L108" s="89">
        <v>0</v>
      </c>
      <c r="M108" s="89">
        <v>4</v>
      </c>
      <c r="N108" s="89">
        <v>140</v>
      </c>
      <c r="O108" s="90">
        <f t="shared" si="2"/>
        <v>0.7</v>
      </c>
      <c r="P108" s="7"/>
    </row>
    <row r="109" spans="1:17">
      <c r="A109" s="75" t="s">
        <v>243</v>
      </c>
      <c r="B109" s="7" t="s">
        <v>6</v>
      </c>
      <c r="D109" s="5" t="s">
        <v>243</v>
      </c>
      <c r="E109" s="6">
        <v>0</v>
      </c>
      <c r="F109" s="6">
        <v>0</v>
      </c>
      <c r="G109" s="6">
        <v>3</v>
      </c>
      <c r="H109" s="12">
        <v>11</v>
      </c>
      <c r="I109" s="6">
        <v>70</v>
      </c>
      <c r="J109" s="6">
        <v>0</v>
      </c>
      <c r="K109" s="6">
        <v>654</v>
      </c>
      <c r="L109" s="6">
        <v>0</v>
      </c>
      <c r="M109" s="12">
        <v>5</v>
      </c>
      <c r="N109" s="6">
        <v>134</v>
      </c>
      <c r="O109" s="35">
        <f t="shared" si="2"/>
        <v>0.67</v>
      </c>
    </row>
    <row r="110" spans="1:17">
      <c r="A110" s="75" t="s">
        <v>244</v>
      </c>
      <c r="B110" s="7" t="s">
        <v>10</v>
      </c>
      <c r="D110" s="5" t="s">
        <v>245</v>
      </c>
      <c r="E110" s="6">
        <v>0</v>
      </c>
      <c r="F110" s="6">
        <v>0</v>
      </c>
      <c r="G110" s="6">
        <v>0</v>
      </c>
      <c r="H110" s="12">
        <v>2</v>
      </c>
      <c r="I110" s="6">
        <v>32</v>
      </c>
      <c r="J110" s="6">
        <v>1</v>
      </c>
      <c r="K110" s="6">
        <v>1122</v>
      </c>
      <c r="L110" s="6">
        <v>0</v>
      </c>
      <c r="M110" s="12">
        <v>5</v>
      </c>
      <c r="N110" s="6">
        <v>122</v>
      </c>
      <c r="O110" s="35">
        <f t="shared" si="2"/>
        <v>0.61</v>
      </c>
    </row>
    <row r="111" spans="1:17">
      <c r="A111" s="75" t="s">
        <v>246</v>
      </c>
      <c r="B111" s="7" t="s">
        <v>8</v>
      </c>
      <c r="D111" s="5" t="s">
        <v>246</v>
      </c>
      <c r="E111" s="6">
        <v>1</v>
      </c>
      <c r="F111" s="6">
        <v>0</v>
      </c>
      <c r="G111" s="6">
        <v>0</v>
      </c>
      <c r="H111" s="12">
        <v>1</v>
      </c>
      <c r="I111" s="6">
        <v>4</v>
      </c>
      <c r="J111" s="6">
        <v>0</v>
      </c>
      <c r="K111" s="6">
        <v>0</v>
      </c>
      <c r="L111" s="6">
        <v>0</v>
      </c>
      <c r="M111" s="12">
        <v>3</v>
      </c>
      <c r="N111" s="6">
        <v>120</v>
      </c>
      <c r="O111" s="35">
        <f t="shared" si="2"/>
        <v>0.6</v>
      </c>
    </row>
    <row r="112" spans="1:17">
      <c r="A112" s="75" t="s">
        <v>247</v>
      </c>
      <c r="B112" s="7" t="s">
        <v>9</v>
      </c>
      <c r="D112" s="5" t="s">
        <v>248</v>
      </c>
      <c r="E112" s="6">
        <v>0</v>
      </c>
      <c r="F112" s="6">
        <v>1</v>
      </c>
      <c r="G112" s="6">
        <v>0</v>
      </c>
      <c r="H112" s="12">
        <v>3</v>
      </c>
      <c r="I112" s="6">
        <v>22</v>
      </c>
      <c r="J112" s="6">
        <v>1</v>
      </c>
      <c r="K112" s="6">
        <v>765</v>
      </c>
      <c r="L112" s="6">
        <v>0</v>
      </c>
      <c r="M112" s="12">
        <v>7</v>
      </c>
      <c r="N112" s="6">
        <v>105</v>
      </c>
      <c r="O112" s="35">
        <f t="shared" si="2"/>
        <v>0.52500000000000002</v>
      </c>
    </row>
    <row r="113" spans="1:17">
      <c r="A113" s="109" t="s">
        <v>249</v>
      </c>
      <c r="B113" s="7" t="s">
        <v>8</v>
      </c>
      <c r="D113" s="5" t="s">
        <v>250</v>
      </c>
      <c r="E113" s="6">
        <v>1</v>
      </c>
      <c r="F113" s="6">
        <v>2</v>
      </c>
      <c r="G113" s="6">
        <v>0</v>
      </c>
      <c r="H113" s="12">
        <v>3</v>
      </c>
      <c r="I113" s="6">
        <v>25</v>
      </c>
      <c r="J113" s="6">
        <v>1</v>
      </c>
      <c r="K113" s="6">
        <v>232</v>
      </c>
      <c r="L113" s="6">
        <v>0</v>
      </c>
      <c r="M113" s="12">
        <v>4</v>
      </c>
      <c r="N113" s="6">
        <v>105</v>
      </c>
      <c r="O113" s="35">
        <f t="shared" si="2"/>
        <v>0.52500000000000002</v>
      </c>
      <c r="Q113" s="5" t="s">
        <v>156</v>
      </c>
    </row>
    <row r="114" spans="1:17">
      <c r="A114" s="75" t="s">
        <v>251</v>
      </c>
      <c r="B114" s="7" t="s">
        <v>9</v>
      </c>
      <c r="D114" s="5" t="s">
        <v>252</v>
      </c>
      <c r="E114" s="6">
        <v>0</v>
      </c>
      <c r="F114" s="6">
        <v>4</v>
      </c>
      <c r="G114" s="6">
        <v>0</v>
      </c>
      <c r="H114" s="12">
        <v>2</v>
      </c>
      <c r="I114" s="6">
        <v>44</v>
      </c>
      <c r="J114" s="6">
        <v>1</v>
      </c>
      <c r="K114" s="6">
        <v>1191</v>
      </c>
      <c r="L114" s="6">
        <v>0</v>
      </c>
      <c r="M114" s="12">
        <v>7</v>
      </c>
      <c r="N114" s="6">
        <v>102</v>
      </c>
      <c r="O114" s="35">
        <f t="shared" si="2"/>
        <v>0.51</v>
      </c>
    </row>
    <row r="115" spans="1:17">
      <c r="A115" s="110" t="s">
        <v>253</v>
      </c>
      <c r="B115" s="7" t="s">
        <v>8</v>
      </c>
      <c r="D115" s="5" t="s">
        <v>254</v>
      </c>
      <c r="E115" s="6">
        <v>0</v>
      </c>
      <c r="F115" s="6">
        <v>6</v>
      </c>
      <c r="G115" s="6">
        <v>3</v>
      </c>
      <c r="H115" s="12">
        <v>9</v>
      </c>
      <c r="I115" s="6">
        <v>78</v>
      </c>
      <c r="J115" s="6">
        <v>1</v>
      </c>
      <c r="K115" s="6">
        <v>2141</v>
      </c>
      <c r="L115" s="6">
        <v>0</v>
      </c>
      <c r="M115" s="12">
        <v>5</v>
      </c>
      <c r="N115" s="6">
        <v>100</v>
      </c>
      <c r="O115" s="35">
        <f t="shared" si="2"/>
        <v>0.5</v>
      </c>
      <c r="Q115" s="5" t="s">
        <v>156</v>
      </c>
    </row>
    <row r="116" spans="1:17">
      <c r="A116" s="94" t="s">
        <v>255</v>
      </c>
      <c r="B116" s="7" t="s">
        <v>9</v>
      </c>
      <c r="D116" s="5" t="s">
        <v>256</v>
      </c>
      <c r="E116" s="6">
        <v>0</v>
      </c>
      <c r="F116" s="6">
        <v>0</v>
      </c>
      <c r="G116" s="6">
        <v>4</v>
      </c>
      <c r="H116" s="12">
        <v>11</v>
      </c>
      <c r="I116" s="6">
        <v>54</v>
      </c>
      <c r="J116" s="6">
        <v>1</v>
      </c>
      <c r="K116" s="6">
        <v>613</v>
      </c>
      <c r="L116" s="6">
        <v>0</v>
      </c>
      <c r="M116" s="12">
        <v>5</v>
      </c>
      <c r="N116" s="6">
        <v>97</v>
      </c>
      <c r="O116" s="35">
        <f t="shared" si="2"/>
        <v>0.48499999999999999</v>
      </c>
      <c r="Q116" s="5" t="s">
        <v>156</v>
      </c>
    </row>
    <row r="117" spans="1:17">
      <c r="A117" s="75" t="s">
        <v>257</v>
      </c>
      <c r="B117" s="7" t="s">
        <v>9</v>
      </c>
      <c r="D117" s="5" t="s">
        <v>258</v>
      </c>
      <c r="E117" s="6">
        <v>0</v>
      </c>
      <c r="F117" s="6">
        <v>1</v>
      </c>
      <c r="G117" s="6">
        <v>0</v>
      </c>
      <c r="H117" s="12">
        <v>3</v>
      </c>
      <c r="I117" s="6">
        <v>19</v>
      </c>
      <c r="J117" s="6">
        <v>1</v>
      </c>
      <c r="K117" s="6">
        <v>664</v>
      </c>
      <c r="L117" s="6">
        <v>0</v>
      </c>
      <c r="M117" s="12">
        <v>4</v>
      </c>
      <c r="N117" s="6">
        <v>93</v>
      </c>
      <c r="O117" s="35">
        <f t="shared" si="2"/>
        <v>0.46500000000000002</v>
      </c>
    </row>
    <row r="118" spans="1:17">
      <c r="A118" s="75" t="s">
        <v>259</v>
      </c>
      <c r="B118" s="7" t="s">
        <v>8</v>
      </c>
      <c r="D118" s="5" t="s">
        <v>260</v>
      </c>
      <c r="E118" s="6">
        <v>0</v>
      </c>
      <c r="F118" s="6">
        <v>1</v>
      </c>
      <c r="G118" s="6">
        <v>0</v>
      </c>
      <c r="H118" s="12">
        <v>2</v>
      </c>
      <c r="I118" s="6">
        <v>16</v>
      </c>
      <c r="J118" s="6">
        <v>1</v>
      </c>
      <c r="K118" s="6">
        <v>103</v>
      </c>
      <c r="L118" s="6">
        <v>0</v>
      </c>
      <c r="M118" s="12">
        <v>4</v>
      </c>
      <c r="N118" s="6">
        <v>85</v>
      </c>
      <c r="O118" s="35">
        <f t="shared" si="2"/>
        <v>0.42499999999999999</v>
      </c>
    </row>
    <row r="119" spans="1:17">
      <c r="A119" s="94" t="s">
        <v>261</v>
      </c>
      <c r="B119" s="7" t="s">
        <v>8</v>
      </c>
      <c r="D119" s="5" t="s">
        <v>262</v>
      </c>
      <c r="E119" s="6">
        <v>0</v>
      </c>
      <c r="F119" s="6">
        <v>0</v>
      </c>
      <c r="G119" s="6">
        <v>0</v>
      </c>
      <c r="H119" s="12">
        <v>2</v>
      </c>
      <c r="I119" s="6">
        <v>19</v>
      </c>
      <c r="J119" s="6">
        <v>1</v>
      </c>
      <c r="K119" s="6">
        <v>253</v>
      </c>
      <c r="L119" s="6">
        <v>0</v>
      </c>
      <c r="M119" s="12">
        <v>4</v>
      </c>
      <c r="N119" s="6">
        <v>80</v>
      </c>
      <c r="O119" s="35">
        <f t="shared" si="2"/>
        <v>0.4</v>
      </c>
      <c r="Q119" s="5" t="s">
        <v>156</v>
      </c>
    </row>
    <row r="120" spans="1:17">
      <c r="A120" s="75" t="s">
        <v>263</v>
      </c>
      <c r="B120" s="7" t="s">
        <v>9</v>
      </c>
      <c r="D120" s="5" t="s">
        <v>264</v>
      </c>
      <c r="E120" s="6">
        <v>0</v>
      </c>
      <c r="F120" s="6">
        <v>0</v>
      </c>
      <c r="G120" s="6">
        <v>2</v>
      </c>
      <c r="H120" s="12">
        <v>5</v>
      </c>
      <c r="I120" s="6">
        <v>30</v>
      </c>
      <c r="J120" s="6">
        <v>1</v>
      </c>
      <c r="K120" s="6">
        <v>1942</v>
      </c>
      <c r="L120" s="6">
        <v>0</v>
      </c>
      <c r="M120" s="12">
        <v>4</v>
      </c>
      <c r="N120" s="6">
        <v>80</v>
      </c>
      <c r="O120" s="35">
        <f t="shared" si="2"/>
        <v>0.4</v>
      </c>
    </row>
    <row r="121" spans="1:17">
      <c r="A121" s="75" t="s">
        <v>265</v>
      </c>
      <c r="B121" s="7" t="s">
        <v>8</v>
      </c>
      <c r="D121" s="5" t="s">
        <v>266</v>
      </c>
      <c r="E121" s="6">
        <v>0</v>
      </c>
      <c r="F121" s="6">
        <v>0</v>
      </c>
      <c r="G121" s="6">
        <v>2</v>
      </c>
      <c r="H121" s="12">
        <v>6</v>
      </c>
      <c r="I121" s="6">
        <v>33</v>
      </c>
      <c r="J121" s="6">
        <v>1</v>
      </c>
      <c r="K121" s="6">
        <v>236</v>
      </c>
      <c r="L121" s="6">
        <v>0</v>
      </c>
      <c r="M121" s="12">
        <v>4</v>
      </c>
      <c r="N121" s="6">
        <v>68</v>
      </c>
      <c r="O121" s="35">
        <f t="shared" si="2"/>
        <v>0.34</v>
      </c>
    </row>
    <row r="122" spans="1:17">
      <c r="A122" s="75" t="s">
        <v>267</v>
      </c>
      <c r="B122" s="7" t="s">
        <v>9</v>
      </c>
      <c r="D122" s="5" t="s">
        <v>267</v>
      </c>
      <c r="E122" s="6">
        <v>0</v>
      </c>
      <c r="F122" s="6">
        <v>0</v>
      </c>
      <c r="G122" s="6">
        <v>0</v>
      </c>
      <c r="H122" s="12">
        <v>2</v>
      </c>
      <c r="I122" s="6">
        <v>30</v>
      </c>
      <c r="J122" s="6">
        <v>1</v>
      </c>
      <c r="K122" s="6">
        <v>3036</v>
      </c>
      <c r="L122" s="6">
        <v>0</v>
      </c>
      <c r="M122" s="12">
        <v>4</v>
      </c>
      <c r="N122" s="6">
        <v>67</v>
      </c>
      <c r="O122" s="35">
        <f t="shared" si="2"/>
        <v>0.33500000000000002</v>
      </c>
    </row>
    <row r="123" spans="1:17">
      <c r="A123" s="75" t="s">
        <v>268</v>
      </c>
      <c r="B123" s="7" t="s">
        <v>8</v>
      </c>
      <c r="D123" s="5" t="s">
        <v>269</v>
      </c>
      <c r="E123" s="6">
        <v>0</v>
      </c>
      <c r="F123" s="6">
        <v>0</v>
      </c>
      <c r="G123" s="6">
        <v>0</v>
      </c>
      <c r="H123" s="12">
        <v>1</v>
      </c>
      <c r="I123" s="6">
        <v>8</v>
      </c>
      <c r="J123" s="6">
        <v>0</v>
      </c>
      <c r="K123" s="6">
        <v>149</v>
      </c>
      <c r="L123" s="6">
        <v>0</v>
      </c>
      <c r="M123" s="12">
        <v>5</v>
      </c>
      <c r="N123" s="6">
        <v>67</v>
      </c>
      <c r="O123" s="35">
        <f t="shared" si="2"/>
        <v>0.33500000000000002</v>
      </c>
    </row>
    <row r="124" spans="1:17">
      <c r="A124" s="75" t="s">
        <v>270</v>
      </c>
      <c r="B124" s="7" t="s">
        <v>8</v>
      </c>
      <c r="D124" s="5" t="s">
        <v>271</v>
      </c>
      <c r="E124" s="6">
        <v>0</v>
      </c>
      <c r="F124" s="6">
        <v>0</v>
      </c>
      <c r="G124" s="6">
        <v>0</v>
      </c>
      <c r="H124" s="12">
        <v>2</v>
      </c>
      <c r="I124" s="6">
        <v>20</v>
      </c>
      <c r="J124" s="6">
        <v>1</v>
      </c>
      <c r="K124" s="6">
        <v>504</v>
      </c>
      <c r="L124" s="6">
        <v>0</v>
      </c>
      <c r="M124" s="12">
        <v>4</v>
      </c>
      <c r="N124" s="6">
        <v>65</v>
      </c>
      <c r="O124" s="35">
        <f t="shared" si="2"/>
        <v>0.32500000000000001</v>
      </c>
    </row>
    <row r="125" spans="1:17">
      <c r="A125" s="75" t="s">
        <v>272</v>
      </c>
      <c r="B125" s="7" t="s">
        <v>8</v>
      </c>
      <c r="D125" s="5" t="s">
        <v>273</v>
      </c>
      <c r="E125" s="6">
        <v>0</v>
      </c>
      <c r="F125" s="6">
        <v>0</v>
      </c>
      <c r="G125" s="6">
        <v>0</v>
      </c>
      <c r="H125" s="12">
        <v>2</v>
      </c>
      <c r="I125" s="6">
        <v>29</v>
      </c>
      <c r="J125" s="6">
        <v>1</v>
      </c>
      <c r="K125" s="6">
        <v>1025</v>
      </c>
      <c r="L125" s="6">
        <v>2</v>
      </c>
      <c r="M125" s="12">
        <v>5</v>
      </c>
      <c r="N125" s="6">
        <v>63</v>
      </c>
      <c r="O125" s="35">
        <f t="shared" si="2"/>
        <v>0.315</v>
      </c>
    </row>
    <row r="126" spans="1:17">
      <c r="A126" s="75" t="s">
        <v>274</v>
      </c>
      <c r="B126" s="7" t="s">
        <v>8</v>
      </c>
      <c r="D126" s="5" t="s">
        <v>275</v>
      </c>
      <c r="E126" s="6">
        <v>0</v>
      </c>
      <c r="F126" s="6">
        <v>0</v>
      </c>
      <c r="G126" s="6">
        <v>0</v>
      </c>
      <c r="H126" s="12">
        <v>6</v>
      </c>
      <c r="I126" s="6">
        <v>18</v>
      </c>
      <c r="J126" s="6">
        <v>1</v>
      </c>
      <c r="K126" s="6">
        <v>373</v>
      </c>
      <c r="L126" s="6">
        <v>1</v>
      </c>
      <c r="M126" s="12">
        <v>4</v>
      </c>
      <c r="N126" s="6">
        <v>60</v>
      </c>
      <c r="O126" s="35">
        <f t="shared" si="2"/>
        <v>0.3</v>
      </c>
    </row>
    <row r="127" spans="1:17">
      <c r="A127" s="75" t="s">
        <v>276</v>
      </c>
      <c r="B127" s="7" t="s">
        <v>8</v>
      </c>
      <c r="D127" s="5" t="s">
        <v>277</v>
      </c>
      <c r="E127" s="6">
        <v>0</v>
      </c>
      <c r="F127" s="6">
        <v>2</v>
      </c>
      <c r="G127" s="6">
        <v>0</v>
      </c>
      <c r="H127" s="12">
        <v>1</v>
      </c>
      <c r="I127" s="6">
        <v>29</v>
      </c>
      <c r="J127" s="6">
        <v>1</v>
      </c>
      <c r="K127" s="6">
        <v>568</v>
      </c>
      <c r="L127" s="6">
        <v>0</v>
      </c>
      <c r="M127" s="12">
        <v>4</v>
      </c>
      <c r="N127" s="6">
        <v>59</v>
      </c>
      <c r="O127" s="35">
        <f t="shared" si="2"/>
        <v>0.29499999999999998</v>
      </c>
    </row>
    <row r="128" spans="1:17">
      <c r="A128" s="75" t="s">
        <v>278</v>
      </c>
      <c r="B128" s="7" t="s">
        <v>10</v>
      </c>
      <c r="D128" s="5" t="s">
        <v>279</v>
      </c>
      <c r="E128" s="6">
        <v>0</v>
      </c>
      <c r="F128" s="6">
        <v>0</v>
      </c>
      <c r="G128" s="6">
        <v>5</v>
      </c>
      <c r="H128" s="12">
        <v>15</v>
      </c>
      <c r="I128" s="6">
        <v>133</v>
      </c>
      <c r="J128" s="6">
        <v>1</v>
      </c>
      <c r="K128" s="6">
        <v>4039</v>
      </c>
      <c r="L128" s="6">
        <v>0</v>
      </c>
      <c r="M128" s="12">
        <v>4</v>
      </c>
      <c r="N128" s="6">
        <v>56</v>
      </c>
      <c r="O128" s="35">
        <f t="shared" si="2"/>
        <v>0.28000000000000003</v>
      </c>
    </row>
    <row r="129" spans="1:17" s="15" customFormat="1">
      <c r="A129" s="77" t="s">
        <v>280</v>
      </c>
      <c r="B129" s="14"/>
      <c r="C129" s="7"/>
      <c r="D129" s="15" t="s">
        <v>281</v>
      </c>
      <c r="E129" s="16">
        <v>1</v>
      </c>
      <c r="F129" s="16">
        <v>0</v>
      </c>
      <c r="G129" s="16">
        <v>0</v>
      </c>
      <c r="H129" s="16">
        <v>0</v>
      </c>
      <c r="I129" s="16">
        <v>11</v>
      </c>
      <c r="J129" s="16">
        <v>0</v>
      </c>
      <c r="K129" s="16">
        <v>1066</v>
      </c>
      <c r="L129" s="16">
        <v>0</v>
      </c>
      <c r="M129" s="16">
        <v>3</v>
      </c>
      <c r="N129" s="16">
        <v>55</v>
      </c>
      <c r="O129" s="35">
        <f t="shared" si="2"/>
        <v>0.27500000000000002</v>
      </c>
      <c r="P129" s="7"/>
    </row>
    <row r="130" spans="1:17">
      <c r="A130" s="94" t="s">
        <v>282</v>
      </c>
      <c r="B130" s="7" t="s">
        <v>9</v>
      </c>
      <c r="D130" s="5" t="s">
        <v>283</v>
      </c>
      <c r="E130" s="6">
        <v>0</v>
      </c>
      <c r="F130" s="6">
        <v>1</v>
      </c>
      <c r="G130" s="6">
        <v>0</v>
      </c>
      <c r="H130" s="12">
        <v>5</v>
      </c>
      <c r="I130" s="6">
        <v>30</v>
      </c>
      <c r="J130" s="6">
        <v>1</v>
      </c>
      <c r="K130" s="6">
        <v>52</v>
      </c>
      <c r="L130" s="6">
        <v>0</v>
      </c>
      <c r="M130" s="12">
        <v>4</v>
      </c>
      <c r="N130" s="6">
        <v>55</v>
      </c>
      <c r="O130" s="35">
        <f t="shared" si="2"/>
        <v>0.27500000000000002</v>
      </c>
      <c r="Q130" s="5" t="s">
        <v>156</v>
      </c>
    </row>
    <row r="131" spans="1:17">
      <c r="A131" s="75" t="s">
        <v>284</v>
      </c>
      <c r="B131" s="7" t="s">
        <v>8</v>
      </c>
      <c r="D131" s="5" t="s">
        <v>285</v>
      </c>
      <c r="E131" s="6">
        <v>0</v>
      </c>
      <c r="F131" s="6">
        <v>0</v>
      </c>
      <c r="G131" s="6">
        <v>0</v>
      </c>
      <c r="H131" s="12">
        <v>2</v>
      </c>
      <c r="I131" s="6">
        <v>30</v>
      </c>
      <c r="J131" s="6">
        <v>1</v>
      </c>
      <c r="K131" s="6">
        <v>861</v>
      </c>
      <c r="L131" s="6">
        <v>2</v>
      </c>
      <c r="M131" s="12">
        <v>5</v>
      </c>
      <c r="N131" s="6">
        <v>48</v>
      </c>
      <c r="O131" s="35">
        <f t="shared" si="2"/>
        <v>0.24</v>
      </c>
    </row>
    <row r="132" spans="1:17">
      <c r="A132" s="109" t="s">
        <v>286</v>
      </c>
      <c r="B132" s="7" t="s">
        <v>7</v>
      </c>
      <c r="D132" s="5" t="s">
        <v>287</v>
      </c>
      <c r="E132" s="6">
        <v>0</v>
      </c>
      <c r="F132" s="6">
        <v>0</v>
      </c>
      <c r="G132" s="6">
        <v>0</v>
      </c>
      <c r="H132" s="12">
        <v>1</v>
      </c>
      <c r="I132" s="6">
        <v>10</v>
      </c>
      <c r="J132" s="6">
        <v>1</v>
      </c>
      <c r="K132" s="6">
        <v>190</v>
      </c>
      <c r="L132" s="6">
        <v>0</v>
      </c>
      <c r="M132" s="12">
        <v>4</v>
      </c>
      <c r="N132" s="6">
        <v>48</v>
      </c>
      <c r="O132" s="35">
        <f t="shared" si="2"/>
        <v>0.24</v>
      </c>
      <c r="Q132" s="5" t="s">
        <v>156</v>
      </c>
    </row>
    <row r="133" spans="1:17">
      <c r="A133" s="75" t="s">
        <v>288</v>
      </c>
      <c r="B133" s="7" t="s">
        <v>8</v>
      </c>
      <c r="D133" s="5" t="s">
        <v>289</v>
      </c>
      <c r="E133" s="6">
        <v>2</v>
      </c>
      <c r="F133" s="6">
        <v>0</v>
      </c>
      <c r="G133" s="6">
        <v>0</v>
      </c>
      <c r="H133" s="12">
        <v>1</v>
      </c>
      <c r="I133" s="6">
        <v>8</v>
      </c>
      <c r="J133" s="6">
        <v>0</v>
      </c>
      <c r="K133" s="6">
        <v>0</v>
      </c>
      <c r="L133" s="6">
        <v>0</v>
      </c>
      <c r="M133" s="12">
        <v>3</v>
      </c>
      <c r="N133" s="6">
        <v>47</v>
      </c>
      <c r="O133" s="35">
        <f t="shared" si="2"/>
        <v>0.23499999999999999</v>
      </c>
    </row>
    <row r="134" spans="1:17">
      <c r="A134" s="94" t="s">
        <v>290</v>
      </c>
      <c r="B134" s="7" t="s">
        <v>7</v>
      </c>
      <c r="D134" s="5" t="s">
        <v>291</v>
      </c>
      <c r="E134" s="6">
        <v>0</v>
      </c>
      <c r="F134" s="6">
        <v>0</v>
      </c>
      <c r="G134" s="6">
        <v>0</v>
      </c>
      <c r="H134" s="12">
        <v>1</v>
      </c>
      <c r="I134" s="6">
        <v>13</v>
      </c>
      <c r="J134" s="6">
        <v>0</v>
      </c>
      <c r="K134" s="6">
        <v>14</v>
      </c>
      <c r="L134" s="6">
        <v>0</v>
      </c>
      <c r="M134" s="12">
        <v>4</v>
      </c>
      <c r="N134" s="6">
        <v>46</v>
      </c>
      <c r="O134" s="35">
        <f t="shared" si="2"/>
        <v>0.23</v>
      </c>
      <c r="Q134" s="5" t="s">
        <v>156</v>
      </c>
    </row>
    <row r="135" spans="1:17">
      <c r="A135" s="75" t="s">
        <v>292</v>
      </c>
      <c r="B135" s="7" t="s">
        <v>7</v>
      </c>
      <c r="D135" s="5" t="s">
        <v>293</v>
      </c>
      <c r="E135" s="6">
        <v>1</v>
      </c>
      <c r="F135" s="6">
        <v>0</v>
      </c>
      <c r="G135" s="6">
        <v>0</v>
      </c>
      <c r="H135" s="12">
        <v>1</v>
      </c>
      <c r="I135" s="6">
        <v>8</v>
      </c>
      <c r="J135" s="6">
        <v>0</v>
      </c>
      <c r="K135" s="6">
        <v>58</v>
      </c>
      <c r="L135" s="6">
        <v>0</v>
      </c>
      <c r="M135" s="12">
        <v>3</v>
      </c>
      <c r="N135" s="6">
        <v>41</v>
      </c>
      <c r="O135" s="35">
        <f t="shared" si="2"/>
        <v>0.20499999999999999</v>
      </c>
    </row>
    <row r="136" spans="1:17">
      <c r="A136" s="75" t="s">
        <v>294</v>
      </c>
      <c r="B136" s="7" t="s">
        <v>9</v>
      </c>
      <c r="D136" s="5" t="s">
        <v>295</v>
      </c>
      <c r="E136" s="6">
        <v>0</v>
      </c>
      <c r="F136" s="6">
        <v>3</v>
      </c>
      <c r="G136" s="6">
        <v>0</v>
      </c>
      <c r="H136" s="12">
        <v>10</v>
      </c>
      <c r="I136" s="6">
        <v>42</v>
      </c>
      <c r="J136" s="6">
        <v>0</v>
      </c>
      <c r="K136" s="6">
        <v>2468</v>
      </c>
      <c r="L136" s="6">
        <v>1</v>
      </c>
      <c r="M136" s="12">
        <v>6</v>
      </c>
      <c r="N136" s="6">
        <v>40</v>
      </c>
      <c r="O136" s="35">
        <f t="shared" si="2"/>
        <v>0.2</v>
      </c>
    </row>
    <row r="137" spans="1:17">
      <c r="A137" s="75" t="s">
        <v>296</v>
      </c>
      <c r="B137" s="7" t="s">
        <v>8</v>
      </c>
      <c r="D137" s="5" t="s">
        <v>297</v>
      </c>
      <c r="E137" s="6">
        <v>0</v>
      </c>
      <c r="F137" s="6">
        <v>1</v>
      </c>
      <c r="G137" s="6">
        <v>0</v>
      </c>
      <c r="H137" s="12">
        <v>1</v>
      </c>
      <c r="I137" s="6">
        <v>10</v>
      </c>
      <c r="J137" s="6">
        <v>0</v>
      </c>
      <c r="K137" s="6">
        <v>1120</v>
      </c>
      <c r="L137" s="6">
        <v>0</v>
      </c>
      <c r="M137" s="12">
        <v>7</v>
      </c>
      <c r="N137" s="6">
        <v>35</v>
      </c>
      <c r="O137" s="35">
        <f t="shared" si="2"/>
        <v>0.17499999999999999</v>
      </c>
    </row>
    <row r="138" spans="1:17">
      <c r="A138" s="93" t="s">
        <v>298</v>
      </c>
      <c r="B138" s="7" t="s">
        <v>8</v>
      </c>
      <c r="D138" s="5" t="s">
        <v>299</v>
      </c>
      <c r="E138" s="6">
        <v>0</v>
      </c>
      <c r="F138" s="6">
        <v>0</v>
      </c>
      <c r="G138" s="6">
        <v>0</v>
      </c>
      <c r="H138" s="12">
        <v>5</v>
      </c>
      <c r="I138" s="6">
        <v>61</v>
      </c>
      <c r="J138" s="6">
        <v>1</v>
      </c>
      <c r="K138" s="6">
        <v>4131</v>
      </c>
      <c r="L138" s="6">
        <v>1</v>
      </c>
      <c r="M138" s="12">
        <v>6</v>
      </c>
      <c r="N138" s="6">
        <v>32</v>
      </c>
      <c r="O138" s="35">
        <f t="shared" si="2"/>
        <v>0.16</v>
      </c>
    </row>
    <row r="139" spans="1:17">
      <c r="A139" s="75" t="s">
        <v>300</v>
      </c>
      <c r="B139" s="7" t="s">
        <v>8</v>
      </c>
      <c r="D139" s="5" t="s">
        <v>301</v>
      </c>
      <c r="E139" s="6">
        <v>1</v>
      </c>
      <c r="F139" s="6">
        <v>0</v>
      </c>
      <c r="G139" s="6">
        <v>0</v>
      </c>
      <c r="H139" s="12">
        <v>2</v>
      </c>
      <c r="I139" s="6">
        <v>8</v>
      </c>
      <c r="J139" s="6">
        <v>0</v>
      </c>
      <c r="K139" s="6">
        <v>0</v>
      </c>
      <c r="L139" s="6">
        <v>0</v>
      </c>
      <c r="M139" s="12">
        <v>3</v>
      </c>
      <c r="N139" s="6">
        <v>32</v>
      </c>
      <c r="O139" s="35">
        <f t="shared" ref="O139:O202" si="3" xml:space="preserve"> (N139/200)</f>
        <v>0.16</v>
      </c>
    </row>
    <row r="140" spans="1:17">
      <c r="A140" s="94" t="s">
        <v>302</v>
      </c>
      <c r="B140" s="7" t="s">
        <v>10</v>
      </c>
      <c r="D140" s="5" t="s">
        <v>303</v>
      </c>
      <c r="E140" s="6">
        <v>0</v>
      </c>
      <c r="F140" s="6">
        <v>0</v>
      </c>
      <c r="G140" s="6">
        <v>4</v>
      </c>
      <c r="H140" s="12">
        <v>12</v>
      </c>
      <c r="I140" s="6">
        <v>33</v>
      </c>
      <c r="J140" s="6">
        <v>1</v>
      </c>
      <c r="K140" s="6">
        <v>141</v>
      </c>
      <c r="L140" s="6">
        <v>0</v>
      </c>
      <c r="M140" s="12">
        <v>4</v>
      </c>
      <c r="N140" s="6">
        <v>32</v>
      </c>
      <c r="O140" s="35">
        <f t="shared" si="3"/>
        <v>0.16</v>
      </c>
      <c r="Q140" s="5" t="s">
        <v>156</v>
      </c>
    </row>
    <row r="141" spans="1:17">
      <c r="A141" s="75" t="s">
        <v>304</v>
      </c>
      <c r="B141" s="7" t="s">
        <v>8</v>
      </c>
      <c r="D141" s="5" t="s">
        <v>305</v>
      </c>
      <c r="E141" s="6">
        <v>1</v>
      </c>
      <c r="F141" s="6">
        <v>0</v>
      </c>
      <c r="G141" s="6">
        <v>0</v>
      </c>
      <c r="H141" s="12">
        <v>0</v>
      </c>
      <c r="I141" s="6">
        <v>14</v>
      </c>
      <c r="J141" s="6">
        <v>0</v>
      </c>
      <c r="K141" s="6">
        <v>356</v>
      </c>
      <c r="L141" s="6">
        <v>0</v>
      </c>
      <c r="M141" s="12">
        <v>3</v>
      </c>
      <c r="N141" s="6">
        <v>31</v>
      </c>
      <c r="O141" s="35">
        <f t="shared" si="3"/>
        <v>0.155</v>
      </c>
    </row>
    <row r="142" spans="1:17">
      <c r="A142" s="93" t="s">
        <v>306</v>
      </c>
      <c r="B142" s="7" t="s">
        <v>8</v>
      </c>
      <c r="D142" s="5" t="s">
        <v>307</v>
      </c>
      <c r="E142" s="6">
        <v>0</v>
      </c>
      <c r="F142" s="6">
        <v>0</v>
      </c>
      <c r="G142" s="6">
        <v>0</v>
      </c>
      <c r="H142" s="12">
        <v>2</v>
      </c>
      <c r="I142" s="6">
        <v>17</v>
      </c>
      <c r="J142" s="6">
        <v>1</v>
      </c>
      <c r="K142" s="6">
        <v>354</v>
      </c>
      <c r="L142" s="6">
        <v>0</v>
      </c>
      <c r="M142" s="12">
        <v>4</v>
      </c>
      <c r="N142" s="6">
        <v>30</v>
      </c>
      <c r="O142" s="35">
        <f t="shared" si="3"/>
        <v>0.15</v>
      </c>
    </row>
    <row r="143" spans="1:17" s="15" customFormat="1">
      <c r="A143" s="77" t="s">
        <v>308</v>
      </c>
      <c r="B143" s="14"/>
      <c r="C143" s="7"/>
      <c r="D143" s="15" t="s">
        <v>309</v>
      </c>
      <c r="E143" s="16">
        <v>0</v>
      </c>
      <c r="F143" s="16">
        <v>0</v>
      </c>
      <c r="G143" s="16">
        <v>0</v>
      </c>
      <c r="H143" s="16">
        <v>15</v>
      </c>
      <c r="I143" s="16">
        <v>29</v>
      </c>
      <c r="J143" s="16">
        <v>0</v>
      </c>
      <c r="K143" s="16">
        <v>427</v>
      </c>
      <c r="L143" s="16">
        <v>11</v>
      </c>
      <c r="M143" s="16">
        <v>4</v>
      </c>
      <c r="N143" s="16">
        <v>28</v>
      </c>
      <c r="O143" s="35">
        <f t="shared" si="3"/>
        <v>0.14000000000000001</v>
      </c>
      <c r="P143" s="7"/>
    </row>
    <row r="144" spans="1:17">
      <c r="A144" s="75" t="s">
        <v>310</v>
      </c>
      <c r="B144" s="7" t="s">
        <v>8</v>
      </c>
      <c r="D144" s="5" t="s">
        <v>311</v>
      </c>
      <c r="E144" s="6">
        <v>0</v>
      </c>
      <c r="F144" s="6">
        <v>1</v>
      </c>
      <c r="G144" s="6">
        <v>0</v>
      </c>
      <c r="H144" s="12">
        <v>4</v>
      </c>
      <c r="I144" s="6">
        <v>35</v>
      </c>
      <c r="J144" s="6">
        <v>1</v>
      </c>
      <c r="K144" s="6">
        <v>1662</v>
      </c>
      <c r="L144" s="6">
        <v>0</v>
      </c>
      <c r="M144" s="12">
        <v>6</v>
      </c>
      <c r="N144" s="6">
        <v>23</v>
      </c>
      <c r="O144" s="35">
        <f t="shared" si="3"/>
        <v>0.115</v>
      </c>
    </row>
    <row r="145" spans="1:17">
      <c r="A145" s="75" t="s">
        <v>312</v>
      </c>
      <c r="B145" s="7" t="s">
        <v>8</v>
      </c>
      <c r="D145" s="5" t="s">
        <v>313</v>
      </c>
      <c r="E145" s="6">
        <v>0</v>
      </c>
      <c r="F145" s="6">
        <v>0</v>
      </c>
      <c r="G145" s="6">
        <v>0</v>
      </c>
      <c r="H145" s="12">
        <v>0</v>
      </c>
      <c r="I145" s="6">
        <v>6</v>
      </c>
      <c r="J145" s="6">
        <v>1</v>
      </c>
      <c r="K145" s="6">
        <v>0</v>
      </c>
      <c r="L145" s="6">
        <v>0</v>
      </c>
      <c r="M145" s="12">
        <v>4</v>
      </c>
      <c r="N145" s="6">
        <v>23</v>
      </c>
      <c r="O145" s="35">
        <f t="shared" si="3"/>
        <v>0.115</v>
      </c>
    </row>
    <row r="146" spans="1:17">
      <c r="A146" s="75" t="s">
        <v>314</v>
      </c>
      <c r="B146" s="7" t="s">
        <v>8</v>
      </c>
      <c r="D146" s="5" t="s">
        <v>315</v>
      </c>
      <c r="E146" s="6">
        <v>0</v>
      </c>
      <c r="F146" s="6">
        <v>2</v>
      </c>
      <c r="G146" s="6">
        <v>3</v>
      </c>
      <c r="H146" s="12">
        <v>6</v>
      </c>
      <c r="I146" s="6">
        <v>38</v>
      </c>
      <c r="J146" s="6">
        <v>0</v>
      </c>
      <c r="K146" s="6">
        <v>1122</v>
      </c>
      <c r="L146" s="6">
        <v>0</v>
      </c>
      <c r="M146" s="12">
        <v>4</v>
      </c>
      <c r="N146" s="6">
        <v>22</v>
      </c>
      <c r="O146" s="35">
        <f t="shared" si="3"/>
        <v>0.11</v>
      </c>
    </row>
    <row r="147" spans="1:17">
      <c r="A147" s="75" t="s">
        <v>316</v>
      </c>
      <c r="B147" s="7" t="s">
        <v>8</v>
      </c>
      <c r="D147" s="5" t="s">
        <v>317</v>
      </c>
      <c r="E147" s="6">
        <v>0</v>
      </c>
      <c r="F147" s="6">
        <v>0</v>
      </c>
      <c r="G147" s="6">
        <v>0</v>
      </c>
      <c r="H147" s="12">
        <v>2</v>
      </c>
      <c r="I147" s="6">
        <v>28</v>
      </c>
      <c r="J147" s="6">
        <v>1</v>
      </c>
      <c r="K147" s="6">
        <v>842</v>
      </c>
      <c r="L147" s="6">
        <v>0</v>
      </c>
      <c r="M147" s="12">
        <v>5</v>
      </c>
      <c r="N147" s="6">
        <v>21</v>
      </c>
      <c r="O147" s="35">
        <f t="shared" si="3"/>
        <v>0.105</v>
      </c>
    </row>
    <row r="148" spans="1:17">
      <c r="A148" s="75" t="s">
        <v>318</v>
      </c>
      <c r="B148" s="7" t="s">
        <v>8</v>
      </c>
      <c r="D148" s="5" t="s">
        <v>319</v>
      </c>
      <c r="E148" s="6">
        <v>0</v>
      </c>
      <c r="F148" s="6">
        <v>2</v>
      </c>
      <c r="G148" s="6">
        <v>0</v>
      </c>
      <c r="H148" s="12">
        <v>4</v>
      </c>
      <c r="I148" s="6">
        <v>16</v>
      </c>
      <c r="J148" s="6">
        <v>1</v>
      </c>
      <c r="K148" s="6">
        <v>721</v>
      </c>
      <c r="L148" s="6">
        <v>0</v>
      </c>
      <c r="M148" s="12">
        <v>4</v>
      </c>
      <c r="N148" s="6">
        <v>20</v>
      </c>
      <c r="O148" s="35">
        <f t="shared" si="3"/>
        <v>0.1</v>
      </c>
    </row>
    <row r="149" spans="1:17">
      <c r="A149" s="109" t="s">
        <v>320</v>
      </c>
      <c r="B149" s="7" t="s">
        <v>7</v>
      </c>
      <c r="D149" s="5" t="s">
        <v>321</v>
      </c>
      <c r="E149" s="6">
        <v>0</v>
      </c>
      <c r="F149" s="6">
        <v>0</v>
      </c>
      <c r="G149" s="6">
        <v>0</v>
      </c>
      <c r="H149" s="12">
        <v>4</v>
      </c>
      <c r="I149" s="6">
        <v>24</v>
      </c>
      <c r="J149" s="6">
        <v>1</v>
      </c>
      <c r="K149" s="6">
        <v>136</v>
      </c>
      <c r="L149" s="6">
        <v>0</v>
      </c>
      <c r="M149" s="12">
        <v>4</v>
      </c>
      <c r="N149" s="6">
        <v>20</v>
      </c>
      <c r="O149" s="35">
        <f t="shared" si="3"/>
        <v>0.1</v>
      </c>
      <c r="Q149" s="5" t="s">
        <v>156</v>
      </c>
    </row>
    <row r="150" spans="1:17">
      <c r="A150" s="94" t="s">
        <v>322</v>
      </c>
      <c r="B150" s="7" t="s">
        <v>8</v>
      </c>
      <c r="D150" s="5" t="s">
        <v>323</v>
      </c>
      <c r="E150" s="6">
        <v>0</v>
      </c>
      <c r="F150" s="6">
        <v>0</v>
      </c>
      <c r="G150" s="6">
        <v>0</v>
      </c>
      <c r="H150" s="12">
        <v>18</v>
      </c>
      <c r="I150" s="6">
        <v>37</v>
      </c>
      <c r="J150" s="6">
        <v>1</v>
      </c>
      <c r="K150" s="6">
        <v>466</v>
      </c>
      <c r="L150" s="6">
        <v>12</v>
      </c>
      <c r="M150" s="12">
        <v>4</v>
      </c>
      <c r="N150" s="6">
        <v>19</v>
      </c>
      <c r="O150" s="35">
        <f t="shared" si="3"/>
        <v>9.5000000000000001E-2</v>
      </c>
      <c r="Q150" s="5" t="s">
        <v>156</v>
      </c>
    </row>
    <row r="151" spans="1:17">
      <c r="A151" s="94" t="s">
        <v>324</v>
      </c>
      <c r="B151" s="7" t="s">
        <v>8</v>
      </c>
      <c r="D151" s="5" t="s">
        <v>325</v>
      </c>
      <c r="E151" s="6">
        <v>0</v>
      </c>
      <c r="F151" s="6">
        <v>0</v>
      </c>
      <c r="G151" s="6">
        <v>0</v>
      </c>
      <c r="H151" s="12">
        <v>4</v>
      </c>
      <c r="I151" s="6">
        <v>28</v>
      </c>
      <c r="J151" s="6">
        <v>1</v>
      </c>
      <c r="K151" s="6">
        <v>1074</v>
      </c>
      <c r="L151" s="6">
        <v>0</v>
      </c>
      <c r="M151" s="12">
        <v>4</v>
      </c>
      <c r="N151" s="6">
        <v>19</v>
      </c>
      <c r="O151" s="35">
        <f t="shared" si="3"/>
        <v>9.5000000000000001E-2</v>
      </c>
      <c r="Q151" s="5" t="s">
        <v>156</v>
      </c>
    </row>
    <row r="152" spans="1:17">
      <c r="A152" s="75" t="s">
        <v>326</v>
      </c>
      <c r="B152" s="7" t="s">
        <v>8</v>
      </c>
      <c r="D152" s="5" t="s">
        <v>327</v>
      </c>
      <c r="E152" s="6">
        <v>0</v>
      </c>
      <c r="F152" s="6">
        <v>2</v>
      </c>
      <c r="G152" s="6">
        <v>0</v>
      </c>
      <c r="H152" s="12">
        <v>2</v>
      </c>
      <c r="I152" s="6">
        <v>12</v>
      </c>
      <c r="J152" s="6">
        <v>0</v>
      </c>
      <c r="K152" s="6">
        <v>394</v>
      </c>
      <c r="L152" s="6">
        <v>2</v>
      </c>
      <c r="M152" s="12">
        <v>4</v>
      </c>
      <c r="N152" s="6">
        <v>18</v>
      </c>
      <c r="O152" s="35">
        <f t="shared" si="3"/>
        <v>0.09</v>
      </c>
    </row>
    <row r="153" spans="1:17">
      <c r="A153" s="94" t="s">
        <v>328</v>
      </c>
      <c r="B153" s="7" t="s">
        <v>7</v>
      </c>
      <c r="D153" s="5" t="s">
        <v>329</v>
      </c>
      <c r="E153" s="6">
        <v>0</v>
      </c>
      <c r="F153" s="6">
        <v>0</v>
      </c>
      <c r="G153" s="6">
        <v>6</v>
      </c>
      <c r="H153" s="12">
        <v>9</v>
      </c>
      <c r="I153" s="6">
        <v>52</v>
      </c>
      <c r="J153" s="6">
        <v>1</v>
      </c>
      <c r="K153" s="6">
        <v>292</v>
      </c>
      <c r="L153" s="6">
        <v>0</v>
      </c>
      <c r="M153" s="12">
        <v>5</v>
      </c>
      <c r="N153" s="6">
        <v>18</v>
      </c>
      <c r="O153" s="35">
        <f t="shared" si="3"/>
        <v>0.09</v>
      </c>
    </row>
    <row r="154" spans="1:17">
      <c r="A154" s="75" t="s">
        <v>330</v>
      </c>
      <c r="B154" s="7" t="s">
        <v>8</v>
      </c>
      <c r="D154" s="5" t="s">
        <v>331</v>
      </c>
      <c r="E154" s="6">
        <v>1</v>
      </c>
      <c r="F154" s="6">
        <v>0</v>
      </c>
      <c r="G154" s="6">
        <v>0</v>
      </c>
      <c r="H154" s="12">
        <v>1</v>
      </c>
      <c r="I154" s="6">
        <v>4</v>
      </c>
      <c r="J154" s="6">
        <v>0</v>
      </c>
      <c r="K154" s="6">
        <v>128</v>
      </c>
      <c r="L154" s="6">
        <v>0</v>
      </c>
      <c r="M154" s="12">
        <v>3</v>
      </c>
      <c r="N154" s="6">
        <v>17</v>
      </c>
      <c r="O154" s="35">
        <f t="shared" si="3"/>
        <v>8.5000000000000006E-2</v>
      </c>
    </row>
    <row r="155" spans="1:17">
      <c r="A155" s="95" t="s">
        <v>332</v>
      </c>
      <c r="B155" s="7" t="s">
        <v>9</v>
      </c>
      <c r="D155" s="5" t="s">
        <v>333</v>
      </c>
      <c r="E155" s="6">
        <v>0</v>
      </c>
      <c r="F155" s="6">
        <v>1</v>
      </c>
      <c r="G155" s="6">
        <v>0</v>
      </c>
      <c r="H155" s="12">
        <v>4</v>
      </c>
      <c r="I155" s="6">
        <v>21</v>
      </c>
      <c r="J155" s="6">
        <v>0</v>
      </c>
      <c r="K155" s="6">
        <v>1676</v>
      </c>
      <c r="L155" s="6">
        <v>1</v>
      </c>
      <c r="M155" s="12">
        <v>6</v>
      </c>
      <c r="N155" s="6">
        <v>16</v>
      </c>
      <c r="O155" s="35">
        <f t="shared" si="3"/>
        <v>0.08</v>
      </c>
    </row>
    <row r="156" spans="1:17" s="24" customFormat="1">
      <c r="A156" s="78" t="s">
        <v>334</v>
      </c>
      <c r="B156" s="26"/>
      <c r="C156" s="7"/>
      <c r="D156" s="24" t="s">
        <v>335</v>
      </c>
      <c r="E156" s="25">
        <v>0</v>
      </c>
      <c r="F156" s="25">
        <v>0</v>
      </c>
      <c r="G156" s="25">
        <v>0</v>
      </c>
      <c r="H156" s="25">
        <v>3</v>
      </c>
      <c r="I156" s="25">
        <v>20</v>
      </c>
      <c r="J156" s="25">
        <v>0</v>
      </c>
      <c r="K156" s="25">
        <v>142</v>
      </c>
      <c r="L156" s="25">
        <v>2</v>
      </c>
      <c r="M156" s="25">
        <v>4</v>
      </c>
      <c r="N156" s="25">
        <v>15</v>
      </c>
      <c r="O156" s="35">
        <f t="shared" si="3"/>
        <v>7.4999999999999997E-2</v>
      </c>
      <c r="P156" s="7"/>
    </row>
    <row r="157" spans="1:17">
      <c r="A157" s="94" t="s">
        <v>336</v>
      </c>
      <c r="B157" s="7" t="s">
        <v>7</v>
      </c>
      <c r="D157" s="5" t="s">
        <v>337</v>
      </c>
      <c r="E157" s="6">
        <v>0</v>
      </c>
      <c r="F157" s="6">
        <v>0</v>
      </c>
      <c r="G157" s="6">
        <v>0</v>
      </c>
      <c r="H157" s="12">
        <v>2</v>
      </c>
      <c r="I157" s="6">
        <v>11</v>
      </c>
      <c r="J157" s="6">
        <v>1</v>
      </c>
      <c r="K157" s="6">
        <v>905</v>
      </c>
      <c r="L157" s="6">
        <v>0</v>
      </c>
      <c r="M157" s="12">
        <v>4</v>
      </c>
      <c r="N157" s="6">
        <v>14</v>
      </c>
      <c r="O157" s="35">
        <f t="shared" si="3"/>
        <v>7.0000000000000007E-2</v>
      </c>
      <c r="Q157" s="5" t="s">
        <v>156</v>
      </c>
    </row>
    <row r="158" spans="1:17">
      <c r="A158" s="95" t="s">
        <v>338</v>
      </c>
      <c r="B158" s="7" t="s">
        <v>8</v>
      </c>
      <c r="D158" s="5" t="s">
        <v>339</v>
      </c>
      <c r="E158" s="6">
        <v>0</v>
      </c>
      <c r="F158" s="6">
        <v>0</v>
      </c>
      <c r="G158" s="6">
        <v>0</v>
      </c>
      <c r="H158" s="12">
        <v>3</v>
      </c>
      <c r="I158" s="6">
        <v>23</v>
      </c>
      <c r="J158" s="6">
        <v>1</v>
      </c>
      <c r="K158" s="6">
        <v>269</v>
      </c>
      <c r="L158" s="6">
        <v>0</v>
      </c>
      <c r="M158" s="12">
        <v>6</v>
      </c>
      <c r="N158" s="6">
        <v>13</v>
      </c>
      <c r="O158" s="35">
        <f t="shared" si="3"/>
        <v>6.5000000000000002E-2</v>
      </c>
    </row>
    <row r="159" spans="1:17">
      <c r="A159" s="75" t="s">
        <v>340</v>
      </c>
      <c r="B159" s="7" t="s">
        <v>7</v>
      </c>
      <c r="D159" s="5" t="s">
        <v>341</v>
      </c>
      <c r="E159" s="6">
        <v>0</v>
      </c>
      <c r="F159" s="6">
        <v>0</v>
      </c>
      <c r="G159" s="6">
        <v>0</v>
      </c>
      <c r="H159" s="12">
        <v>3</v>
      </c>
      <c r="I159" s="6">
        <v>18</v>
      </c>
      <c r="J159" s="6">
        <v>0</v>
      </c>
      <c r="K159" s="6">
        <v>38</v>
      </c>
      <c r="L159" s="6">
        <v>0</v>
      </c>
      <c r="M159" s="12">
        <v>4</v>
      </c>
      <c r="N159" s="6">
        <v>13</v>
      </c>
      <c r="O159" s="35">
        <f t="shared" si="3"/>
        <v>6.5000000000000002E-2</v>
      </c>
    </row>
    <row r="160" spans="1:17">
      <c r="A160" s="75" t="s">
        <v>342</v>
      </c>
      <c r="B160" s="7" t="s">
        <v>7</v>
      </c>
      <c r="D160" s="5" t="s">
        <v>343</v>
      </c>
      <c r="E160" s="6">
        <v>0</v>
      </c>
      <c r="F160" s="6">
        <v>0</v>
      </c>
      <c r="G160" s="6">
        <v>0</v>
      </c>
      <c r="H160" s="12">
        <v>1</v>
      </c>
      <c r="I160" s="6">
        <v>10</v>
      </c>
      <c r="J160" s="6">
        <v>1</v>
      </c>
      <c r="K160" s="6">
        <v>223</v>
      </c>
      <c r="L160" s="6">
        <v>0</v>
      </c>
      <c r="M160" s="12">
        <v>4</v>
      </c>
      <c r="N160" s="6">
        <v>13</v>
      </c>
      <c r="O160" s="35">
        <f t="shared" si="3"/>
        <v>6.5000000000000002E-2</v>
      </c>
    </row>
    <row r="161" spans="1:17">
      <c r="A161" s="75" t="s">
        <v>344</v>
      </c>
      <c r="B161" s="7" t="s">
        <v>7</v>
      </c>
      <c r="D161" s="5" t="s">
        <v>345</v>
      </c>
      <c r="E161" s="6">
        <v>1</v>
      </c>
      <c r="F161" s="6">
        <v>3</v>
      </c>
      <c r="G161" s="6">
        <v>0</v>
      </c>
      <c r="H161" s="12">
        <v>2</v>
      </c>
      <c r="I161" s="6">
        <v>17</v>
      </c>
      <c r="J161" s="6">
        <v>1</v>
      </c>
      <c r="K161" s="6">
        <v>394</v>
      </c>
      <c r="L161" s="6">
        <v>0</v>
      </c>
      <c r="M161" s="12">
        <v>4</v>
      </c>
      <c r="N161" s="6">
        <v>12</v>
      </c>
      <c r="O161" s="35">
        <f t="shared" si="3"/>
        <v>0.06</v>
      </c>
    </row>
    <row r="162" spans="1:17">
      <c r="A162" s="75" t="s">
        <v>346</v>
      </c>
      <c r="B162" s="7" t="s">
        <v>8</v>
      </c>
      <c r="D162" s="5" t="s">
        <v>347</v>
      </c>
      <c r="E162" s="6">
        <v>0</v>
      </c>
      <c r="F162" s="6">
        <v>1</v>
      </c>
      <c r="G162" s="6">
        <v>0</v>
      </c>
      <c r="H162" s="12">
        <v>5</v>
      </c>
      <c r="I162" s="6">
        <v>20</v>
      </c>
      <c r="J162" s="6">
        <v>1</v>
      </c>
      <c r="K162" s="6">
        <v>643</v>
      </c>
      <c r="L162" s="6">
        <v>0</v>
      </c>
      <c r="M162" s="12">
        <v>4</v>
      </c>
      <c r="N162" s="6">
        <v>12</v>
      </c>
      <c r="O162" s="35">
        <f t="shared" si="3"/>
        <v>0.06</v>
      </c>
    </row>
    <row r="163" spans="1:17">
      <c r="A163" s="75" t="s">
        <v>348</v>
      </c>
      <c r="B163" s="7" t="s">
        <v>8</v>
      </c>
      <c r="D163" s="5" t="s">
        <v>349</v>
      </c>
      <c r="E163" s="6">
        <v>0</v>
      </c>
      <c r="F163" s="6">
        <v>0</v>
      </c>
      <c r="G163" s="6">
        <v>0</v>
      </c>
      <c r="H163" s="12">
        <v>2</v>
      </c>
      <c r="I163" s="6">
        <v>14</v>
      </c>
      <c r="J163" s="6">
        <v>1</v>
      </c>
      <c r="K163" s="6">
        <v>69</v>
      </c>
      <c r="L163" s="6">
        <v>2</v>
      </c>
      <c r="M163" s="12">
        <v>5</v>
      </c>
      <c r="N163" s="6">
        <v>11</v>
      </c>
      <c r="O163" s="35">
        <f t="shared" si="3"/>
        <v>5.5E-2</v>
      </c>
    </row>
    <row r="164" spans="1:17">
      <c r="A164" s="75" t="s">
        <v>350</v>
      </c>
      <c r="B164" s="7" t="s">
        <v>7</v>
      </c>
      <c r="D164" s="5" t="s">
        <v>351</v>
      </c>
      <c r="E164" s="6">
        <v>0</v>
      </c>
      <c r="F164" s="6">
        <v>0</v>
      </c>
      <c r="G164" s="6">
        <v>0</v>
      </c>
      <c r="H164" s="12">
        <v>1</v>
      </c>
      <c r="I164" s="6">
        <v>20</v>
      </c>
      <c r="J164" s="6">
        <v>1</v>
      </c>
      <c r="K164" s="6">
        <v>921</v>
      </c>
      <c r="L164" s="6">
        <v>0</v>
      </c>
      <c r="M164" s="12">
        <v>5</v>
      </c>
      <c r="N164" s="6">
        <v>10</v>
      </c>
      <c r="O164" s="35">
        <f t="shared" si="3"/>
        <v>0.05</v>
      </c>
    </row>
    <row r="165" spans="1:17">
      <c r="A165" s="94" t="s">
        <v>352</v>
      </c>
      <c r="B165" s="7" t="s">
        <v>9</v>
      </c>
      <c r="D165" s="5" t="s">
        <v>353</v>
      </c>
      <c r="E165" s="6">
        <v>0</v>
      </c>
      <c r="F165" s="6">
        <v>1</v>
      </c>
      <c r="G165" s="6">
        <v>0</v>
      </c>
      <c r="H165" s="12">
        <v>6</v>
      </c>
      <c r="I165" s="6">
        <v>39</v>
      </c>
      <c r="J165" s="6">
        <v>1</v>
      </c>
      <c r="K165" s="6">
        <v>96</v>
      </c>
      <c r="L165" s="6">
        <v>0</v>
      </c>
      <c r="M165" s="12">
        <v>4</v>
      </c>
      <c r="N165" s="6">
        <v>9</v>
      </c>
      <c r="O165" s="35">
        <f t="shared" si="3"/>
        <v>4.4999999999999998E-2</v>
      </c>
      <c r="Q165" s="5" t="s">
        <v>156</v>
      </c>
    </row>
    <row r="166" spans="1:17">
      <c r="A166" s="75" t="s">
        <v>354</v>
      </c>
      <c r="B166" s="7" t="s">
        <v>7</v>
      </c>
      <c r="D166" s="5" t="s">
        <v>355</v>
      </c>
      <c r="E166" s="6">
        <v>0</v>
      </c>
      <c r="F166" s="6">
        <v>1</v>
      </c>
      <c r="G166" s="6">
        <v>0</v>
      </c>
      <c r="H166" s="12">
        <v>2</v>
      </c>
      <c r="I166" s="6">
        <v>8</v>
      </c>
      <c r="J166" s="6">
        <v>0</v>
      </c>
      <c r="K166" s="6">
        <v>560</v>
      </c>
      <c r="L166" s="6">
        <v>0</v>
      </c>
      <c r="M166" s="12">
        <v>4</v>
      </c>
      <c r="N166" s="6">
        <v>7</v>
      </c>
      <c r="O166" s="35">
        <f t="shared" si="3"/>
        <v>3.5000000000000003E-2</v>
      </c>
    </row>
    <row r="167" spans="1:17">
      <c r="A167" s="75" t="s">
        <v>356</v>
      </c>
      <c r="B167" s="7" t="s">
        <v>8</v>
      </c>
      <c r="D167" s="5" t="s">
        <v>356</v>
      </c>
      <c r="E167" s="6">
        <v>0</v>
      </c>
      <c r="F167" s="6">
        <v>1</v>
      </c>
      <c r="G167" s="6">
        <v>0</v>
      </c>
      <c r="H167" s="12">
        <v>2</v>
      </c>
      <c r="I167" s="6">
        <v>24</v>
      </c>
      <c r="J167" s="6">
        <v>1</v>
      </c>
      <c r="K167" s="6">
        <v>1442</v>
      </c>
      <c r="L167" s="6">
        <v>0</v>
      </c>
      <c r="M167" s="12">
        <v>4</v>
      </c>
      <c r="N167" s="6">
        <v>7</v>
      </c>
      <c r="O167" s="35">
        <f t="shared" si="3"/>
        <v>3.5000000000000003E-2</v>
      </c>
    </row>
    <row r="168" spans="1:17" s="27" customFormat="1">
      <c r="A168" s="79" t="s">
        <v>357</v>
      </c>
      <c r="B168" s="29" t="s">
        <v>8</v>
      </c>
      <c r="C168" s="7"/>
      <c r="D168" s="27" t="s">
        <v>358</v>
      </c>
      <c r="E168" s="28">
        <v>0</v>
      </c>
      <c r="F168" s="28">
        <v>0</v>
      </c>
      <c r="G168" s="28">
        <v>0</v>
      </c>
      <c r="H168" s="28">
        <v>3</v>
      </c>
      <c r="I168" s="28">
        <v>23</v>
      </c>
      <c r="J168" s="28">
        <v>0</v>
      </c>
      <c r="K168" s="28">
        <v>316</v>
      </c>
      <c r="L168" s="28">
        <v>1</v>
      </c>
      <c r="M168" s="28">
        <v>4</v>
      </c>
      <c r="N168" s="28">
        <v>7</v>
      </c>
      <c r="O168" s="35">
        <f t="shared" si="3"/>
        <v>3.5000000000000003E-2</v>
      </c>
      <c r="P168" s="7"/>
    </row>
    <row r="169" spans="1:17">
      <c r="A169" s="75" t="s">
        <v>359</v>
      </c>
      <c r="B169" s="7" t="s">
        <v>7</v>
      </c>
      <c r="D169" s="5" t="s">
        <v>360</v>
      </c>
      <c r="E169" s="6">
        <v>0</v>
      </c>
      <c r="F169" s="6">
        <v>1</v>
      </c>
      <c r="G169" s="6">
        <v>0</v>
      </c>
      <c r="H169" s="12">
        <v>2</v>
      </c>
      <c r="I169" s="6">
        <v>11</v>
      </c>
      <c r="J169" s="6">
        <v>0</v>
      </c>
      <c r="K169" s="6">
        <v>542</v>
      </c>
      <c r="L169" s="6">
        <v>0</v>
      </c>
      <c r="M169" s="12">
        <v>4</v>
      </c>
      <c r="N169" s="6">
        <v>6</v>
      </c>
      <c r="O169" s="35">
        <f t="shared" si="3"/>
        <v>0.03</v>
      </c>
    </row>
    <row r="170" spans="1:17">
      <c r="A170" s="75" t="s">
        <v>361</v>
      </c>
      <c r="B170" s="7" t="s">
        <v>8</v>
      </c>
      <c r="D170" s="5" t="s">
        <v>362</v>
      </c>
      <c r="E170" s="6">
        <v>0</v>
      </c>
      <c r="F170" s="6">
        <v>1</v>
      </c>
      <c r="G170" s="6">
        <v>2</v>
      </c>
      <c r="H170" s="12">
        <v>4</v>
      </c>
      <c r="I170" s="6">
        <v>13</v>
      </c>
      <c r="J170" s="6">
        <v>0</v>
      </c>
      <c r="K170" s="6">
        <v>1484</v>
      </c>
      <c r="L170" s="6">
        <v>0</v>
      </c>
      <c r="M170" s="12">
        <v>4</v>
      </c>
      <c r="N170" s="6">
        <v>6</v>
      </c>
      <c r="O170" s="35">
        <f t="shared" si="3"/>
        <v>0.03</v>
      </c>
    </row>
    <row r="171" spans="1:17">
      <c r="A171" s="75" t="s">
        <v>363</v>
      </c>
      <c r="B171" s="7" t="s">
        <v>8</v>
      </c>
      <c r="D171" s="5" t="s">
        <v>364</v>
      </c>
      <c r="E171" s="6">
        <v>0</v>
      </c>
      <c r="F171" s="6">
        <v>1</v>
      </c>
      <c r="G171" s="6">
        <v>0</v>
      </c>
      <c r="H171" s="12">
        <v>2</v>
      </c>
      <c r="I171" s="6">
        <v>23</v>
      </c>
      <c r="J171" s="6">
        <v>1</v>
      </c>
      <c r="K171" s="6">
        <v>752</v>
      </c>
      <c r="L171" s="6">
        <v>0</v>
      </c>
      <c r="M171" s="12">
        <v>6</v>
      </c>
      <c r="N171" s="6">
        <v>6</v>
      </c>
      <c r="O171" s="35">
        <f t="shared" si="3"/>
        <v>0.03</v>
      </c>
    </row>
    <row r="172" spans="1:17">
      <c r="A172" s="75" t="s">
        <v>365</v>
      </c>
      <c r="B172" s="7" t="s">
        <v>8</v>
      </c>
      <c r="D172" s="5" t="s">
        <v>366</v>
      </c>
      <c r="E172" s="6">
        <v>0</v>
      </c>
      <c r="F172" s="6">
        <v>1</v>
      </c>
      <c r="G172" s="6">
        <v>0</v>
      </c>
      <c r="H172" s="12">
        <v>2</v>
      </c>
      <c r="I172" s="6">
        <v>20</v>
      </c>
      <c r="J172" s="6">
        <v>1</v>
      </c>
      <c r="K172" s="6">
        <v>1157</v>
      </c>
      <c r="L172" s="6">
        <v>0</v>
      </c>
      <c r="M172" s="12">
        <v>4</v>
      </c>
      <c r="N172" s="6">
        <v>6</v>
      </c>
      <c r="O172" s="35">
        <f t="shared" si="3"/>
        <v>0.03</v>
      </c>
    </row>
    <row r="173" spans="1:17">
      <c r="A173" s="75" t="s">
        <v>367</v>
      </c>
      <c r="B173" s="7" t="s">
        <v>8</v>
      </c>
      <c r="D173" s="5" t="s">
        <v>367</v>
      </c>
      <c r="E173" s="6">
        <v>0</v>
      </c>
      <c r="F173" s="6">
        <v>1</v>
      </c>
      <c r="G173" s="6">
        <v>0</v>
      </c>
      <c r="H173" s="12">
        <v>2</v>
      </c>
      <c r="I173" s="6">
        <v>24</v>
      </c>
      <c r="J173" s="6">
        <v>1</v>
      </c>
      <c r="K173" s="6">
        <v>1442</v>
      </c>
      <c r="L173" s="6">
        <v>0</v>
      </c>
      <c r="M173" s="12">
        <v>4</v>
      </c>
      <c r="N173" s="6">
        <v>5</v>
      </c>
      <c r="O173" s="35">
        <f t="shared" si="3"/>
        <v>2.5000000000000001E-2</v>
      </c>
    </row>
    <row r="174" spans="1:17">
      <c r="A174" s="94" t="s">
        <v>368</v>
      </c>
      <c r="B174" s="7" t="s">
        <v>7</v>
      </c>
      <c r="D174" s="5" t="s">
        <v>369</v>
      </c>
      <c r="E174" s="6">
        <v>1</v>
      </c>
      <c r="F174" s="6">
        <v>0</v>
      </c>
      <c r="G174" s="6">
        <v>0</v>
      </c>
      <c r="H174" s="12">
        <v>2</v>
      </c>
      <c r="I174" s="6">
        <v>10</v>
      </c>
      <c r="J174" s="6">
        <v>0</v>
      </c>
      <c r="K174" s="6">
        <v>38</v>
      </c>
      <c r="L174" s="6">
        <v>0</v>
      </c>
      <c r="M174" s="12">
        <v>3</v>
      </c>
      <c r="N174" s="6">
        <v>5</v>
      </c>
      <c r="O174" s="35">
        <f t="shared" si="3"/>
        <v>2.5000000000000001E-2</v>
      </c>
      <c r="Q174" s="5" t="s">
        <v>156</v>
      </c>
    </row>
    <row r="175" spans="1:17">
      <c r="A175" s="75" t="s">
        <v>370</v>
      </c>
      <c r="B175" s="7" t="s">
        <v>7</v>
      </c>
      <c r="D175" s="5" t="s">
        <v>371</v>
      </c>
      <c r="E175" s="6">
        <v>0</v>
      </c>
      <c r="F175" s="6">
        <v>0</v>
      </c>
      <c r="G175" s="6">
        <v>2</v>
      </c>
      <c r="H175" s="12">
        <v>2</v>
      </c>
      <c r="I175" s="6">
        <v>12</v>
      </c>
      <c r="J175" s="6">
        <v>0</v>
      </c>
      <c r="K175" s="6">
        <v>18</v>
      </c>
      <c r="L175" s="6">
        <v>0</v>
      </c>
      <c r="M175" s="12">
        <v>4</v>
      </c>
      <c r="N175" s="6">
        <v>5</v>
      </c>
      <c r="O175" s="35">
        <f t="shared" si="3"/>
        <v>2.5000000000000001E-2</v>
      </c>
    </row>
    <row r="176" spans="1:17">
      <c r="A176" s="75" t="s">
        <v>372</v>
      </c>
      <c r="B176" s="7" t="s">
        <v>7</v>
      </c>
      <c r="D176" s="5" t="s">
        <v>373</v>
      </c>
      <c r="E176" s="6">
        <v>0</v>
      </c>
      <c r="F176" s="6">
        <v>0</v>
      </c>
      <c r="G176" s="6">
        <v>0</v>
      </c>
      <c r="H176" s="12">
        <v>2</v>
      </c>
      <c r="I176" s="6">
        <v>8</v>
      </c>
      <c r="J176" s="6">
        <v>1</v>
      </c>
      <c r="K176" s="6">
        <v>311</v>
      </c>
      <c r="L176" s="6">
        <v>0</v>
      </c>
      <c r="M176" s="12">
        <v>4</v>
      </c>
      <c r="N176" s="6">
        <v>5</v>
      </c>
      <c r="O176" s="35">
        <f t="shared" si="3"/>
        <v>2.5000000000000001E-2</v>
      </c>
    </row>
    <row r="177" spans="1:17">
      <c r="A177" s="94" t="s">
        <v>374</v>
      </c>
      <c r="B177" s="7" t="s">
        <v>9</v>
      </c>
      <c r="D177" s="5" t="s">
        <v>375</v>
      </c>
      <c r="E177" s="6">
        <v>1</v>
      </c>
      <c r="F177" s="6">
        <v>0</v>
      </c>
      <c r="G177" s="6">
        <v>0</v>
      </c>
      <c r="H177" s="12">
        <v>3</v>
      </c>
      <c r="I177" s="6">
        <v>23</v>
      </c>
      <c r="J177" s="6">
        <v>1</v>
      </c>
      <c r="K177" s="6">
        <v>201</v>
      </c>
      <c r="L177" s="6">
        <v>0</v>
      </c>
      <c r="M177" s="12">
        <v>3</v>
      </c>
      <c r="N177" s="6">
        <v>5</v>
      </c>
      <c r="O177" s="35">
        <f t="shared" si="3"/>
        <v>2.5000000000000001E-2</v>
      </c>
      <c r="Q177" s="5" t="s">
        <v>156</v>
      </c>
    </row>
    <row r="178" spans="1:17">
      <c r="A178" s="94" t="s">
        <v>376</v>
      </c>
      <c r="B178" s="7" t="s">
        <v>8</v>
      </c>
      <c r="D178" s="5" t="s">
        <v>377</v>
      </c>
      <c r="E178" s="6">
        <v>0</v>
      </c>
      <c r="F178" s="6">
        <v>0</v>
      </c>
      <c r="G178" s="6">
        <v>0</v>
      </c>
      <c r="H178" s="12">
        <v>3</v>
      </c>
      <c r="I178" s="6">
        <v>14</v>
      </c>
      <c r="J178" s="6">
        <v>1</v>
      </c>
      <c r="K178" s="6">
        <v>588</v>
      </c>
      <c r="L178" s="6">
        <v>0</v>
      </c>
      <c r="M178" s="12">
        <v>4</v>
      </c>
      <c r="N178" s="6">
        <v>5</v>
      </c>
      <c r="O178" s="35">
        <f t="shared" si="3"/>
        <v>2.5000000000000001E-2</v>
      </c>
      <c r="Q178" s="5" t="s">
        <v>156</v>
      </c>
    </row>
    <row r="179" spans="1:17">
      <c r="A179" s="75" t="s">
        <v>378</v>
      </c>
      <c r="B179" s="7" t="s">
        <v>8</v>
      </c>
      <c r="D179" s="5" t="s">
        <v>379</v>
      </c>
      <c r="E179" s="6">
        <v>5</v>
      </c>
      <c r="F179" s="6">
        <v>5</v>
      </c>
      <c r="G179" s="6">
        <v>0</v>
      </c>
      <c r="H179" s="12">
        <v>4</v>
      </c>
      <c r="I179" s="6">
        <v>59</v>
      </c>
      <c r="J179" s="6">
        <v>1</v>
      </c>
      <c r="K179" s="6">
        <v>3430</v>
      </c>
      <c r="L179" s="6">
        <v>2</v>
      </c>
      <c r="M179" s="12">
        <v>6</v>
      </c>
      <c r="N179" s="6">
        <v>5</v>
      </c>
      <c r="O179" s="35">
        <f t="shared" si="3"/>
        <v>2.5000000000000001E-2</v>
      </c>
    </row>
    <row r="180" spans="1:17">
      <c r="A180" s="94" t="s">
        <v>380</v>
      </c>
      <c r="B180" s="7" t="s">
        <v>381</v>
      </c>
      <c r="D180" s="5" t="s">
        <v>382</v>
      </c>
      <c r="E180" s="6">
        <v>0</v>
      </c>
      <c r="F180" s="6">
        <v>1</v>
      </c>
      <c r="G180" s="6">
        <v>3</v>
      </c>
      <c r="H180" s="12">
        <v>12</v>
      </c>
      <c r="I180" s="6">
        <v>66</v>
      </c>
      <c r="J180" s="6">
        <v>0</v>
      </c>
      <c r="K180" s="6">
        <v>716</v>
      </c>
      <c r="L180" s="6">
        <v>0</v>
      </c>
      <c r="M180" s="12">
        <v>4</v>
      </c>
      <c r="N180" s="6">
        <v>5</v>
      </c>
      <c r="O180" s="35">
        <f t="shared" si="3"/>
        <v>2.5000000000000001E-2</v>
      </c>
      <c r="Q180" s="5" t="s">
        <v>156</v>
      </c>
    </row>
    <row r="181" spans="1:17">
      <c r="A181" s="75" t="s">
        <v>383</v>
      </c>
      <c r="B181" s="7" t="s">
        <v>8</v>
      </c>
      <c r="D181" s="5" t="s">
        <v>384</v>
      </c>
      <c r="E181" s="6">
        <v>0</v>
      </c>
      <c r="F181" s="6">
        <v>0</v>
      </c>
      <c r="G181" s="6">
        <v>0</v>
      </c>
      <c r="H181" s="12">
        <v>2</v>
      </c>
      <c r="I181" s="6">
        <v>13</v>
      </c>
      <c r="J181" s="6">
        <v>1</v>
      </c>
      <c r="K181" s="6">
        <v>210</v>
      </c>
      <c r="L181" s="6">
        <v>0</v>
      </c>
      <c r="M181" s="12">
        <v>4</v>
      </c>
      <c r="N181" s="6">
        <v>4</v>
      </c>
      <c r="O181" s="35">
        <f t="shared" si="3"/>
        <v>0.02</v>
      </c>
    </row>
    <row r="182" spans="1:17">
      <c r="A182" s="75" t="s">
        <v>385</v>
      </c>
      <c r="B182" s="7" t="s">
        <v>7</v>
      </c>
      <c r="D182" s="5" t="s">
        <v>386</v>
      </c>
      <c r="E182" s="6">
        <v>0</v>
      </c>
      <c r="F182" s="6">
        <v>0</v>
      </c>
      <c r="G182" s="6">
        <v>0</v>
      </c>
      <c r="H182" s="12">
        <v>2</v>
      </c>
      <c r="I182" s="6">
        <v>11</v>
      </c>
      <c r="J182" s="6">
        <v>1</v>
      </c>
      <c r="K182" s="6">
        <v>163</v>
      </c>
      <c r="L182" s="6">
        <v>0</v>
      </c>
      <c r="M182" s="12">
        <v>4</v>
      </c>
      <c r="N182" s="6">
        <v>4</v>
      </c>
      <c r="O182" s="35">
        <f t="shared" si="3"/>
        <v>0.02</v>
      </c>
    </row>
    <row r="183" spans="1:17">
      <c r="A183" s="75" t="s">
        <v>387</v>
      </c>
      <c r="B183" s="7" t="s">
        <v>8</v>
      </c>
      <c r="D183" s="5" t="s">
        <v>387</v>
      </c>
      <c r="E183" s="6">
        <v>0</v>
      </c>
      <c r="F183" s="6">
        <v>0</v>
      </c>
      <c r="G183" s="6">
        <v>0</v>
      </c>
      <c r="H183" s="12">
        <v>4</v>
      </c>
      <c r="I183" s="6">
        <v>34</v>
      </c>
      <c r="J183" s="6">
        <v>1</v>
      </c>
      <c r="K183" s="6">
        <v>765</v>
      </c>
      <c r="L183" s="6">
        <v>0</v>
      </c>
      <c r="M183" s="12">
        <v>6</v>
      </c>
      <c r="N183" s="6">
        <v>4</v>
      </c>
      <c r="O183" s="35">
        <f t="shared" si="3"/>
        <v>0.02</v>
      </c>
    </row>
    <row r="184" spans="1:17" s="30" customFormat="1">
      <c r="A184" s="80" t="s">
        <v>388</v>
      </c>
      <c r="B184" s="32"/>
      <c r="C184" s="7"/>
      <c r="D184" s="30" t="s">
        <v>389</v>
      </c>
      <c r="E184" s="31">
        <v>0</v>
      </c>
      <c r="F184" s="31">
        <v>5</v>
      </c>
      <c r="G184" s="31">
        <v>7</v>
      </c>
      <c r="H184" s="31">
        <v>9</v>
      </c>
      <c r="I184" s="31">
        <v>41</v>
      </c>
      <c r="J184" s="31">
        <v>1</v>
      </c>
      <c r="K184" s="31">
        <v>247</v>
      </c>
      <c r="L184" s="31">
        <v>0</v>
      </c>
      <c r="M184" s="31">
        <v>5</v>
      </c>
      <c r="N184" s="31">
        <v>4</v>
      </c>
      <c r="O184" s="35">
        <f t="shared" si="3"/>
        <v>0.02</v>
      </c>
      <c r="P184" s="7"/>
    </row>
    <row r="185" spans="1:17" s="30" customFormat="1">
      <c r="A185" s="80" t="s">
        <v>390</v>
      </c>
      <c r="B185" s="32"/>
      <c r="C185" s="7"/>
      <c r="D185" s="30" t="s">
        <v>391</v>
      </c>
      <c r="E185" s="31">
        <v>2</v>
      </c>
      <c r="F185" s="31">
        <v>2</v>
      </c>
      <c r="G185" s="31">
        <v>3</v>
      </c>
      <c r="H185" s="31">
        <v>4</v>
      </c>
      <c r="I185" s="31">
        <v>58</v>
      </c>
      <c r="J185" s="31">
        <v>0</v>
      </c>
      <c r="K185" s="31">
        <v>2991</v>
      </c>
      <c r="L185" s="31">
        <v>0</v>
      </c>
      <c r="M185" s="31">
        <v>5</v>
      </c>
      <c r="N185" s="31">
        <v>4</v>
      </c>
      <c r="O185" s="35">
        <f t="shared" si="3"/>
        <v>0.02</v>
      </c>
      <c r="P185" s="7"/>
    </row>
    <row r="186" spans="1:17">
      <c r="A186" s="75" t="s">
        <v>392</v>
      </c>
      <c r="B186" s="7" t="s">
        <v>8</v>
      </c>
      <c r="D186" s="5" t="s">
        <v>393</v>
      </c>
      <c r="E186" s="6">
        <v>0</v>
      </c>
      <c r="F186" s="6">
        <v>0</v>
      </c>
      <c r="G186" s="6">
        <v>0</v>
      </c>
      <c r="H186" s="12">
        <v>2</v>
      </c>
      <c r="I186" s="6">
        <v>12</v>
      </c>
      <c r="J186" s="6">
        <v>0</v>
      </c>
      <c r="K186" s="6">
        <v>677</v>
      </c>
      <c r="L186" s="6">
        <v>0</v>
      </c>
      <c r="M186" s="12">
        <v>4</v>
      </c>
      <c r="N186" s="6">
        <v>4</v>
      </c>
      <c r="O186" s="35">
        <f t="shared" si="3"/>
        <v>0.02</v>
      </c>
    </row>
    <row r="187" spans="1:17">
      <c r="A187" s="75" t="s">
        <v>394</v>
      </c>
      <c r="B187" s="7" t="s">
        <v>9</v>
      </c>
      <c r="D187" s="5" t="s">
        <v>395</v>
      </c>
      <c r="E187" s="6">
        <v>0</v>
      </c>
      <c r="F187" s="6">
        <v>0</v>
      </c>
      <c r="G187" s="6">
        <v>3</v>
      </c>
      <c r="H187" s="12">
        <v>4</v>
      </c>
      <c r="I187" s="6">
        <v>30</v>
      </c>
      <c r="J187" s="6">
        <v>1</v>
      </c>
      <c r="K187" s="6">
        <v>1698</v>
      </c>
      <c r="L187" s="6">
        <v>0</v>
      </c>
      <c r="M187" s="12">
        <v>6</v>
      </c>
      <c r="N187" s="6">
        <v>3</v>
      </c>
      <c r="O187" s="35">
        <f t="shared" si="3"/>
        <v>1.4999999999999999E-2</v>
      </c>
    </row>
    <row r="188" spans="1:17" s="30" customFormat="1">
      <c r="A188" s="80" t="s">
        <v>396</v>
      </c>
      <c r="B188" s="32" t="s">
        <v>8</v>
      </c>
      <c r="C188" s="7"/>
      <c r="D188" s="30" t="s">
        <v>397</v>
      </c>
      <c r="E188" s="31">
        <v>2</v>
      </c>
      <c r="F188" s="31">
        <v>1</v>
      </c>
      <c r="G188" s="31">
        <v>0</v>
      </c>
      <c r="H188" s="31">
        <v>1</v>
      </c>
      <c r="I188" s="31">
        <v>15</v>
      </c>
      <c r="J188" s="31">
        <v>1</v>
      </c>
      <c r="K188" s="31">
        <v>232</v>
      </c>
      <c r="L188" s="31">
        <v>0</v>
      </c>
      <c r="M188" s="31">
        <v>4</v>
      </c>
      <c r="N188" s="31">
        <v>3</v>
      </c>
      <c r="O188" s="37">
        <f t="shared" si="3"/>
        <v>1.4999999999999999E-2</v>
      </c>
      <c r="P188" s="7"/>
    </row>
    <row r="189" spans="1:17">
      <c r="A189" s="75" t="s">
        <v>398</v>
      </c>
      <c r="B189" s="7" t="s">
        <v>7</v>
      </c>
      <c r="D189" s="5" t="s">
        <v>398</v>
      </c>
      <c r="E189" s="6">
        <v>0</v>
      </c>
      <c r="F189" s="6">
        <v>0</v>
      </c>
      <c r="G189" s="6">
        <v>0</v>
      </c>
      <c r="H189" s="12">
        <v>2</v>
      </c>
      <c r="I189" s="6">
        <v>18</v>
      </c>
      <c r="J189" s="6">
        <v>1</v>
      </c>
      <c r="K189" s="6">
        <v>782</v>
      </c>
      <c r="L189" s="6">
        <v>0</v>
      </c>
      <c r="M189" s="12">
        <v>4</v>
      </c>
      <c r="N189" s="6">
        <v>3</v>
      </c>
      <c r="O189" s="35">
        <f t="shared" si="3"/>
        <v>1.4999999999999999E-2</v>
      </c>
    </row>
    <row r="190" spans="1:17">
      <c r="A190" s="75" t="s">
        <v>399</v>
      </c>
      <c r="B190" s="7" t="s">
        <v>9</v>
      </c>
      <c r="D190" s="5" t="s">
        <v>400</v>
      </c>
      <c r="E190" s="6">
        <v>0</v>
      </c>
      <c r="F190" s="6">
        <v>1</v>
      </c>
      <c r="G190" s="6">
        <v>0</v>
      </c>
      <c r="H190" s="12">
        <v>3</v>
      </c>
      <c r="I190" s="6">
        <v>24</v>
      </c>
      <c r="J190" s="6">
        <v>1</v>
      </c>
      <c r="K190" s="6">
        <v>705</v>
      </c>
      <c r="L190" s="6">
        <v>0</v>
      </c>
      <c r="M190" s="12">
        <v>7</v>
      </c>
      <c r="N190" s="6">
        <v>3</v>
      </c>
      <c r="O190" s="35">
        <f t="shared" si="3"/>
        <v>1.4999999999999999E-2</v>
      </c>
    </row>
    <row r="191" spans="1:17" s="24" customFormat="1">
      <c r="A191" s="78" t="s">
        <v>401</v>
      </c>
      <c r="B191" s="26"/>
      <c r="C191" s="7"/>
      <c r="D191" s="24" t="s">
        <v>402</v>
      </c>
      <c r="E191" s="25">
        <v>0</v>
      </c>
      <c r="F191" s="25">
        <v>1</v>
      </c>
      <c r="G191" s="25">
        <v>0</v>
      </c>
      <c r="H191" s="25">
        <v>4</v>
      </c>
      <c r="I191" s="25">
        <v>40</v>
      </c>
      <c r="J191" s="25">
        <v>1</v>
      </c>
      <c r="K191" s="25">
        <v>738</v>
      </c>
      <c r="L191" s="25">
        <v>0</v>
      </c>
      <c r="M191" s="25">
        <v>5</v>
      </c>
      <c r="N191" s="25">
        <v>2</v>
      </c>
      <c r="O191" s="42">
        <f t="shared" si="3"/>
        <v>0.01</v>
      </c>
      <c r="P191" s="7"/>
    </row>
    <row r="192" spans="1:17" s="24" customFormat="1">
      <c r="A192" s="78" t="s">
        <v>403</v>
      </c>
      <c r="B192" s="26"/>
      <c r="C192" s="7"/>
      <c r="D192" s="24" t="s">
        <v>404</v>
      </c>
      <c r="E192" s="25">
        <v>0</v>
      </c>
      <c r="F192" s="25">
        <v>0</v>
      </c>
      <c r="G192" s="25">
        <v>0</v>
      </c>
      <c r="H192" s="25">
        <v>1</v>
      </c>
      <c r="I192" s="25">
        <v>13</v>
      </c>
      <c r="J192" s="25">
        <v>1</v>
      </c>
      <c r="K192" s="25">
        <v>224</v>
      </c>
      <c r="L192" s="25">
        <v>0</v>
      </c>
      <c r="M192" s="25">
        <v>4</v>
      </c>
      <c r="N192" s="25">
        <v>2</v>
      </c>
      <c r="O192" s="42">
        <f t="shared" si="3"/>
        <v>0.01</v>
      </c>
      <c r="P192" s="7"/>
    </row>
    <row r="193" spans="1:17" s="24" customFormat="1">
      <c r="A193" s="78" t="s">
        <v>405</v>
      </c>
      <c r="B193" s="26"/>
      <c r="C193" s="7"/>
      <c r="D193" s="24" t="s">
        <v>406</v>
      </c>
      <c r="E193" s="25">
        <v>0</v>
      </c>
      <c r="F193" s="25">
        <v>4</v>
      </c>
      <c r="G193" s="25">
        <v>0</v>
      </c>
      <c r="H193" s="25">
        <v>5</v>
      </c>
      <c r="I193" s="25">
        <v>18</v>
      </c>
      <c r="J193" s="25">
        <v>0</v>
      </c>
      <c r="K193" s="25">
        <v>1361</v>
      </c>
      <c r="L193" s="25">
        <v>0</v>
      </c>
      <c r="M193" s="25">
        <v>4</v>
      </c>
      <c r="N193" s="25">
        <v>2</v>
      </c>
      <c r="O193" s="42">
        <f t="shared" si="3"/>
        <v>0.01</v>
      </c>
      <c r="P193" s="7"/>
    </row>
    <row r="194" spans="1:17">
      <c r="A194" s="75" t="s">
        <v>407</v>
      </c>
      <c r="B194" s="7" t="s">
        <v>7</v>
      </c>
      <c r="D194" s="5" t="s">
        <v>408</v>
      </c>
      <c r="E194" s="6">
        <v>1</v>
      </c>
      <c r="F194" s="6">
        <v>0</v>
      </c>
      <c r="G194" s="6">
        <v>0</v>
      </c>
      <c r="H194" s="12">
        <v>1</v>
      </c>
      <c r="I194" s="6">
        <v>5</v>
      </c>
      <c r="J194" s="6">
        <v>0</v>
      </c>
      <c r="K194" s="6">
        <v>156</v>
      </c>
      <c r="L194" s="6">
        <v>0</v>
      </c>
      <c r="M194" s="12">
        <v>3</v>
      </c>
      <c r="N194" s="6">
        <v>1</v>
      </c>
      <c r="O194" s="35">
        <f t="shared" si="3"/>
        <v>5.0000000000000001E-3</v>
      </c>
    </row>
    <row r="195" spans="1:17">
      <c r="A195" s="94" t="s">
        <v>409</v>
      </c>
      <c r="B195" s="7" t="s">
        <v>8</v>
      </c>
      <c r="D195" s="5" t="s">
        <v>410</v>
      </c>
      <c r="E195" s="6">
        <v>0</v>
      </c>
      <c r="F195" s="6">
        <v>0</v>
      </c>
      <c r="G195" s="6">
        <v>2</v>
      </c>
      <c r="H195" s="12">
        <v>4</v>
      </c>
      <c r="I195" s="6">
        <v>17</v>
      </c>
      <c r="J195" s="6">
        <v>0</v>
      </c>
      <c r="K195" s="6">
        <v>219</v>
      </c>
      <c r="L195" s="6">
        <v>0</v>
      </c>
      <c r="M195" s="12">
        <v>5</v>
      </c>
      <c r="N195" s="6">
        <v>1</v>
      </c>
      <c r="O195" s="35">
        <f t="shared" si="3"/>
        <v>5.0000000000000001E-3</v>
      </c>
      <c r="Q195" s="5" t="s">
        <v>156</v>
      </c>
    </row>
    <row r="196" spans="1:17" s="24" customFormat="1">
      <c r="A196" s="78" t="s">
        <v>411</v>
      </c>
      <c r="B196" s="26"/>
      <c r="C196" s="7"/>
      <c r="D196" s="24" t="s">
        <v>412</v>
      </c>
      <c r="E196" s="25">
        <v>0</v>
      </c>
      <c r="F196" s="25">
        <v>0</v>
      </c>
      <c r="G196" s="25">
        <v>0</v>
      </c>
      <c r="H196" s="25">
        <v>1</v>
      </c>
      <c r="I196" s="25">
        <v>9</v>
      </c>
      <c r="J196" s="25">
        <v>1</v>
      </c>
      <c r="K196" s="25">
        <v>184</v>
      </c>
      <c r="L196" s="25">
        <v>0</v>
      </c>
      <c r="M196" s="25">
        <v>4</v>
      </c>
      <c r="N196" s="25">
        <v>1</v>
      </c>
      <c r="O196" s="42">
        <f t="shared" si="3"/>
        <v>5.0000000000000001E-3</v>
      </c>
      <c r="P196" s="7"/>
    </row>
    <row r="197" spans="1:17">
      <c r="A197" s="75" t="s">
        <v>413</v>
      </c>
      <c r="B197" s="7" t="s">
        <v>7</v>
      </c>
      <c r="D197" s="5" t="s">
        <v>414</v>
      </c>
      <c r="E197" s="6">
        <v>0</v>
      </c>
      <c r="F197" s="6">
        <v>0</v>
      </c>
      <c r="G197" s="6">
        <v>0</v>
      </c>
      <c r="H197" s="12">
        <v>2</v>
      </c>
      <c r="I197" s="6">
        <v>27</v>
      </c>
      <c r="J197" s="6">
        <v>1</v>
      </c>
      <c r="K197" s="6">
        <v>665</v>
      </c>
      <c r="L197" s="6">
        <v>0</v>
      </c>
      <c r="M197" s="12">
        <v>5</v>
      </c>
      <c r="N197" s="6">
        <v>1</v>
      </c>
      <c r="O197" s="35">
        <f t="shared" si="3"/>
        <v>5.0000000000000001E-3</v>
      </c>
    </row>
    <row r="198" spans="1:17" s="30" customFormat="1">
      <c r="A198" s="80" t="s">
        <v>415</v>
      </c>
      <c r="B198" s="32"/>
      <c r="C198" s="7"/>
      <c r="D198" s="30" t="s">
        <v>416</v>
      </c>
      <c r="E198" s="31">
        <v>0</v>
      </c>
      <c r="F198" s="31">
        <v>0</v>
      </c>
      <c r="G198" s="31">
        <v>0</v>
      </c>
      <c r="H198" s="31">
        <v>2</v>
      </c>
      <c r="I198" s="31">
        <v>13</v>
      </c>
      <c r="J198" s="31">
        <v>1</v>
      </c>
      <c r="K198" s="31">
        <v>949</v>
      </c>
      <c r="L198" s="31">
        <v>0</v>
      </c>
      <c r="M198" s="31">
        <v>5</v>
      </c>
      <c r="N198" s="31">
        <v>1</v>
      </c>
      <c r="O198" s="37">
        <f t="shared" si="3"/>
        <v>5.0000000000000001E-3</v>
      </c>
      <c r="P198" s="7"/>
    </row>
    <row r="199" spans="1:17">
      <c r="A199" s="75" t="s">
        <v>417</v>
      </c>
      <c r="B199" s="7" t="s">
        <v>8</v>
      </c>
      <c r="D199" s="5" t="s">
        <v>418</v>
      </c>
      <c r="E199" s="6">
        <v>0</v>
      </c>
      <c r="F199" s="6">
        <v>0</v>
      </c>
      <c r="G199" s="6">
        <v>0</v>
      </c>
      <c r="H199" s="12">
        <v>2</v>
      </c>
      <c r="I199" s="6">
        <v>11</v>
      </c>
      <c r="J199" s="6">
        <v>1</v>
      </c>
      <c r="K199" s="6">
        <v>163</v>
      </c>
      <c r="L199" s="6">
        <v>0</v>
      </c>
      <c r="M199" s="12">
        <v>4</v>
      </c>
      <c r="N199" s="6">
        <v>1</v>
      </c>
      <c r="O199" s="35">
        <f t="shared" si="3"/>
        <v>5.0000000000000001E-3</v>
      </c>
    </row>
    <row r="200" spans="1:17">
      <c r="A200" s="75" t="s">
        <v>419</v>
      </c>
      <c r="B200" s="7" t="s">
        <v>381</v>
      </c>
      <c r="D200" s="5" t="s">
        <v>420</v>
      </c>
      <c r="E200" s="6">
        <v>0</v>
      </c>
      <c r="F200" s="6">
        <v>1</v>
      </c>
      <c r="G200" s="6">
        <v>3</v>
      </c>
      <c r="H200" s="12">
        <v>6</v>
      </c>
      <c r="I200" s="6">
        <v>92</v>
      </c>
      <c r="J200" s="6">
        <v>1</v>
      </c>
      <c r="K200" s="6">
        <v>3133</v>
      </c>
      <c r="L200" s="6">
        <v>0</v>
      </c>
      <c r="M200" s="12">
        <v>6</v>
      </c>
      <c r="N200" s="6">
        <v>1</v>
      </c>
      <c r="O200" s="35">
        <f t="shared" si="3"/>
        <v>5.0000000000000001E-3</v>
      </c>
    </row>
    <row r="201" spans="1:17" s="30" customFormat="1">
      <c r="A201" s="80" t="s">
        <v>421</v>
      </c>
      <c r="B201" s="32" t="s">
        <v>7</v>
      </c>
      <c r="C201" s="7"/>
      <c r="D201" s="30" t="s">
        <v>421</v>
      </c>
      <c r="E201" s="31">
        <v>1</v>
      </c>
      <c r="F201" s="31">
        <v>0</v>
      </c>
      <c r="G201" s="31">
        <v>0</v>
      </c>
      <c r="H201" s="31">
        <v>1</v>
      </c>
      <c r="I201" s="31">
        <v>4</v>
      </c>
      <c r="J201" s="31">
        <v>0</v>
      </c>
      <c r="K201" s="31">
        <v>0</v>
      </c>
      <c r="L201" s="31">
        <v>0</v>
      </c>
      <c r="M201" s="31">
        <v>3</v>
      </c>
      <c r="N201" s="31">
        <v>1</v>
      </c>
      <c r="O201" s="37">
        <f t="shared" si="3"/>
        <v>5.0000000000000001E-3</v>
      </c>
      <c r="P201" s="7"/>
    </row>
    <row r="202" spans="1:17" s="30" customFormat="1">
      <c r="A202" s="80" t="s">
        <v>422</v>
      </c>
      <c r="B202" s="32"/>
      <c r="C202" s="7"/>
      <c r="D202" s="30" t="s">
        <v>423</v>
      </c>
      <c r="E202" s="31">
        <v>2</v>
      </c>
      <c r="F202" s="31">
        <v>2</v>
      </c>
      <c r="G202" s="31">
        <v>0</v>
      </c>
      <c r="H202" s="31">
        <v>0</v>
      </c>
      <c r="I202" s="31">
        <v>6</v>
      </c>
      <c r="J202" s="31">
        <v>0</v>
      </c>
      <c r="K202" s="31">
        <v>0</v>
      </c>
      <c r="L202" s="31">
        <v>0</v>
      </c>
      <c r="M202" s="31">
        <v>3</v>
      </c>
      <c r="N202" s="31">
        <v>0</v>
      </c>
      <c r="O202" s="37">
        <f t="shared" si="3"/>
        <v>0</v>
      </c>
      <c r="P202" s="7"/>
    </row>
    <row r="203" spans="1:17">
      <c r="A203" s="75" t="s">
        <v>424</v>
      </c>
      <c r="B203" s="7" t="s">
        <v>7</v>
      </c>
      <c r="D203" s="5" t="s">
        <v>425</v>
      </c>
      <c r="E203" s="6">
        <v>1</v>
      </c>
      <c r="F203" s="6">
        <v>0</v>
      </c>
      <c r="G203" s="6">
        <v>0</v>
      </c>
      <c r="H203" s="12">
        <v>0</v>
      </c>
      <c r="I203" s="6">
        <v>5</v>
      </c>
      <c r="J203" s="6">
        <v>0</v>
      </c>
      <c r="K203" s="6">
        <v>0</v>
      </c>
      <c r="L203" s="6">
        <v>0</v>
      </c>
      <c r="M203" s="12">
        <v>3</v>
      </c>
      <c r="N203" s="6">
        <v>0</v>
      </c>
      <c r="O203" s="35">
        <f t="shared" ref="O203:O264" si="4" xml:space="preserve"> (N203/200)</f>
        <v>0</v>
      </c>
    </row>
    <row r="204" spans="1:17">
      <c r="A204" s="75" t="s">
        <v>426</v>
      </c>
      <c r="B204" s="7" t="s">
        <v>7</v>
      </c>
      <c r="D204" s="5" t="s">
        <v>427</v>
      </c>
      <c r="E204" s="6">
        <v>1</v>
      </c>
      <c r="F204" s="6">
        <v>0</v>
      </c>
      <c r="G204" s="6">
        <v>0</v>
      </c>
      <c r="H204" s="12">
        <v>0</v>
      </c>
      <c r="I204" s="6">
        <v>5</v>
      </c>
      <c r="J204" s="6">
        <v>0</v>
      </c>
      <c r="K204" s="6">
        <v>0</v>
      </c>
      <c r="L204" s="6">
        <v>0</v>
      </c>
      <c r="M204" s="12">
        <v>3</v>
      </c>
      <c r="N204" s="6">
        <v>0</v>
      </c>
      <c r="O204" s="35">
        <f t="shared" si="4"/>
        <v>0</v>
      </c>
    </row>
    <row r="205" spans="1:17" ht="36.75" customHeight="1">
      <c r="A205" s="75" t="s">
        <v>428</v>
      </c>
      <c r="B205" s="7" t="s">
        <v>7</v>
      </c>
      <c r="D205" s="5" t="s">
        <v>429</v>
      </c>
      <c r="E205" s="6">
        <v>1</v>
      </c>
      <c r="F205" s="6">
        <v>0</v>
      </c>
      <c r="G205" s="6">
        <v>0</v>
      </c>
      <c r="H205" s="12">
        <v>0</v>
      </c>
      <c r="I205" s="6">
        <v>6</v>
      </c>
      <c r="J205" s="6">
        <v>0</v>
      </c>
      <c r="K205" s="6">
        <v>10</v>
      </c>
      <c r="L205" s="6">
        <v>0</v>
      </c>
      <c r="M205" s="12">
        <v>3</v>
      </c>
      <c r="N205" s="6">
        <v>0</v>
      </c>
      <c r="O205" s="35">
        <f t="shared" si="4"/>
        <v>0</v>
      </c>
    </row>
    <row r="206" spans="1:17">
      <c r="A206" s="94" t="s">
        <v>430</v>
      </c>
      <c r="B206" s="7" t="s">
        <v>7</v>
      </c>
      <c r="D206" s="5" t="s">
        <v>431</v>
      </c>
      <c r="E206" s="6">
        <v>2</v>
      </c>
      <c r="F206" s="6">
        <v>0</v>
      </c>
      <c r="G206" s="6">
        <v>0</v>
      </c>
      <c r="H206" s="12">
        <v>1</v>
      </c>
      <c r="I206" s="6">
        <v>5</v>
      </c>
      <c r="J206" s="6">
        <v>0</v>
      </c>
      <c r="K206" s="6">
        <v>8</v>
      </c>
      <c r="L206" s="6">
        <v>0</v>
      </c>
      <c r="M206" s="12">
        <v>3</v>
      </c>
      <c r="N206" s="6">
        <v>0</v>
      </c>
      <c r="O206" s="35">
        <f t="shared" si="4"/>
        <v>0</v>
      </c>
      <c r="Q206" s="5" t="s">
        <v>156</v>
      </c>
    </row>
    <row r="207" spans="1:17" s="88" customFormat="1">
      <c r="A207" s="92" t="s">
        <v>432</v>
      </c>
      <c r="B207" s="91"/>
      <c r="C207" s="7"/>
      <c r="D207" s="88" t="s">
        <v>433</v>
      </c>
      <c r="E207" s="89">
        <v>2</v>
      </c>
      <c r="F207" s="89">
        <v>0</v>
      </c>
      <c r="G207" s="89">
        <v>0</v>
      </c>
      <c r="H207" s="89">
        <v>0</v>
      </c>
      <c r="I207" s="89">
        <v>3</v>
      </c>
      <c r="J207" s="89">
        <v>0</v>
      </c>
      <c r="K207" s="89">
        <v>0</v>
      </c>
      <c r="L207" s="89">
        <v>0</v>
      </c>
      <c r="M207" s="89">
        <v>3</v>
      </c>
      <c r="N207" s="89">
        <v>0</v>
      </c>
      <c r="O207" s="90">
        <f t="shared" si="4"/>
        <v>0</v>
      </c>
      <c r="P207" s="7"/>
    </row>
    <row r="208" spans="1:17" s="66" customFormat="1">
      <c r="A208" s="87" t="s">
        <v>434</v>
      </c>
      <c r="B208" s="69"/>
      <c r="C208" s="7"/>
      <c r="D208" s="66" t="s">
        <v>434</v>
      </c>
      <c r="E208" s="67">
        <v>1</v>
      </c>
      <c r="F208" s="67">
        <v>0</v>
      </c>
      <c r="G208" s="67">
        <v>0</v>
      </c>
      <c r="H208" s="67">
        <v>1</v>
      </c>
      <c r="I208" s="67">
        <v>4</v>
      </c>
      <c r="J208" s="67">
        <v>0</v>
      </c>
      <c r="K208" s="67">
        <v>0</v>
      </c>
      <c r="L208" s="67">
        <v>0</v>
      </c>
      <c r="M208" s="67">
        <v>3</v>
      </c>
      <c r="N208" s="67">
        <v>0</v>
      </c>
      <c r="O208" s="68">
        <f t="shared" si="4"/>
        <v>0</v>
      </c>
      <c r="P208" s="7"/>
    </row>
    <row r="209" spans="1:16" s="88" customFormat="1">
      <c r="A209" s="92" t="s">
        <v>94</v>
      </c>
      <c r="B209" s="91"/>
      <c r="C209" s="7"/>
      <c r="D209" s="88" t="s">
        <v>435</v>
      </c>
      <c r="E209" s="89">
        <v>2</v>
      </c>
      <c r="F209" s="89">
        <v>0</v>
      </c>
      <c r="G209" s="89">
        <v>2</v>
      </c>
      <c r="H209" s="89">
        <v>2</v>
      </c>
      <c r="I209" s="89">
        <v>24</v>
      </c>
      <c r="J209" s="89">
        <v>1</v>
      </c>
      <c r="K209" s="89">
        <v>799</v>
      </c>
      <c r="L209" s="89">
        <v>0</v>
      </c>
      <c r="M209" s="89">
        <v>4</v>
      </c>
      <c r="N209" s="89">
        <v>0</v>
      </c>
      <c r="O209" s="90">
        <f t="shared" si="4"/>
        <v>0</v>
      </c>
      <c r="P209" s="7"/>
    </row>
    <row r="210" spans="1:16" s="66" customFormat="1">
      <c r="A210" s="87" t="s">
        <v>436</v>
      </c>
      <c r="B210" s="69"/>
      <c r="C210" s="7"/>
      <c r="D210" s="66" t="s">
        <v>437</v>
      </c>
      <c r="E210" s="67">
        <v>1</v>
      </c>
      <c r="F210" s="67">
        <v>0</v>
      </c>
      <c r="G210" s="67">
        <v>0</v>
      </c>
      <c r="H210" s="67">
        <v>1</v>
      </c>
      <c r="I210" s="67">
        <v>5</v>
      </c>
      <c r="J210" s="67">
        <v>0</v>
      </c>
      <c r="K210" s="67">
        <v>159</v>
      </c>
      <c r="L210" s="67">
        <v>0</v>
      </c>
      <c r="M210" s="67">
        <v>3</v>
      </c>
      <c r="N210" s="67">
        <v>0</v>
      </c>
      <c r="O210" s="68">
        <f t="shared" si="4"/>
        <v>0</v>
      </c>
      <c r="P210" s="7"/>
    </row>
    <row r="211" spans="1:16" s="24" customFormat="1">
      <c r="A211" s="78" t="s">
        <v>438</v>
      </c>
      <c r="B211" s="26"/>
      <c r="C211" s="7"/>
      <c r="D211" s="24" t="s">
        <v>439</v>
      </c>
      <c r="E211" s="25">
        <v>3</v>
      </c>
      <c r="F211" s="25">
        <v>0</v>
      </c>
      <c r="G211" s="25">
        <v>0</v>
      </c>
      <c r="H211" s="25">
        <v>0</v>
      </c>
      <c r="I211" s="25">
        <v>0</v>
      </c>
      <c r="J211" s="25">
        <v>0</v>
      </c>
      <c r="K211" s="25">
        <v>0</v>
      </c>
      <c r="L211" s="25">
        <v>0</v>
      </c>
      <c r="M211" s="25">
        <v>0</v>
      </c>
      <c r="N211" s="25">
        <v>0</v>
      </c>
      <c r="O211" s="42">
        <f t="shared" si="4"/>
        <v>0</v>
      </c>
      <c r="P211" s="7"/>
    </row>
    <row r="212" spans="1:16" s="30" customFormat="1">
      <c r="A212" s="80" t="s">
        <v>440</v>
      </c>
      <c r="B212" s="32"/>
      <c r="C212" s="7"/>
      <c r="D212" s="30" t="s">
        <v>441</v>
      </c>
      <c r="E212" s="31">
        <v>1</v>
      </c>
      <c r="F212" s="31">
        <v>3</v>
      </c>
      <c r="G212" s="31">
        <v>0</v>
      </c>
      <c r="H212" s="31">
        <v>2</v>
      </c>
      <c r="I212" s="31">
        <v>24</v>
      </c>
      <c r="J212" s="31">
        <v>0</v>
      </c>
      <c r="K212" s="31">
        <v>508</v>
      </c>
      <c r="L212" s="31">
        <v>0</v>
      </c>
      <c r="M212" s="31">
        <v>5</v>
      </c>
      <c r="N212" s="31">
        <v>0</v>
      </c>
      <c r="O212" s="37">
        <f t="shared" si="4"/>
        <v>0</v>
      </c>
      <c r="P212" s="7"/>
    </row>
    <row r="213" spans="1:16" s="66" customFormat="1">
      <c r="A213" s="87" t="s">
        <v>442</v>
      </c>
      <c r="B213" s="69"/>
      <c r="C213" s="7"/>
      <c r="D213" s="66" t="s">
        <v>443</v>
      </c>
      <c r="E213" s="67">
        <v>1</v>
      </c>
      <c r="F213" s="67">
        <v>0</v>
      </c>
      <c r="G213" s="67">
        <v>0</v>
      </c>
      <c r="H213" s="67">
        <v>3</v>
      </c>
      <c r="I213" s="67">
        <v>6</v>
      </c>
      <c r="J213" s="67">
        <v>0</v>
      </c>
      <c r="K213" s="67">
        <v>63</v>
      </c>
      <c r="L213" s="67">
        <v>0</v>
      </c>
      <c r="M213" s="67">
        <v>0</v>
      </c>
      <c r="N213" s="67">
        <v>0</v>
      </c>
      <c r="O213" s="68">
        <f t="shared" si="4"/>
        <v>0</v>
      </c>
      <c r="P213" s="7"/>
    </row>
    <row r="214" spans="1:16" s="66" customFormat="1">
      <c r="A214" s="87" t="s">
        <v>444</v>
      </c>
      <c r="B214" s="69"/>
      <c r="C214" s="7"/>
      <c r="D214" s="66" t="s">
        <v>445</v>
      </c>
      <c r="E214" s="67">
        <v>1</v>
      </c>
      <c r="F214" s="67">
        <v>0</v>
      </c>
      <c r="G214" s="67">
        <v>0</v>
      </c>
      <c r="H214" s="67">
        <v>0</v>
      </c>
      <c r="I214" s="67">
        <v>5</v>
      </c>
      <c r="J214" s="67">
        <v>0</v>
      </c>
      <c r="K214" s="67">
        <v>0</v>
      </c>
      <c r="L214" s="67">
        <v>0</v>
      </c>
      <c r="M214" s="67">
        <v>4</v>
      </c>
      <c r="N214" s="67">
        <v>0</v>
      </c>
      <c r="O214" s="68">
        <f t="shared" si="4"/>
        <v>0</v>
      </c>
      <c r="P214" s="7"/>
    </row>
    <row r="215" spans="1:16" s="66" customFormat="1">
      <c r="A215" s="87" t="s">
        <v>446</v>
      </c>
      <c r="B215" s="69"/>
      <c r="C215" s="7"/>
      <c r="D215" s="66" t="s">
        <v>447</v>
      </c>
      <c r="E215" s="67">
        <v>0</v>
      </c>
      <c r="F215" s="67">
        <v>0</v>
      </c>
      <c r="G215" s="67">
        <v>0</v>
      </c>
      <c r="H215" s="67">
        <v>2</v>
      </c>
      <c r="I215" s="67">
        <v>11</v>
      </c>
      <c r="J215" s="67">
        <v>0</v>
      </c>
      <c r="K215" s="67">
        <v>6</v>
      </c>
      <c r="L215" s="67">
        <v>0</v>
      </c>
      <c r="M215" s="67">
        <v>4</v>
      </c>
      <c r="N215" s="67">
        <v>0</v>
      </c>
      <c r="O215" s="68">
        <f t="shared" si="4"/>
        <v>0</v>
      </c>
      <c r="P215" s="7"/>
    </row>
    <row r="216" spans="1:16" s="70" customFormat="1">
      <c r="A216" s="84" t="s">
        <v>448</v>
      </c>
      <c r="B216" s="73"/>
      <c r="C216" s="7"/>
      <c r="D216" s="70" t="s">
        <v>449</v>
      </c>
      <c r="E216" s="71">
        <v>0</v>
      </c>
      <c r="F216" s="71">
        <v>0</v>
      </c>
      <c r="G216" s="71">
        <v>0</v>
      </c>
      <c r="H216" s="71">
        <v>2</v>
      </c>
      <c r="I216" s="71">
        <v>19</v>
      </c>
      <c r="J216" s="71">
        <v>1</v>
      </c>
      <c r="K216" s="71">
        <v>33</v>
      </c>
      <c r="L216" s="71">
        <v>0</v>
      </c>
      <c r="M216" s="71">
        <v>4</v>
      </c>
      <c r="N216" s="71">
        <v>0</v>
      </c>
      <c r="O216" s="72">
        <f t="shared" si="4"/>
        <v>0</v>
      </c>
      <c r="P216" s="7"/>
    </row>
    <row r="217" spans="1:16">
      <c r="A217" s="75" t="s">
        <v>450</v>
      </c>
      <c r="B217" s="7" t="s">
        <v>7</v>
      </c>
      <c r="D217" s="5" t="s">
        <v>451</v>
      </c>
      <c r="E217" s="6">
        <v>0</v>
      </c>
      <c r="F217" s="6">
        <v>0</v>
      </c>
      <c r="G217" s="6">
        <v>2</v>
      </c>
      <c r="H217" s="12">
        <v>4</v>
      </c>
      <c r="I217" s="6">
        <v>28</v>
      </c>
      <c r="J217" s="6">
        <v>0</v>
      </c>
      <c r="K217" s="6">
        <v>1231</v>
      </c>
      <c r="L217" s="6">
        <v>0</v>
      </c>
      <c r="M217" s="12">
        <v>4</v>
      </c>
      <c r="N217" s="6">
        <v>0</v>
      </c>
      <c r="O217" s="35">
        <f t="shared" si="4"/>
        <v>0</v>
      </c>
    </row>
    <row r="218" spans="1:16" s="70" customFormat="1">
      <c r="A218" s="84" t="s">
        <v>452</v>
      </c>
      <c r="B218" s="73"/>
      <c r="C218" s="7"/>
      <c r="D218" s="70" t="s">
        <v>453</v>
      </c>
      <c r="E218" s="71">
        <v>0</v>
      </c>
      <c r="F218" s="71">
        <v>2</v>
      </c>
      <c r="G218" s="71">
        <v>3</v>
      </c>
      <c r="H218" s="71">
        <v>6</v>
      </c>
      <c r="I218" s="71">
        <v>20</v>
      </c>
      <c r="J218" s="71">
        <v>1</v>
      </c>
      <c r="K218" s="71">
        <v>541</v>
      </c>
      <c r="L218" s="71">
        <v>0</v>
      </c>
      <c r="M218" s="71">
        <v>4</v>
      </c>
      <c r="N218" s="71">
        <v>0</v>
      </c>
      <c r="O218" s="72">
        <f t="shared" si="4"/>
        <v>0</v>
      </c>
      <c r="P218" s="7"/>
    </row>
    <row r="219" spans="1:16" s="24" customFormat="1">
      <c r="A219" s="96" t="s">
        <v>454</v>
      </c>
      <c r="B219" s="26" t="s">
        <v>8</v>
      </c>
      <c r="C219" s="7"/>
      <c r="D219" s="24" t="s">
        <v>455</v>
      </c>
      <c r="E219" s="25">
        <v>0</v>
      </c>
      <c r="F219" s="25">
        <v>0</v>
      </c>
      <c r="G219" s="25">
        <v>2</v>
      </c>
      <c r="H219" s="25">
        <v>6</v>
      </c>
      <c r="I219" s="25">
        <v>22</v>
      </c>
      <c r="J219" s="25">
        <v>0</v>
      </c>
      <c r="K219" s="25">
        <v>528</v>
      </c>
      <c r="L219" s="25">
        <v>0</v>
      </c>
      <c r="M219" s="25">
        <v>5</v>
      </c>
      <c r="N219" s="25">
        <v>0</v>
      </c>
      <c r="O219" s="42">
        <f t="shared" si="4"/>
        <v>0</v>
      </c>
      <c r="P219" s="7"/>
    </row>
    <row r="220" spans="1:16" s="52" customFormat="1">
      <c r="A220" s="81" t="s">
        <v>96</v>
      </c>
      <c r="B220" s="55"/>
      <c r="C220" s="7"/>
      <c r="D220" s="52" t="s">
        <v>456</v>
      </c>
      <c r="E220" s="53">
        <v>1</v>
      </c>
      <c r="F220" s="53">
        <v>3</v>
      </c>
      <c r="G220" s="53">
        <v>0</v>
      </c>
      <c r="H220" s="53">
        <v>1</v>
      </c>
      <c r="I220" s="53">
        <v>7</v>
      </c>
      <c r="J220" s="53">
        <v>0</v>
      </c>
      <c r="K220" s="53">
        <v>121</v>
      </c>
      <c r="L220" s="53">
        <v>0</v>
      </c>
      <c r="M220" s="53">
        <v>4</v>
      </c>
      <c r="N220" s="53">
        <v>0</v>
      </c>
      <c r="O220" s="54">
        <f t="shared" si="4"/>
        <v>0</v>
      </c>
      <c r="P220" s="7"/>
    </row>
    <row r="221" spans="1:16" s="52" customFormat="1">
      <c r="A221" s="81" t="s">
        <v>457</v>
      </c>
      <c r="B221" s="55"/>
      <c r="C221" s="7"/>
      <c r="D221" s="52" t="s">
        <v>458</v>
      </c>
      <c r="E221" s="53">
        <v>0</v>
      </c>
      <c r="F221" s="53">
        <v>0</v>
      </c>
      <c r="G221" s="53">
        <v>0</v>
      </c>
      <c r="H221" s="53">
        <v>2</v>
      </c>
      <c r="I221" s="53">
        <v>11</v>
      </c>
      <c r="J221" s="53">
        <v>1</v>
      </c>
      <c r="K221" s="53">
        <v>130</v>
      </c>
      <c r="L221" s="53">
        <v>0</v>
      </c>
      <c r="M221" s="53">
        <v>4</v>
      </c>
      <c r="N221" s="53">
        <v>0</v>
      </c>
      <c r="O221" s="54">
        <f t="shared" si="4"/>
        <v>0</v>
      </c>
      <c r="P221" s="7"/>
    </row>
    <row r="222" spans="1:16" s="52" customFormat="1">
      <c r="A222" s="81" t="s">
        <v>459</v>
      </c>
      <c r="B222" s="55"/>
      <c r="C222" s="7"/>
      <c r="D222" s="52" t="s">
        <v>460</v>
      </c>
      <c r="E222" s="53">
        <v>0</v>
      </c>
      <c r="F222" s="53">
        <v>0</v>
      </c>
      <c r="G222" s="53">
        <v>2</v>
      </c>
      <c r="H222" s="53">
        <v>8</v>
      </c>
      <c r="I222" s="53">
        <v>33</v>
      </c>
      <c r="J222" s="53">
        <v>1</v>
      </c>
      <c r="K222" s="53">
        <v>1502</v>
      </c>
      <c r="L222" s="53">
        <v>0</v>
      </c>
      <c r="M222" s="53">
        <v>4</v>
      </c>
      <c r="N222" s="53">
        <v>0</v>
      </c>
      <c r="O222" s="54">
        <f t="shared" si="4"/>
        <v>0</v>
      </c>
      <c r="P222" s="7"/>
    </row>
    <row r="223" spans="1:16" s="52" customFormat="1">
      <c r="A223" s="81" t="s">
        <v>461</v>
      </c>
      <c r="B223" s="55"/>
      <c r="C223" s="7"/>
      <c r="D223" s="52" t="s">
        <v>462</v>
      </c>
      <c r="E223" s="53">
        <v>0</v>
      </c>
      <c r="F223" s="53">
        <v>0</v>
      </c>
      <c r="G223" s="53">
        <v>2</v>
      </c>
      <c r="H223" s="53">
        <v>5</v>
      </c>
      <c r="I223" s="53">
        <v>25</v>
      </c>
      <c r="J223" s="53">
        <v>1</v>
      </c>
      <c r="K223" s="53">
        <v>579</v>
      </c>
      <c r="L223" s="53">
        <v>0</v>
      </c>
      <c r="M223" s="53">
        <v>4</v>
      </c>
      <c r="N223" s="53">
        <v>0</v>
      </c>
      <c r="O223" s="54">
        <f t="shared" si="4"/>
        <v>0</v>
      </c>
      <c r="P223" s="7"/>
    </row>
    <row r="224" spans="1:16" s="52" customFormat="1">
      <c r="A224" s="81" t="s">
        <v>463</v>
      </c>
      <c r="B224" s="55"/>
      <c r="C224" s="7"/>
      <c r="D224" s="52" t="s">
        <v>463</v>
      </c>
      <c r="E224" s="53">
        <v>0</v>
      </c>
      <c r="F224" s="53">
        <v>0</v>
      </c>
      <c r="G224" s="53">
        <v>0</v>
      </c>
      <c r="H224" s="53">
        <v>3</v>
      </c>
      <c r="I224" s="53">
        <v>7</v>
      </c>
      <c r="J224" s="53">
        <v>0</v>
      </c>
      <c r="K224" s="53">
        <v>66</v>
      </c>
      <c r="L224" s="53">
        <v>0</v>
      </c>
      <c r="M224" s="53">
        <v>4</v>
      </c>
      <c r="N224" s="53">
        <v>0</v>
      </c>
      <c r="O224" s="54">
        <f t="shared" si="4"/>
        <v>0</v>
      </c>
      <c r="P224" s="7"/>
    </row>
    <row r="225" spans="1:17">
      <c r="A225" s="109" t="s">
        <v>464</v>
      </c>
      <c r="B225" s="7" t="s">
        <v>7</v>
      </c>
      <c r="D225" s="5" t="s">
        <v>465</v>
      </c>
      <c r="E225" s="6">
        <v>0</v>
      </c>
      <c r="F225" s="6">
        <v>1</v>
      </c>
      <c r="G225" s="6">
        <v>0</v>
      </c>
      <c r="H225" s="12">
        <v>3</v>
      </c>
      <c r="I225" s="6">
        <v>7</v>
      </c>
      <c r="J225" s="6">
        <v>0</v>
      </c>
      <c r="K225" s="6">
        <v>141</v>
      </c>
      <c r="L225" s="6">
        <v>0</v>
      </c>
      <c r="M225" s="12">
        <v>4</v>
      </c>
      <c r="N225" s="6">
        <v>0</v>
      </c>
      <c r="O225" s="35">
        <f t="shared" si="4"/>
        <v>0</v>
      </c>
      <c r="Q225" s="5" t="s">
        <v>156</v>
      </c>
    </row>
    <row r="226" spans="1:17" s="24" customFormat="1">
      <c r="A226" s="78" t="s">
        <v>466</v>
      </c>
      <c r="B226" s="26"/>
      <c r="C226" s="7"/>
      <c r="D226" s="24" t="s">
        <v>467</v>
      </c>
      <c r="E226" s="25">
        <v>0</v>
      </c>
      <c r="F226" s="25">
        <v>0</v>
      </c>
      <c r="G226" s="25">
        <v>0</v>
      </c>
      <c r="H226" s="25">
        <v>1</v>
      </c>
      <c r="I226" s="25">
        <v>9</v>
      </c>
      <c r="J226" s="25">
        <v>0</v>
      </c>
      <c r="K226" s="25">
        <v>4</v>
      </c>
      <c r="L226" s="25">
        <v>0</v>
      </c>
      <c r="M226" s="25">
        <v>5</v>
      </c>
      <c r="N226" s="25">
        <v>0</v>
      </c>
      <c r="O226" s="42">
        <f t="shared" si="4"/>
        <v>0</v>
      </c>
      <c r="P226" s="7"/>
    </row>
    <row r="227" spans="1:17" s="52" customFormat="1">
      <c r="A227" s="81" t="s">
        <v>468</v>
      </c>
      <c r="B227" s="55"/>
      <c r="C227" s="7"/>
      <c r="D227" s="52" t="s">
        <v>469</v>
      </c>
      <c r="E227" s="53">
        <v>1</v>
      </c>
      <c r="F227" s="53">
        <v>3</v>
      </c>
      <c r="G227" s="53">
        <v>0</v>
      </c>
      <c r="H227" s="53">
        <v>1</v>
      </c>
      <c r="I227" s="53">
        <v>15</v>
      </c>
      <c r="J227" s="53">
        <v>1</v>
      </c>
      <c r="K227" s="53">
        <v>146</v>
      </c>
      <c r="L227" s="53">
        <v>0</v>
      </c>
      <c r="M227" s="53">
        <v>4</v>
      </c>
      <c r="N227" s="53">
        <v>0</v>
      </c>
      <c r="O227" s="54">
        <f t="shared" si="4"/>
        <v>0</v>
      </c>
      <c r="P227" s="7"/>
    </row>
    <row r="228" spans="1:17" s="52" customFormat="1">
      <c r="A228" s="81" t="s">
        <v>470</v>
      </c>
      <c r="B228" s="55"/>
      <c r="C228" s="7"/>
      <c r="D228" s="52" t="s">
        <v>471</v>
      </c>
      <c r="E228" s="53">
        <v>2</v>
      </c>
      <c r="F228" s="53">
        <v>2</v>
      </c>
      <c r="G228" s="53">
        <v>0</v>
      </c>
      <c r="H228" s="53">
        <v>1</v>
      </c>
      <c r="I228" s="53">
        <v>5</v>
      </c>
      <c r="J228" s="53">
        <v>0</v>
      </c>
      <c r="K228" s="53">
        <v>0</v>
      </c>
      <c r="L228" s="53">
        <v>0</v>
      </c>
      <c r="M228" s="53">
        <v>4</v>
      </c>
      <c r="N228" s="53">
        <v>0</v>
      </c>
      <c r="O228" s="54">
        <f t="shared" si="4"/>
        <v>0</v>
      </c>
      <c r="P228" s="7"/>
    </row>
    <row r="229" spans="1:17" s="52" customFormat="1">
      <c r="A229" s="81" t="s">
        <v>472</v>
      </c>
      <c r="B229" s="55"/>
      <c r="C229" s="7"/>
      <c r="D229" s="52" t="s">
        <v>473</v>
      </c>
      <c r="E229" s="53">
        <v>0</v>
      </c>
      <c r="F229" s="53">
        <v>3</v>
      </c>
      <c r="G229" s="53">
        <v>2</v>
      </c>
      <c r="H229" s="53">
        <v>2</v>
      </c>
      <c r="I229" s="53">
        <v>15</v>
      </c>
      <c r="J229" s="53">
        <v>0</v>
      </c>
      <c r="K229" s="53">
        <v>55</v>
      </c>
      <c r="L229" s="53">
        <v>0</v>
      </c>
      <c r="M229" s="53">
        <v>4</v>
      </c>
      <c r="N229" s="53">
        <v>0</v>
      </c>
      <c r="O229" s="54">
        <f t="shared" si="4"/>
        <v>0</v>
      </c>
      <c r="P229" s="7"/>
    </row>
    <row r="230" spans="1:17" s="43" customFormat="1">
      <c r="A230" s="82" t="s">
        <v>474</v>
      </c>
      <c r="B230" s="46"/>
      <c r="C230" s="7"/>
      <c r="D230" s="43" t="s">
        <v>475</v>
      </c>
      <c r="E230" s="44">
        <v>0</v>
      </c>
      <c r="F230" s="44">
        <v>0</v>
      </c>
      <c r="G230" s="44">
        <v>0</v>
      </c>
      <c r="H230" s="44">
        <v>3</v>
      </c>
      <c r="I230" s="44">
        <v>21</v>
      </c>
      <c r="J230" s="44">
        <v>0</v>
      </c>
      <c r="K230" s="44">
        <v>60</v>
      </c>
      <c r="L230" s="44">
        <v>0</v>
      </c>
      <c r="M230" s="44">
        <v>4</v>
      </c>
      <c r="N230" s="44">
        <v>0</v>
      </c>
      <c r="O230" s="45">
        <f t="shared" si="4"/>
        <v>0</v>
      </c>
      <c r="P230" s="7"/>
    </row>
    <row r="231" spans="1:17" s="56" customFormat="1">
      <c r="A231" s="83" t="s">
        <v>476</v>
      </c>
      <c r="B231" s="59"/>
      <c r="C231" s="7"/>
      <c r="D231" s="56" t="s">
        <v>477</v>
      </c>
      <c r="E231" s="57">
        <v>0</v>
      </c>
      <c r="F231" s="57">
        <v>0</v>
      </c>
      <c r="G231" s="57">
        <v>0</v>
      </c>
      <c r="H231" s="57">
        <v>2</v>
      </c>
      <c r="I231" s="57">
        <v>19</v>
      </c>
      <c r="J231" s="57">
        <v>1</v>
      </c>
      <c r="K231" s="57">
        <v>289</v>
      </c>
      <c r="L231" s="57">
        <v>0</v>
      </c>
      <c r="M231" s="57">
        <v>4</v>
      </c>
      <c r="N231" s="57">
        <v>0</v>
      </c>
      <c r="O231" s="58">
        <f t="shared" si="4"/>
        <v>0</v>
      </c>
      <c r="P231" s="7"/>
    </row>
    <row r="232" spans="1:17" s="56" customFormat="1">
      <c r="A232" s="83" t="s">
        <v>478</v>
      </c>
      <c r="B232" s="59"/>
      <c r="C232" s="7"/>
      <c r="D232" s="56" t="s">
        <v>479</v>
      </c>
      <c r="E232" s="57">
        <v>0</v>
      </c>
      <c r="F232" s="57">
        <v>0</v>
      </c>
      <c r="G232" s="57">
        <v>0</v>
      </c>
      <c r="H232" s="57">
        <v>1</v>
      </c>
      <c r="I232" s="57">
        <v>12</v>
      </c>
      <c r="J232" s="57">
        <v>1</v>
      </c>
      <c r="K232" s="57">
        <v>117</v>
      </c>
      <c r="L232" s="57">
        <v>0</v>
      </c>
      <c r="M232" s="57">
        <v>4</v>
      </c>
      <c r="N232" s="57">
        <v>0</v>
      </c>
      <c r="O232" s="58">
        <f t="shared" si="4"/>
        <v>0</v>
      </c>
      <c r="P232" s="7"/>
    </row>
    <row r="233" spans="1:17" s="56" customFormat="1">
      <c r="A233" s="83" t="s">
        <v>480</v>
      </c>
      <c r="B233" s="59"/>
      <c r="C233" s="7"/>
      <c r="D233" s="56" t="s">
        <v>481</v>
      </c>
      <c r="E233" s="57">
        <v>0</v>
      </c>
      <c r="F233" s="57">
        <v>0</v>
      </c>
      <c r="G233" s="57">
        <v>0</v>
      </c>
      <c r="H233" s="57">
        <v>1</v>
      </c>
      <c r="I233" s="57">
        <v>14</v>
      </c>
      <c r="J233" s="57">
        <v>1</v>
      </c>
      <c r="K233" s="57">
        <v>449</v>
      </c>
      <c r="L233" s="57">
        <v>0</v>
      </c>
      <c r="M233" s="57">
        <v>4</v>
      </c>
      <c r="N233" s="57">
        <v>0</v>
      </c>
      <c r="O233" s="58">
        <f t="shared" si="4"/>
        <v>0</v>
      </c>
      <c r="P233" s="7"/>
    </row>
    <row r="234" spans="1:17" s="56" customFormat="1">
      <c r="A234" s="83" t="s">
        <v>482</v>
      </c>
      <c r="B234" s="59"/>
      <c r="C234" s="7"/>
      <c r="D234" s="56" t="s">
        <v>483</v>
      </c>
      <c r="E234" s="57">
        <v>0</v>
      </c>
      <c r="F234" s="57">
        <v>0</v>
      </c>
      <c r="G234" s="57">
        <v>0</v>
      </c>
      <c r="H234" s="57">
        <v>3</v>
      </c>
      <c r="I234" s="57">
        <v>26</v>
      </c>
      <c r="J234" s="57">
        <v>1</v>
      </c>
      <c r="K234" s="57">
        <v>826</v>
      </c>
      <c r="L234" s="57">
        <v>0</v>
      </c>
      <c r="M234" s="57">
        <v>4</v>
      </c>
      <c r="N234" s="57">
        <v>0</v>
      </c>
      <c r="O234" s="58">
        <f t="shared" si="4"/>
        <v>0</v>
      </c>
      <c r="P234" s="7"/>
    </row>
    <row r="235" spans="1:17" s="56" customFormat="1">
      <c r="A235" s="83" t="s">
        <v>484</v>
      </c>
      <c r="B235" s="59"/>
      <c r="C235" s="7"/>
      <c r="D235" s="56" t="s">
        <v>485</v>
      </c>
      <c r="E235" s="57">
        <v>0</v>
      </c>
      <c r="F235" s="57">
        <v>0</v>
      </c>
      <c r="G235" s="57">
        <v>0</v>
      </c>
      <c r="H235" s="57">
        <v>1</v>
      </c>
      <c r="I235" s="57">
        <v>14</v>
      </c>
      <c r="J235" s="57">
        <v>1</v>
      </c>
      <c r="K235" s="57">
        <v>191</v>
      </c>
      <c r="L235" s="57">
        <v>0</v>
      </c>
      <c r="M235" s="57">
        <v>4</v>
      </c>
      <c r="N235" s="57">
        <v>0</v>
      </c>
      <c r="O235" s="58">
        <f t="shared" si="4"/>
        <v>0</v>
      </c>
      <c r="P235" s="7"/>
    </row>
    <row r="236" spans="1:17" s="56" customFormat="1">
      <c r="A236" s="83" t="s">
        <v>486</v>
      </c>
      <c r="B236" s="59"/>
      <c r="C236" s="7"/>
      <c r="D236" s="56" t="s">
        <v>487</v>
      </c>
      <c r="E236" s="57">
        <v>0</v>
      </c>
      <c r="F236" s="57">
        <v>0</v>
      </c>
      <c r="G236" s="57">
        <v>5</v>
      </c>
      <c r="H236" s="57">
        <v>7</v>
      </c>
      <c r="I236" s="57">
        <v>54</v>
      </c>
      <c r="J236" s="57">
        <v>1</v>
      </c>
      <c r="K236" s="57">
        <v>1226</v>
      </c>
      <c r="L236" s="57">
        <v>0</v>
      </c>
      <c r="M236" s="57">
        <v>4</v>
      </c>
      <c r="N236" s="57">
        <v>0</v>
      </c>
      <c r="O236" s="58">
        <f t="shared" si="4"/>
        <v>0</v>
      </c>
      <c r="P236" s="7"/>
    </row>
    <row r="237" spans="1:17" s="24" customFormat="1">
      <c r="A237" s="78" t="s">
        <v>488</v>
      </c>
      <c r="B237" s="26"/>
      <c r="C237" s="7"/>
      <c r="D237" s="24" t="s">
        <v>489</v>
      </c>
      <c r="E237" s="25">
        <v>0</v>
      </c>
      <c r="F237" s="25">
        <v>1</v>
      </c>
      <c r="G237" s="25">
        <v>0</v>
      </c>
      <c r="H237" s="25">
        <v>1</v>
      </c>
      <c r="I237" s="25">
        <v>6</v>
      </c>
      <c r="J237" s="25">
        <v>1</v>
      </c>
      <c r="K237" s="25">
        <v>4</v>
      </c>
      <c r="L237" s="25">
        <v>0</v>
      </c>
      <c r="M237" s="25">
        <v>4</v>
      </c>
      <c r="N237" s="25">
        <v>0</v>
      </c>
      <c r="O237" s="42">
        <f t="shared" si="4"/>
        <v>0</v>
      </c>
      <c r="P237" s="7"/>
    </row>
    <row r="238" spans="1:17" s="24" customFormat="1">
      <c r="A238" s="78" t="s">
        <v>77</v>
      </c>
      <c r="B238" s="26"/>
      <c r="C238" s="7"/>
      <c r="D238" s="24" t="s">
        <v>490</v>
      </c>
      <c r="E238" s="25">
        <v>0</v>
      </c>
      <c r="F238" s="25">
        <v>6</v>
      </c>
      <c r="G238" s="25">
        <v>10</v>
      </c>
      <c r="H238" s="25">
        <v>17</v>
      </c>
      <c r="I238" s="25">
        <v>144</v>
      </c>
      <c r="J238" s="25">
        <v>1</v>
      </c>
      <c r="K238" s="25">
        <v>5777</v>
      </c>
      <c r="L238" s="25">
        <v>0</v>
      </c>
      <c r="M238" s="25">
        <v>7</v>
      </c>
      <c r="N238" s="25">
        <v>0</v>
      </c>
      <c r="O238" s="42">
        <f t="shared" si="4"/>
        <v>0</v>
      </c>
      <c r="P238" s="7"/>
    </row>
    <row r="239" spans="1:17" s="24" customFormat="1">
      <c r="A239" s="78" t="s">
        <v>491</v>
      </c>
      <c r="B239" s="26"/>
      <c r="C239" s="7"/>
      <c r="D239" s="24" t="s">
        <v>492</v>
      </c>
      <c r="E239" s="25">
        <v>0</v>
      </c>
      <c r="F239" s="25">
        <v>0</v>
      </c>
      <c r="G239" s="25">
        <v>0</v>
      </c>
      <c r="H239" s="25">
        <v>1</v>
      </c>
      <c r="I239" s="25">
        <v>14</v>
      </c>
      <c r="J239" s="25">
        <v>1</v>
      </c>
      <c r="K239" s="25">
        <v>256</v>
      </c>
      <c r="L239" s="25">
        <v>0</v>
      </c>
      <c r="M239" s="25">
        <v>4</v>
      </c>
      <c r="N239" s="25">
        <v>0</v>
      </c>
      <c r="O239" s="42">
        <f t="shared" si="4"/>
        <v>0</v>
      </c>
      <c r="P239" s="7"/>
    </row>
    <row r="240" spans="1:17" s="24" customFormat="1">
      <c r="A240" s="78" t="s">
        <v>493</v>
      </c>
      <c r="B240" s="26"/>
      <c r="C240" s="7"/>
      <c r="D240" s="24" t="s">
        <v>493</v>
      </c>
      <c r="E240" s="25">
        <v>0</v>
      </c>
      <c r="F240" s="25">
        <v>1</v>
      </c>
      <c r="G240" s="25">
        <v>0</v>
      </c>
      <c r="H240" s="25">
        <v>2</v>
      </c>
      <c r="I240" s="25">
        <v>5</v>
      </c>
      <c r="J240" s="25">
        <v>0</v>
      </c>
      <c r="K240" s="25">
        <v>0</v>
      </c>
      <c r="L240" s="25">
        <v>0</v>
      </c>
      <c r="M240" s="25">
        <v>4</v>
      </c>
      <c r="N240" s="25">
        <v>0</v>
      </c>
      <c r="O240" s="42">
        <f t="shared" si="4"/>
        <v>0</v>
      </c>
      <c r="P240" s="7"/>
    </row>
    <row r="241" spans="1:16" s="24" customFormat="1">
      <c r="A241" s="78" t="s">
        <v>98</v>
      </c>
      <c r="B241" s="26"/>
      <c r="C241" s="7"/>
      <c r="D241" s="24" t="s">
        <v>494</v>
      </c>
      <c r="E241" s="25">
        <v>0</v>
      </c>
      <c r="F241" s="25">
        <v>1</v>
      </c>
      <c r="G241" s="25">
        <v>0</v>
      </c>
      <c r="H241" s="25">
        <v>1</v>
      </c>
      <c r="I241" s="25">
        <v>5</v>
      </c>
      <c r="J241" s="25">
        <v>0</v>
      </c>
      <c r="K241" s="25">
        <v>0</v>
      </c>
      <c r="L241" s="25">
        <v>0</v>
      </c>
      <c r="M241" s="25">
        <v>5</v>
      </c>
      <c r="N241" s="25">
        <v>0</v>
      </c>
      <c r="O241" s="42">
        <f t="shared" si="4"/>
        <v>0</v>
      </c>
      <c r="P241" s="7"/>
    </row>
    <row r="242" spans="1:16" s="24" customFormat="1">
      <c r="A242" s="78" t="s">
        <v>495</v>
      </c>
      <c r="B242" s="26"/>
      <c r="C242" s="7"/>
      <c r="D242" s="24" t="s">
        <v>496</v>
      </c>
      <c r="E242" s="25">
        <v>0</v>
      </c>
      <c r="F242" s="25">
        <v>2</v>
      </c>
      <c r="G242" s="25">
        <v>7</v>
      </c>
      <c r="H242" s="25">
        <v>9</v>
      </c>
      <c r="I242" s="25">
        <v>31</v>
      </c>
      <c r="J242" s="25">
        <v>1</v>
      </c>
      <c r="K242" s="25">
        <v>340</v>
      </c>
      <c r="L242" s="25">
        <v>0</v>
      </c>
      <c r="M242" s="25">
        <v>4</v>
      </c>
      <c r="N242" s="25">
        <v>0</v>
      </c>
      <c r="O242" s="42">
        <f t="shared" si="4"/>
        <v>0</v>
      </c>
      <c r="P242" s="7"/>
    </row>
    <row r="243" spans="1:16">
      <c r="A243" s="75" t="s">
        <v>497</v>
      </c>
      <c r="B243" s="5" t="s">
        <v>9</v>
      </c>
      <c r="C243" s="5"/>
      <c r="D243" s="5" t="s">
        <v>498</v>
      </c>
      <c r="E243" s="6">
        <v>0</v>
      </c>
      <c r="F243" s="6">
        <v>3</v>
      </c>
      <c r="G243" s="6">
        <v>6</v>
      </c>
      <c r="H243" s="12">
        <v>9</v>
      </c>
      <c r="I243" s="6">
        <v>58</v>
      </c>
      <c r="J243" s="6">
        <v>1</v>
      </c>
      <c r="K243" s="6">
        <v>4158</v>
      </c>
      <c r="L243" s="6">
        <v>0</v>
      </c>
      <c r="M243" s="12">
        <v>6</v>
      </c>
      <c r="N243" s="6">
        <v>0</v>
      </c>
      <c r="O243" s="35">
        <f t="shared" si="4"/>
        <v>0</v>
      </c>
      <c r="P243" s="5"/>
    </row>
    <row r="244" spans="1:16" s="70" customFormat="1">
      <c r="A244" s="84" t="s">
        <v>499</v>
      </c>
      <c r="B244" s="73"/>
      <c r="C244" s="7"/>
      <c r="D244" s="70" t="s">
        <v>500</v>
      </c>
      <c r="E244" s="71">
        <v>3</v>
      </c>
      <c r="F244" s="71">
        <v>0</v>
      </c>
      <c r="G244" s="71">
        <v>0</v>
      </c>
      <c r="H244" s="71">
        <v>2</v>
      </c>
      <c r="I244" s="71">
        <v>22</v>
      </c>
      <c r="J244" s="71">
        <v>1</v>
      </c>
      <c r="K244" s="71">
        <v>96</v>
      </c>
      <c r="L244" s="71">
        <v>0</v>
      </c>
      <c r="M244" s="71">
        <v>4</v>
      </c>
      <c r="N244" s="71">
        <v>0</v>
      </c>
      <c r="O244" s="72">
        <f t="shared" si="4"/>
        <v>0</v>
      </c>
      <c r="P244" s="7"/>
    </row>
    <row r="245" spans="1:16">
      <c r="A245" s="75" t="s">
        <v>501</v>
      </c>
      <c r="B245" s="5" t="s">
        <v>8</v>
      </c>
      <c r="C245" s="5"/>
      <c r="D245" s="5" t="s">
        <v>502</v>
      </c>
      <c r="E245" s="6">
        <v>0</v>
      </c>
      <c r="F245" s="6">
        <v>1</v>
      </c>
      <c r="G245" s="6">
        <v>0</v>
      </c>
      <c r="H245" s="12">
        <v>3</v>
      </c>
      <c r="I245" s="6">
        <v>27</v>
      </c>
      <c r="J245" s="6">
        <v>1</v>
      </c>
      <c r="K245" s="6">
        <v>187</v>
      </c>
      <c r="L245" s="6">
        <v>1</v>
      </c>
      <c r="M245" s="12">
        <v>4</v>
      </c>
      <c r="N245" s="6">
        <v>0</v>
      </c>
      <c r="O245" s="35">
        <f t="shared" si="4"/>
        <v>0</v>
      </c>
      <c r="P245" s="5"/>
    </row>
    <row r="246" spans="1:16" s="30" customFormat="1">
      <c r="A246" s="80" t="s">
        <v>503</v>
      </c>
      <c r="B246" s="32"/>
      <c r="C246" s="7"/>
      <c r="D246" s="30" t="s">
        <v>504</v>
      </c>
      <c r="E246" s="31">
        <v>1</v>
      </c>
      <c r="F246" s="31">
        <v>0</v>
      </c>
      <c r="G246" s="31">
        <v>0</v>
      </c>
      <c r="H246" s="31">
        <v>1</v>
      </c>
      <c r="I246" s="31">
        <v>7</v>
      </c>
      <c r="J246" s="31">
        <v>0</v>
      </c>
      <c r="K246" s="31">
        <v>87</v>
      </c>
      <c r="L246" s="31">
        <v>0</v>
      </c>
      <c r="M246" s="31">
        <v>3</v>
      </c>
      <c r="N246" s="31">
        <v>0</v>
      </c>
      <c r="O246" s="37">
        <f t="shared" si="4"/>
        <v>0</v>
      </c>
      <c r="P246" s="7"/>
    </row>
    <row r="247" spans="1:16" s="70" customFormat="1">
      <c r="A247" s="84" t="s">
        <v>505</v>
      </c>
      <c r="B247" s="73"/>
      <c r="C247" s="7"/>
      <c r="D247" s="70" t="s">
        <v>506</v>
      </c>
      <c r="E247" s="71">
        <v>0</v>
      </c>
      <c r="F247" s="71">
        <v>1</v>
      </c>
      <c r="G247" s="71">
        <v>0</v>
      </c>
      <c r="H247" s="71">
        <v>6</v>
      </c>
      <c r="I247" s="71">
        <v>45</v>
      </c>
      <c r="J247" s="71">
        <v>0</v>
      </c>
      <c r="K247" s="71">
        <v>324</v>
      </c>
      <c r="L247" s="71">
        <v>0</v>
      </c>
      <c r="M247" s="71">
        <v>4</v>
      </c>
      <c r="N247" s="71">
        <v>0</v>
      </c>
      <c r="O247" s="72">
        <f t="shared" si="4"/>
        <v>0</v>
      </c>
      <c r="P247" s="7"/>
    </row>
    <row r="248" spans="1:16" s="70" customFormat="1">
      <c r="A248" s="84" t="s">
        <v>507</v>
      </c>
      <c r="B248" s="73"/>
      <c r="C248" s="7"/>
      <c r="D248" s="70" t="s">
        <v>507</v>
      </c>
      <c r="E248" s="71">
        <v>1</v>
      </c>
      <c r="F248" s="71">
        <v>0</v>
      </c>
      <c r="G248" s="71">
        <v>0</v>
      </c>
      <c r="H248" s="71">
        <v>1</v>
      </c>
      <c r="I248" s="71">
        <v>3</v>
      </c>
      <c r="J248" s="71">
        <v>0</v>
      </c>
      <c r="K248" s="71">
        <v>18</v>
      </c>
      <c r="L248" s="71">
        <v>0</v>
      </c>
      <c r="M248" s="71">
        <v>3</v>
      </c>
      <c r="N248" s="71">
        <v>0</v>
      </c>
      <c r="O248" s="72">
        <f t="shared" si="4"/>
        <v>0</v>
      </c>
      <c r="P248" s="7"/>
    </row>
    <row r="249" spans="1:16" s="70" customFormat="1">
      <c r="A249" s="84" t="s">
        <v>508</v>
      </c>
      <c r="B249" s="73"/>
      <c r="C249" s="7"/>
      <c r="D249" s="70" t="s">
        <v>508</v>
      </c>
      <c r="E249" s="71">
        <v>0</v>
      </c>
      <c r="F249" s="71">
        <v>0</v>
      </c>
      <c r="G249" s="71">
        <v>0</v>
      </c>
      <c r="H249" s="71">
        <v>1</v>
      </c>
      <c r="I249" s="71">
        <v>2</v>
      </c>
      <c r="J249" s="71">
        <v>0</v>
      </c>
      <c r="K249" s="71">
        <v>27</v>
      </c>
      <c r="L249" s="71">
        <v>0</v>
      </c>
      <c r="M249" s="71">
        <v>3</v>
      </c>
      <c r="N249" s="71">
        <v>0</v>
      </c>
      <c r="O249" s="72">
        <f t="shared" si="4"/>
        <v>0</v>
      </c>
      <c r="P249" s="7"/>
    </row>
    <row r="250" spans="1:16" s="30" customFormat="1">
      <c r="A250" s="80" t="s">
        <v>509</v>
      </c>
      <c r="B250" s="32"/>
      <c r="C250" s="7"/>
      <c r="D250" s="30" t="s">
        <v>510</v>
      </c>
      <c r="E250" s="31">
        <v>0</v>
      </c>
      <c r="F250" s="31">
        <v>11</v>
      </c>
      <c r="G250" s="31">
        <v>6</v>
      </c>
      <c r="H250" s="31">
        <v>10</v>
      </c>
      <c r="I250" s="31">
        <v>95</v>
      </c>
      <c r="J250" s="31">
        <v>1</v>
      </c>
      <c r="K250" s="31">
        <v>2257</v>
      </c>
      <c r="L250" s="31">
        <v>0</v>
      </c>
      <c r="M250" s="31">
        <v>5</v>
      </c>
      <c r="N250" s="31">
        <v>0</v>
      </c>
      <c r="O250" s="37">
        <f t="shared" si="4"/>
        <v>0</v>
      </c>
      <c r="P250" s="7"/>
    </row>
    <row r="251" spans="1:16" s="30" customFormat="1">
      <c r="A251" s="80" t="s">
        <v>511</v>
      </c>
      <c r="B251" s="32"/>
      <c r="C251" s="7"/>
      <c r="D251" s="30" t="s">
        <v>512</v>
      </c>
      <c r="E251" s="31">
        <v>1</v>
      </c>
      <c r="F251" s="31">
        <v>0</v>
      </c>
      <c r="G251" s="31">
        <v>0</v>
      </c>
      <c r="H251" s="31">
        <v>2</v>
      </c>
      <c r="I251" s="31">
        <v>20</v>
      </c>
      <c r="J251" s="31">
        <v>0</v>
      </c>
      <c r="K251" s="31">
        <v>99</v>
      </c>
      <c r="L251" s="31">
        <v>0</v>
      </c>
      <c r="M251" s="31">
        <v>4</v>
      </c>
      <c r="N251" s="31">
        <v>0</v>
      </c>
      <c r="O251" s="37">
        <f t="shared" si="4"/>
        <v>0</v>
      </c>
      <c r="P251" s="7"/>
    </row>
    <row r="252" spans="1:16" s="30" customFormat="1">
      <c r="A252" s="80" t="s">
        <v>513</v>
      </c>
      <c r="B252" s="32"/>
      <c r="C252" s="7"/>
      <c r="D252" s="30" t="s">
        <v>514</v>
      </c>
      <c r="E252" s="31">
        <v>1</v>
      </c>
      <c r="F252" s="31">
        <v>0</v>
      </c>
      <c r="G252" s="31">
        <v>0</v>
      </c>
      <c r="H252" s="31">
        <v>2</v>
      </c>
      <c r="I252" s="31">
        <v>12</v>
      </c>
      <c r="J252" s="31">
        <v>0</v>
      </c>
      <c r="K252" s="31">
        <v>475</v>
      </c>
      <c r="L252" s="31">
        <v>0</v>
      </c>
      <c r="M252" s="31">
        <v>4</v>
      </c>
      <c r="N252" s="31">
        <v>0</v>
      </c>
      <c r="O252" s="37">
        <f t="shared" si="4"/>
        <v>0</v>
      </c>
      <c r="P252" s="7"/>
    </row>
    <row r="253" spans="1:16" s="70" customFormat="1">
      <c r="A253" s="84" t="s">
        <v>515</v>
      </c>
      <c r="B253" s="73"/>
      <c r="C253" s="7"/>
      <c r="D253" s="70" t="s">
        <v>516</v>
      </c>
      <c r="E253" s="71">
        <v>0</v>
      </c>
      <c r="F253" s="71">
        <v>2</v>
      </c>
      <c r="G253" s="71">
        <v>2</v>
      </c>
      <c r="H253" s="71">
        <v>3</v>
      </c>
      <c r="I253" s="71">
        <v>12</v>
      </c>
      <c r="J253" s="71">
        <v>1</v>
      </c>
      <c r="K253" s="71">
        <v>311</v>
      </c>
      <c r="L253" s="71">
        <v>0</v>
      </c>
      <c r="M253" s="71">
        <v>4</v>
      </c>
      <c r="N253" s="71">
        <v>0</v>
      </c>
      <c r="O253" s="72">
        <f t="shared" si="4"/>
        <v>0</v>
      </c>
      <c r="P253" s="7"/>
    </row>
    <row r="254" spans="1:16" s="30" customFormat="1">
      <c r="A254" s="80" t="s">
        <v>517</v>
      </c>
      <c r="B254" s="32"/>
      <c r="C254" s="7"/>
      <c r="D254" s="30" t="s">
        <v>518</v>
      </c>
      <c r="E254" s="31">
        <v>0</v>
      </c>
      <c r="F254" s="31">
        <v>1</v>
      </c>
      <c r="G254" s="31">
        <v>4</v>
      </c>
      <c r="H254" s="31">
        <v>8</v>
      </c>
      <c r="I254" s="31">
        <v>59</v>
      </c>
      <c r="J254" s="31">
        <v>1</v>
      </c>
      <c r="K254" s="31">
        <v>2137</v>
      </c>
      <c r="L254" s="31">
        <v>0</v>
      </c>
      <c r="M254" s="31">
        <v>5</v>
      </c>
      <c r="N254" s="31">
        <v>0</v>
      </c>
      <c r="O254" s="37">
        <f t="shared" si="4"/>
        <v>0</v>
      </c>
      <c r="P254" s="7"/>
    </row>
    <row r="255" spans="1:16" s="60" customFormat="1">
      <c r="A255" s="85" t="s">
        <v>519</v>
      </c>
      <c r="B255" s="63"/>
      <c r="C255" s="7"/>
      <c r="D255" s="60" t="s">
        <v>520</v>
      </c>
      <c r="E255" s="61">
        <v>0</v>
      </c>
      <c r="F255" s="61">
        <v>0</v>
      </c>
      <c r="G255" s="61">
        <v>0</v>
      </c>
      <c r="H255" s="61">
        <v>2</v>
      </c>
      <c r="I255" s="61">
        <v>19</v>
      </c>
      <c r="J255" s="61">
        <v>1</v>
      </c>
      <c r="K255" s="61">
        <v>97</v>
      </c>
      <c r="L255" s="61">
        <v>0</v>
      </c>
      <c r="M255" s="61">
        <v>4</v>
      </c>
      <c r="N255" s="61">
        <v>0</v>
      </c>
      <c r="O255" s="62">
        <f t="shared" si="4"/>
        <v>0</v>
      </c>
      <c r="P255" s="7"/>
    </row>
    <row r="256" spans="1:16" s="60" customFormat="1">
      <c r="A256" s="85" t="s">
        <v>521</v>
      </c>
      <c r="B256" s="63"/>
      <c r="C256" s="7"/>
      <c r="D256" s="60" t="s">
        <v>521</v>
      </c>
      <c r="E256" s="61">
        <v>0</v>
      </c>
      <c r="F256" s="61">
        <v>0</v>
      </c>
      <c r="G256" s="61">
        <v>2</v>
      </c>
      <c r="H256" s="61">
        <v>3</v>
      </c>
      <c r="I256" s="61">
        <v>12</v>
      </c>
      <c r="J256" s="61">
        <v>1</v>
      </c>
      <c r="K256" s="61">
        <v>60</v>
      </c>
      <c r="L256" s="61">
        <v>0</v>
      </c>
      <c r="M256" s="61">
        <v>4</v>
      </c>
      <c r="N256" s="61">
        <v>0</v>
      </c>
      <c r="O256" s="62">
        <f t="shared" si="4"/>
        <v>0</v>
      </c>
      <c r="P256" s="7"/>
    </row>
    <row r="257" spans="1:16" s="60" customFormat="1">
      <c r="A257" s="85" t="s">
        <v>522</v>
      </c>
      <c r="B257" s="63"/>
      <c r="C257" s="7"/>
      <c r="D257" s="60" t="s">
        <v>523</v>
      </c>
      <c r="E257" s="61">
        <v>0</v>
      </c>
      <c r="F257" s="61">
        <v>2</v>
      </c>
      <c r="G257" s="61">
        <v>7</v>
      </c>
      <c r="H257" s="61">
        <v>12</v>
      </c>
      <c r="I257" s="61">
        <v>36</v>
      </c>
      <c r="J257" s="61">
        <v>1</v>
      </c>
      <c r="K257" s="61">
        <v>321</v>
      </c>
      <c r="L257" s="61">
        <v>0</v>
      </c>
      <c r="M257" s="61">
        <v>4</v>
      </c>
      <c r="N257" s="61">
        <v>0</v>
      </c>
      <c r="O257" s="62">
        <f t="shared" si="4"/>
        <v>0</v>
      </c>
      <c r="P257" s="7"/>
    </row>
    <row r="258" spans="1:16" s="48" customFormat="1">
      <c r="A258" s="86" t="s">
        <v>524</v>
      </c>
      <c r="B258" s="51" t="s">
        <v>8</v>
      </c>
      <c r="C258" s="7"/>
      <c r="D258" s="48" t="s">
        <v>525</v>
      </c>
      <c r="E258" s="49">
        <v>0</v>
      </c>
      <c r="F258" s="49">
        <v>0</v>
      </c>
      <c r="G258" s="49">
        <v>2</v>
      </c>
      <c r="H258" s="49">
        <v>4</v>
      </c>
      <c r="I258" s="49">
        <v>24</v>
      </c>
      <c r="J258" s="49">
        <v>0</v>
      </c>
      <c r="K258" s="49">
        <v>918</v>
      </c>
      <c r="L258" s="49">
        <v>0</v>
      </c>
      <c r="M258" s="49">
        <v>4</v>
      </c>
      <c r="N258" s="49">
        <v>0</v>
      </c>
      <c r="O258" s="50">
        <f t="shared" si="4"/>
        <v>0</v>
      </c>
      <c r="P258" s="7"/>
    </row>
    <row r="259" spans="1:16" s="70" customFormat="1">
      <c r="A259" s="84" t="s">
        <v>526</v>
      </c>
      <c r="B259" s="73"/>
      <c r="C259" s="7"/>
      <c r="D259" s="70" t="s">
        <v>527</v>
      </c>
      <c r="E259" s="71">
        <v>2</v>
      </c>
      <c r="F259" s="71">
        <v>13</v>
      </c>
      <c r="G259" s="71">
        <v>11</v>
      </c>
      <c r="H259" s="71">
        <v>24</v>
      </c>
      <c r="I259" s="71">
        <v>214</v>
      </c>
      <c r="J259" s="71">
        <v>1</v>
      </c>
      <c r="K259" s="71">
        <v>11731</v>
      </c>
      <c r="L259" s="71">
        <v>3</v>
      </c>
      <c r="M259" s="71">
        <v>9</v>
      </c>
      <c r="N259" s="71">
        <v>0</v>
      </c>
      <c r="O259" s="72">
        <f t="shared" si="4"/>
        <v>0</v>
      </c>
      <c r="P259" s="7"/>
    </row>
    <row r="260" spans="1:16" ht="45" customHeight="1">
      <c r="A260" s="75" t="s">
        <v>528</v>
      </c>
      <c r="B260" s="7" t="s">
        <v>9</v>
      </c>
      <c r="D260" s="5" t="s">
        <v>529</v>
      </c>
      <c r="E260" s="6">
        <v>2</v>
      </c>
      <c r="F260" s="6">
        <v>5</v>
      </c>
      <c r="G260" s="6">
        <v>11</v>
      </c>
      <c r="H260" s="12">
        <v>24</v>
      </c>
      <c r="I260" s="6">
        <v>420</v>
      </c>
      <c r="J260" s="6">
        <v>1</v>
      </c>
      <c r="K260" s="6">
        <v>22812</v>
      </c>
      <c r="L260" s="6">
        <v>3</v>
      </c>
      <c r="M260" s="12">
        <v>10</v>
      </c>
      <c r="N260" s="6">
        <v>0</v>
      </c>
      <c r="O260" s="35">
        <f t="shared" si="4"/>
        <v>0</v>
      </c>
    </row>
    <row r="261" spans="1:16" s="70" customFormat="1">
      <c r="A261" s="84" t="s">
        <v>138</v>
      </c>
      <c r="B261" s="73"/>
      <c r="C261" s="7"/>
      <c r="D261" s="70" t="s">
        <v>530</v>
      </c>
      <c r="E261" s="71">
        <v>0</v>
      </c>
      <c r="F261" s="71">
        <v>5</v>
      </c>
      <c r="G261" s="71">
        <v>8</v>
      </c>
      <c r="H261" s="71">
        <v>17</v>
      </c>
      <c r="I261" s="71">
        <v>157</v>
      </c>
      <c r="J261" s="71">
        <v>1</v>
      </c>
      <c r="K261" s="71">
        <v>5549</v>
      </c>
      <c r="L261" s="71">
        <v>1</v>
      </c>
      <c r="M261" s="71">
        <v>9</v>
      </c>
      <c r="N261" s="71">
        <v>0</v>
      </c>
      <c r="O261" s="72">
        <f t="shared" si="4"/>
        <v>0</v>
      </c>
      <c r="P261" s="7"/>
    </row>
    <row r="262" spans="1:16" s="70" customFormat="1">
      <c r="A262" s="84" t="s">
        <v>531</v>
      </c>
      <c r="B262" s="73"/>
      <c r="C262" s="7"/>
      <c r="D262" s="70" t="s">
        <v>532</v>
      </c>
      <c r="E262" s="71">
        <v>0</v>
      </c>
      <c r="F262" s="71">
        <v>1</v>
      </c>
      <c r="G262" s="71">
        <v>0</v>
      </c>
      <c r="H262" s="71">
        <v>2</v>
      </c>
      <c r="I262" s="71">
        <v>6</v>
      </c>
      <c r="J262" s="71">
        <v>0</v>
      </c>
      <c r="K262" s="71">
        <v>22</v>
      </c>
      <c r="L262" s="71">
        <v>0</v>
      </c>
      <c r="M262" s="71">
        <v>4</v>
      </c>
      <c r="N262" s="71">
        <v>0</v>
      </c>
      <c r="O262" s="72">
        <f t="shared" si="4"/>
        <v>0</v>
      </c>
      <c r="P262" s="7"/>
    </row>
    <row r="263" spans="1:16" s="66" customFormat="1">
      <c r="A263" s="87" t="s">
        <v>67</v>
      </c>
      <c r="B263" s="69"/>
      <c r="C263" s="7"/>
      <c r="D263" s="66" t="s">
        <v>533</v>
      </c>
      <c r="E263" s="67">
        <v>0</v>
      </c>
      <c r="F263" s="67">
        <v>2</v>
      </c>
      <c r="G263" s="67">
        <v>22</v>
      </c>
      <c r="H263" s="67">
        <v>52</v>
      </c>
      <c r="I263" s="67">
        <v>145</v>
      </c>
      <c r="J263" s="67">
        <v>0</v>
      </c>
      <c r="K263" s="67">
        <v>8136</v>
      </c>
      <c r="L263" s="67">
        <v>1</v>
      </c>
      <c r="M263" s="67">
        <v>7</v>
      </c>
      <c r="N263" s="67">
        <v>0</v>
      </c>
      <c r="O263" s="68">
        <f t="shared" si="4"/>
        <v>0</v>
      </c>
      <c r="P263" s="7"/>
    </row>
    <row r="264" spans="1:16" s="48" customFormat="1">
      <c r="A264" s="86" t="s">
        <v>534</v>
      </c>
      <c r="B264" s="51" t="s">
        <v>8</v>
      </c>
      <c r="C264" s="7"/>
      <c r="D264" s="48" t="s">
        <v>535</v>
      </c>
      <c r="E264" s="49">
        <v>0</v>
      </c>
      <c r="F264" s="49">
        <v>1</v>
      </c>
      <c r="G264" s="49">
        <v>0</v>
      </c>
      <c r="H264" s="49">
        <v>2</v>
      </c>
      <c r="I264" s="49">
        <v>21</v>
      </c>
      <c r="J264" s="49">
        <v>0</v>
      </c>
      <c r="K264" s="49">
        <v>145</v>
      </c>
      <c r="L264" s="49">
        <v>0</v>
      </c>
      <c r="M264" s="49">
        <v>4</v>
      </c>
      <c r="N264" s="49">
        <v>0</v>
      </c>
      <c r="O264" s="50">
        <f t="shared" si="4"/>
        <v>0</v>
      </c>
      <c r="P264" s="7"/>
    </row>
    <row r="265" spans="1:16" s="48" customFormat="1">
      <c r="A265" s="86" t="s">
        <v>536</v>
      </c>
      <c r="B265" s="51" t="s">
        <v>8</v>
      </c>
      <c r="C265" s="7"/>
      <c r="D265" s="48" t="s">
        <v>537</v>
      </c>
      <c r="E265" s="49">
        <v>0</v>
      </c>
      <c r="F265" s="49">
        <v>1</v>
      </c>
      <c r="G265" s="49">
        <v>0</v>
      </c>
      <c r="H265" s="49">
        <v>5</v>
      </c>
      <c r="I265" s="49">
        <v>26</v>
      </c>
      <c r="J265" s="49">
        <v>0</v>
      </c>
      <c r="K265" s="49">
        <v>903</v>
      </c>
      <c r="L265" s="49">
        <v>0</v>
      </c>
      <c r="M265" s="49">
        <v>4</v>
      </c>
      <c r="N265" s="49">
        <v>0</v>
      </c>
      <c r="O265" s="50">
        <f t="shared" ref="O265:O274" si="5" xml:space="preserve"> (N265/200)</f>
        <v>0</v>
      </c>
      <c r="P265" s="7"/>
    </row>
    <row r="266" spans="1:16" s="66" customFormat="1">
      <c r="A266" s="87" t="s">
        <v>538</v>
      </c>
      <c r="B266" s="69"/>
      <c r="C266" s="7"/>
      <c r="D266" s="66" t="s">
        <v>539</v>
      </c>
      <c r="E266" s="67">
        <v>0</v>
      </c>
      <c r="F266" s="67">
        <v>0</v>
      </c>
      <c r="G266" s="67">
        <v>0</v>
      </c>
      <c r="H266" s="67">
        <v>1</v>
      </c>
      <c r="I266" s="67">
        <v>8</v>
      </c>
      <c r="J266" s="67">
        <v>0</v>
      </c>
      <c r="K266" s="67">
        <v>4</v>
      </c>
      <c r="L266" s="67">
        <v>0</v>
      </c>
      <c r="M266" s="67">
        <v>4</v>
      </c>
      <c r="N266" s="67">
        <v>0</v>
      </c>
      <c r="O266" s="68">
        <f t="shared" si="5"/>
        <v>0</v>
      </c>
      <c r="P266" s="7"/>
    </row>
    <row r="267" spans="1:16" s="43" customFormat="1">
      <c r="A267" s="82" t="s">
        <v>540</v>
      </c>
      <c r="B267" s="46"/>
      <c r="C267" s="7"/>
      <c r="D267" s="43" t="s">
        <v>541</v>
      </c>
      <c r="E267" s="44">
        <v>0</v>
      </c>
      <c r="F267" s="44">
        <v>0</v>
      </c>
      <c r="G267" s="44">
        <v>2</v>
      </c>
      <c r="H267" s="44">
        <v>8</v>
      </c>
      <c r="I267" s="44">
        <v>33</v>
      </c>
      <c r="J267" s="44">
        <v>1</v>
      </c>
      <c r="K267" s="44">
        <v>574</v>
      </c>
      <c r="L267" s="44">
        <v>0</v>
      </c>
      <c r="M267" s="44">
        <v>4</v>
      </c>
      <c r="N267" s="44">
        <v>0</v>
      </c>
      <c r="O267" s="45">
        <f t="shared" si="5"/>
        <v>0</v>
      </c>
      <c r="P267" s="7"/>
    </row>
    <row r="268" spans="1:16">
      <c r="A268" s="75" t="s">
        <v>542</v>
      </c>
      <c r="B268" s="7" t="s">
        <v>7</v>
      </c>
      <c r="D268" s="5" t="s">
        <v>543</v>
      </c>
      <c r="E268" s="6">
        <v>1</v>
      </c>
      <c r="F268" s="6">
        <v>0</v>
      </c>
      <c r="G268" s="6">
        <v>0</v>
      </c>
      <c r="H268" s="12">
        <v>0</v>
      </c>
      <c r="I268" s="6">
        <v>6</v>
      </c>
      <c r="J268" s="6">
        <v>0</v>
      </c>
      <c r="K268" s="6">
        <v>22</v>
      </c>
      <c r="L268" s="6">
        <v>0</v>
      </c>
      <c r="M268" s="12">
        <v>3</v>
      </c>
      <c r="N268" s="6">
        <v>0</v>
      </c>
      <c r="O268" s="35">
        <f t="shared" si="5"/>
        <v>0</v>
      </c>
    </row>
    <row r="269" spans="1:16" s="30" customFormat="1">
      <c r="A269" s="80" t="s">
        <v>544</v>
      </c>
      <c r="B269" s="32" t="s">
        <v>7</v>
      </c>
      <c r="C269" s="7"/>
      <c r="D269" s="30" t="s">
        <v>545</v>
      </c>
      <c r="E269" s="31">
        <v>1</v>
      </c>
      <c r="F269" s="31">
        <v>0</v>
      </c>
      <c r="G269" s="31">
        <v>0</v>
      </c>
      <c r="H269" s="31">
        <v>1</v>
      </c>
      <c r="I269" s="31">
        <v>5</v>
      </c>
      <c r="J269" s="31">
        <v>0</v>
      </c>
      <c r="K269" s="31">
        <v>140</v>
      </c>
      <c r="L269" s="31">
        <v>1</v>
      </c>
      <c r="M269" s="31">
        <v>3</v>
      </c>
      <c r="N269" s="31">
        <v>0</v>
      </c>
      <c r="O269" s="37">
        <f t="shared" si="5"/>
        <v>0</v>
      </c>
      <c r="P269" s="7"/>
    </row>
    <row r="270" spans="1:16" s="30" customFormat="1">
      <c r="A270" s="80" t="s">
        <v>546</v>
      </c>
      <c r="B270" s="32" t="s">
        <v>7</v>
      </c>
      <c r="C270" s="7"/>
      <c r="D270" s="30" t="s">
        <v>547</v>
      </c>
      <c r="E270" s="31">
        <v>1</v>
      </c>
      <c r="F270" s="31">
        <v>0</v>
      </c>
      <c r="G270" s="31">
        <v>0</v>
      </c>
      <c r="H270" s="31">
        <v>2</v>
      </c>
      <c r="I270" s="31">
        <v>4</v>
      </c>
      <c r="J270" s="31">
        <v>0</v>
      </c>
      <c r="K270" s="31">
        <v>140</v>
      </c>
      <c r="L270" s="31">
        <v>2</v>
      </c>
      <c r="M270" s="31">
        <v>3</v>
      </c>
      <c r="N270" s="31">
        <v>0</v>
      </c>
      <c r="O270" s="37">
        <f t="shared" si="5"/>
        <v>0</v>
      </c>
      <c r="P270" s="7"/>
    </row>
    <row r="271" spans="1:16">
      <c r="A271" s="75" t="s">
        <v>548</v>
      </c>
      <c r="B271" s="7" t="s">
        <v>7</v>
      </c>
      <c r="D271" s="5" t="s">
        <v>549</v>
      </c>
      <c r="E271" s="6">
        <v>1</v>
      </c>
      <c r="F271" s="6">
        <v>1</v>
      </c>
      <c r="G271" s="6">
        <v>0</v>
      </c>
      <c r="H271" s="12">
        <v>5</v>
      </c>
      <c r="I271" s="6">
        <v>46</v>
      </c>
      <c r="J271" s="6">
        <v>1</v>
      </c>
      <c r="K271" s="6">
        <v>2797</v>
      </c>
      <c r="L271" s="6">
        <v>1</v>
      </c>
      <c r="M271" s="12">
        <v>3</v>
      </c>
      <c r="N271" s="6">
        <v>0</v>
      </c>
      <c r="O271" s="35">
        <f t="shared" si="5"/>
        <v>0</v>
      </c>
    </row>
    <row r="272" spans="1:16" s="30" customFormat="1">
      <c r="A272" s="80" t="s">
        <v>550</v>
      </c>
      <c r="B272" s="32"/>
      <c r="C272" s="7"/>
      <c r="D272" s="30" t="s">
        <v>551</v>
      </c>
      <c r="E272" s="31">
        <v>2</v>
      </c>
      <c r="F272" s="31">
        <v>0</v>
      </c>
      <c r="G272" s="31">
        <v>0</v>
      </c>
      <c r="H272" s="31">
        <v>1</v>
      </c>
      <c r="I272" s="31">
        <v>4</v>
      </c>
      <c r="J272" s="31">
        <v>0</v>
      </c>
      <c r="K272" s="31">
        <v>0</v>
      </c>
      <c r="L272" s="31">
        <v>0</v>
      </c>
      <c r="M272" s="31">
        <v>3</v>
      </c>
      <c r="N272" s="31">
        <v>0</v>
      </c>
      <c r="O272" s="37">
        <f t="shared" si="5"/>
        <v>0</v>
      </c>
      <c r="P272" s="7"/>
    </row>
    <row r="273" spans="1:17">
      <c r="A273" s="94" t="s">
        <v>552</v>
      </c>
      <c r="B273" s="7" t="s">
        <v>7</v>
      </c>
      <c r="D273" s="5" t="s">
        <v>553</v>
      </c>
      <c r="E273" s="6">
        <v>1</v>
      </c>
      <c r="F273" s="6">
        <v>0</v>
      </c>
      <c r="G273" s="6">
        <v>0</v>
      </c>
      <c r="H273" s="12">
        <v>1</v>
      </c>
      <c r="I273" s="6">
        <v>4</v>
      </c>
      <c r="J273" s="6">
        <v>0</v>
      </c>
      <c r="K273" s="6">
        <v>15</v>
      </c>
      <c r="L273" s="6">
        <v>0</v>
      </c>
      <c r="M273" s="12">
        <v>3</v>
      </c>
      <c r="N273" s="6">
        <v>0</v>
      </c>
      <c r="O273" s="35">
        <f t="shared" si="5"/>
        <v>0</v>
      </c>
      <c r="Q273" s="5" t="s">
        <v>156</v>
      </c>
    </row>
    <row r="274" spans="1:17" s="30" customFormat="1">
      <c r="A274" s="80" t="s">
        <v>554</v>
      </c>
      <c r="B274" s="32"/>
      <c r="C274" s="7"/>
      <c r="D274" s="30" t="s">
        <v>555</v>
      </c>
      <c r="E274" s="31">
        <v>2</v>
      </c>
      <c r="F274" s="31">
        <v>1</v>
      </c>
      <c r="G274" s="31">
        <v>0</v>
      </c>
      <c r="H274" s="31">
        <v>0</v>
      </c>
      <c r="I274" s="31">
        <v>4</v>
      </c>
      <c r="J274" s="31">
        <v>0</v>
      </c>
      <c r="K274" s="31">
        <v>35</v>
      </c>
      <c r="L274" s="31">
        <v>0</v>
      </c>
      <c r="M274" s="31">
        <v>3</v>
      </c>
      <c r="N274" s="31">
        <v>0</v>
      </c>
      <c r="O274" s="37">
        <f t="shared" si="5"/>
        <v>0</v>
      </c>
      <c r="P274" s="7"/>
    </row>
    <row r="275" spans="1:17">
      <c r="A275" s="75" t="s">
        <v>556</v>
      </c>
    </row>
    <row r="276" spans="1:17">
      <c r="A276" s="75" t="s">
        <v>557</v>
      </c>
    </row>
    <row r="277" spans="1:17">
      <c r="A277" s="75" t="s">
        <v>558</v>
      </c>
    </row>
    <row r="278" spans="1:17">
      <c r="A278" s="75" t="s">
        <v>559</v>
      </c>
    </row>
    <row r="279" spans="1:17">
      <c r="A279" s="75" t="s">
        <v>560</v>
      </c>
    </row>
    <row r="280" spans="1:17">
      <c r="A280" s="75" t="s">
        <v>561</v>
      </c>
    </row>
    <row r="281" spans="1:17">
      <c r="A281" s="75" t="s">
        <v>562</v>
      </c>
    </row>
    <row r="282" spans="1:17">
      <c r="A282" s="75" t="s">
        <v>563</v>
      </c>
    </row>
    <row r="283" spans="1:17">
      <c r="A283" s="75" t="s">
        <v>564</v>
      </c>
    </row>
    <row r="284" spans="1:17">
      <c r="A284" s="75" t="s">
        <v>565</v>
      </c>
    </row>
    <row r="285" spans="1:17">
      <c r="A285" s="75" t="s">
        <v>566</v>
      </c>
    </row>
    <row r="286" spans="1:17" ht="30">
      <c r="A286" s="75" t="s">
        <v>567</v>
      </c>
    </row>
    <row r="287" spans="1:17" ht="30">
      <c r="A287" s="75" t="s">
        <v>568</v>
      </c>
    </row>
  </sheetData>
  <autoFilter ref="A1:AA287" xr:uid="{00000000-0001-0000-00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9DFB2-922F-4635-8AF8-8BADB989EFDB}">
  <dimension ref="A3:Q48"/>
  <sheetViews>
    <sheetView topLeftCell="A24" zoomScale="130" zoomScaleNormal="130" workbookViewId="0">
      <selection activeCell="E25" sqref="E25"/>
    </sheetView>
  </sheetViews>
  <sheetFormatPr defaultRowHeight="15"/>
  <cols>
    <col min="1" max="1" width="14.28515625" bestFit="1" customWidth="1"/>
    <col min="2" max="2" width="14.7109375" bestFit="1" customWidth="1"/>
    <col min="3" max="3" width="11" bestFit="1" customWidth="1"/>
    <col min="4" max="4" width="11.42578125" customWidth="1"/>
    <col min="8" max="8" width="12" bestFit="1" customWidth="1"/>
    <col min="12" max="12" width="11" bestFit="1" customWidth="1"/>
    <col min="13" max="13" width="12" bestFit="1" customWidth="1"/>
  </cols>
  <sheetData>
    <row r="3" spans="1:17">
      <c r="A3" s="105" t="s">
        <v>2</v>
      </c>
      <c r="B3" s="5" t="s">
        <v>0</v>
      </c>
      <c r="M3" t="s">
        <v>569</v>
      </c>
    </row>
    <row r="4" spans="1:17">
      <c r="A4" s="106" t="s">
        <v>12</v>
      </c>
      <c r="B4" s="130"/>
    </row>
    <row r="5" spans="1:17">
      <c r="A5" s="106" t="s">
        <v>6</v>
      </c>
      <c r="B5" s="130">
        <v>5</v>
      </c>
    </row>
    <row r="6" spans="1:17">
      <c r="A6" s="106" t="s">
        <v>11</v>
      </c>
      <c r="B6" s="130">
        <v>7</v>
      </c>
    </row>
    <row r="7" spans="1:17">
      <c r="A7" s="106" t="s">
        <v>10</v>
      </c>
      <c r="B7" s="130">
        <v>26</v>
      </c>
    </row>
    <row r="8" spans="1:17">
      <c r="A8" s="106" t="s">
        <v>9</v>
      </c>
      <c r="B8" s="130">
        <v>43</v>
      </c>
    </row>
    <row r="9" spans="1:17">
      <c r="A9" s="106" t="s">
        <v>7</v>
      </c>
      <c r="B9" s="130">
        <v>46</v>
      </c>
    </row>
    <row r="10" spans="1:17">
      <c r="A10" s="106" t="s">
        <v>8</v>
      </c>
      <c r="B10" s="130">
        <v>73</v>
      </c>
    </row>
    <row r="11" spans="1:17">
      <c r="A11" s="106" t="s">
        <v>5</v>
      </c>
      <c r="B11" s="130">
        <v>200</v>
      </c>
    </row>
    <row r="12" spans="1:17">
      <c r="N12">
        <v>40</v>
      </c>
      <c r="O12">
        <v>30</v>
      </c>
      <c r="P12">
        <v>20</v>
      </c>
      <c r="Q12">
        <v>30</v>
      </c>
    </row>
    <row r="15" spans="1:17">
      <c r="C15">
        <v>9</v>
      </c>
      <c r="E15">
        <v>5</v>
      </c>
      <c r="G15">
        <v>45</v>
      </c>
    </row>
    <row r="16" spans="1:17">
      <c r="C16">
        <v>3</v>
      </c>
      <c r="E16">
        <v>5</v>
      </c>
      <c r="G16">
        <v>15</v>
      </c>
    </row>
    <row r="17" spans="1:16">
      <c r="C17">
        <v>6</v>
      </c>
      <c r="E17">
        <v>3</v>
      </c>
      <c r="G17">
        <v>18</v>
      </c>
    </row>
    <row r="23" spans="1:16">
      <c r="B23" s="131" t="s">
        <v>570</v>
      </c>
      <c r="C23" s="131"/>
      <c r="D23" s="131"/>
      <c r="E23" s="132" t="s">
        <v>571</v>
      </c>
      <c r="F23" s="132"/>
    </row>
    <row r="24" spans="1:16" ht="45">
      <c r="A24" s="102" t="s">
        <v>13</v>
      </c>
      <c r="B24" s="127" t="s">
        <v>14</v>
      </c>
      <c r="C24" s="127" t="s">
        <v>15</v>
      </c>
      <c r="D24" s="128" t="s">
        <v>17</v>
      </c>
      <c r="E24" s="126" t="s">
        <v>16</v>
      </c>
      <c r="F24" s="126" t="s">
        <v>18</v>
      </c>
      <c r="G24" s="120" t="s">
        <v>572</v>
      </c>
      <c r="H24" s="119" t="s">
        <v>573</v>
      </c>
      <c r="M24" s="112" t="s">
        <v>574</v>
      </c>
      <c r="N24" t="s">
        <v>575</v>
      </c>
    </row>
    <row r="25" spans="1:16">
      <c r="A25" s="23" t="s">
        <v>7</v>
      </c>
      <c r="B25" s="121">
        <v>2</v>
      </c>
      <c r="C25" s="122">
        <v>1</v>
      </c>
      <c r="D25" s="123">
        <v>1</v>
      </c>
      <c r="E25" s="124">
        <v>1</v>
      </c>
      <c r="F25" s="125">
        <v>0.5</v>
      </c>
      <c r="G25" s="97">
        <f t="shared" ref="G25:G30" si="0" xml:space="preserve"> SUM(B25:F25)</f>
        <v>5.5</v>
      </c>
      <c r="H25" s="5">
        <v>46</v>
      </c>
      <c r="K25">
        <f t="shared" ref="K25:K30" si="1">(G25*H25)</f>
        <v>253</v>
      </c>
      <c r="M25">
        <f t="shared" ref="M25:M30" si="2">SUM(B25:D25)</f>
        <v>4</v>
      </c>
      <c r="N25">
        <f>SUM(E25:F25)</f>
        <v>1.5</v>
      </c>
      <c r="P25" s="5">
        <v>46</v>
      </c>
    </row>
    <row r="26" spans="1:16">
      <c r="A26" s="23" t="s">
        <v>8</v>
      </c>
      <c r="B26" s="121">
        <v>4</v>
      </c>
      <c r="C26" s="122">
        <v>2</v>
      </c>
      <c r="D26" s="123">
        <v>2</v>
      </c>
      <c r="E26" s="124">
        <v>4</v>
      </c>
      <c r="F26" s="125">
        <v>1</v>
      </c>
      <c r="G26" s="97">
        <f t="shared" si="0"/>
        <v>13</v>
      </c>
      <c r="H26" s="5">
        <v>72</v>
      </c>
      <c r="K26">
        <f t="shared" si="1"/>
        <v>936</v>
      </c>
      <c r="M26">
        <f t="shared" si="2"/>
        <v>8</v>
      </c>
      <c r="N26">
        <f t="shared" ref="N26:N30" si="3">SUM(E26:F26)</f>
        <v>5</v>
      </c>
      <c r="P26" s="5">
        <v>72</v>
      </c>
    </row>
    <row r="27" spans="1:16">
      <c r="A27" s="23" t="s">
        <v>9</v>
      </c>
      <c r="B27" s="121">
        <v>7</v>
      </c>
      <c r="C27" s="122">
        <v>2</v>
      </c>
      <c r="D27" s="123">
        <v>3</v>
      </c>
      <c r="E27" s="124">
        <v>5</v>
      </c>
      <c r="F27" s="125">
        <v>1.5</v>
      </c>
      <c r="G27" s="97">
        <f t="shared" si="0"/>
        <v>18.5</v>
      </c>
      <c r="H27" s="5">
        <v>43</v>
      </c>
      <c r="K27">
        <f t="shared" si="1"/>
        <v>795.5</v>
      </c>
      <c r="M27">
        <f t="shared" si="2"/>
        <v>12</v>
      </c>
      <c r="N27">
        <f t="shared" si="3"/>
        <v>6.5</v>
      </c>
      <c r="P27" s="5">
        <v>43</v>
      </c>
    </row>
    <row r="28" spans="1:16">
      <c r="A28" s="23" t="s">
        <v>10</v>
      </c>
      <c r="B28" s="121">
        <v>11</v>
      </c>
      <c r="C28" s="122">
        <v>3</v>
      </c>
      <c r="D28" s="123">
        <v>4</v>
      </c>
      <c r="E28" s="124">
        <v>6</v>
      </c>
      <c r="F28" s="125">
        <v>2</v>
      </c>
      <c r="G28" s="97">
        <f t="shared" si="0"/>
        <v>26</v>
      </c>
      <c r="H28" s="5">
        <v>26</v>
      </c>
      <c r="K28">
        <f t="shared" si="1"/>
        <v>676</v>
      </c>
      <c r="M28">
        <f t="shared" si="2"/>
        <v>18</v>
      </c>
      <c r="N28">
        <f t="shared" si="3"/>
        <v>8</v>
      </c>
      <c r="P28" s="5">
        <v>26</v>
      </c>
    </row>
    <row r="29" spans="1:16">
      <c r="A29" s="23" t="s">
        <v>6</v>
      </c>
      <c r="B29" s="121">
        <v>13</v>
      </c>
      <c r="C29" s="122">
        <v>3</v>
      </c>
      <c r="D29" s="123">
        <v>5</v>
      </c>
      <c r="E29" s="124">
        <v>7</v>
      </c>
      <c r="F29" s="125">
        <v>3</v>
      </c>
      <c r="G29" s="97">
        <f t="shared" si="0"/>
        <v>31</v>
      </c>
      <c r="H29" s="5">
        <v>5</v>
      </c>
      <c r="K29">
        <f t="shared" si="1"/>
        <v>155</v>
      </c>
      <c r="M29">
        <f t="shared" si="2"/>
        <v>21</v>
      </c>
      <c r="N29">
        <f t="shared" si="3"/>
        <v>10</v>
      </c>
      <c r="P29" s="5">
        <v>5</v>
      </c>
    </row>
    <row r="30" spans="1:16">
      <c r="A30" s="23" t="s">
        <v>11</v>
      </c>
      <c r="B30" s="121">
        <v>15</v>
      </c>
      <c r="C30" s="122">
        <v>4</v>
      </c>
      <c r="D30" s="123">
        <v>5</v>
      </c>
      <c r="E30" s="124">
        <v>7</v>
      </c>
      <c r="F30" s="125">
        <v>4</v>
      </c>
      <c r="G30" s="97">
        <f t="shared" si="0"/>
        <v>35</v>
      </c>
      <c r="H30" s="5">
        <v>7</v>
      </c>
      <c r="K30">
        <f t="shared" si="1"/>
        <v>245</v>
      </c>
      <c r="M30">
        <f t="shared" si="2"/>
        <v>24</v>
      </c>
      <c r="N30">
        <f t="shared" si="3"/>
        <v>11</v>
      </c>
      <c r="P30" s="5">
        <v>7</v>
      </c>
    </row>
    <row r="32" spans="1:16">
      <c r="K32">
        <f xml:space="preserve"> SUM(K25:K30)</f>
        <v>3060.5</v>
      </c>
      <c r="L32">
        <f>(K32/5)</f>
        <v>612.1</v>
      </c>
      <c r="M32">
        <f>(L32/50)</f>
        <v>12.242000000000001</v>
      </c>
    </row>
    <row r="34" spans="1:13">
      <c r="A34" s="23" t="s">
        <v>7</v>
      </c>
      <c r="B34" s="97">
        <v>5.5</v>
      </c>
      <c r="H34" s="5" t="s">
        <v>576</v>
      </c>
      <c r="I34" s="5" t="s">
        <v>577</v>
      </c>
    </row>
    <row r="35" spans="1:13">
      <c r="A35" s="23" t="s">
        <v>8</v>
      </c>
      <c r="B35" s="97">
        <v>13</v>
      </c>
      <c r="H35" s="5"/>
      <c r="I35" s="5"/>
    </row>
    <row r="36" spans="1:13">
      <c r="A36" s="23" t="s">
        <v>9</v>
      </c>
      <c r="B36" s="97">
        <v>18.5</v>
      </c>
      <c r="H36" s="5">
        <v>10</v>
      </c>
      <c r="I36" s="5">
        <v>9</v>
      </c>
      <c r="J36">
        <f>((A2/3)*B2) + ((A2*(2/3))*(B2*(2/3)))</f>
        <v>0</v>
      </c>
    </row>
    <row r="37" spans="1:13">
      <c r="A37" s="23" t="s">
        <v>10</v>
      </c>
      <c r="B37" s="97">
        <v>26</v>
      </c>
    </row>
    <row r="38" spans="1:13">
      <c r="A38" s="23" t="s">
        <v>6</v>
      </c>
      <c r="B38" s="97">
        <v>31</v>
      </c>
      <c r="H38" t="s">
        <v>578</v>
      </c>
    </row>
    <row r="39" spans="1:13">
      <c r="A39" s="23" t="s">
        <v>11</v>
      </c>
      <c r="B39" s="97">
        <v>35</v>
      </c>
    </row>
    <row r="40" spans="1:13">
      <c r="A40" t="s">
        <v>579</v>
      </c>
      <c r="B40" t="s">
        <v>580</v>
      </c>
      <c r="C40" t="s">
        <v>581</v>
      </c>
      <c r="E40" t="s">
        <v>571</v>
      </c>
      <c r="F40" t="s">
        <v>582</v>
      </c>
      <c r="H40" t="s">
        <v>569</v>
      </c>
    </row>
    <row r="41" spans="1:13">
      <c r="A41">
        <v>4</v>
      </c>
      <c r="B41" s="5">
        <v>46</v>
      </c>
      <c r="C41">
        <f t="shared" ref="C41:C45" si="4">((A41/3)*B41) + ((A41*(2/3))*(B41*(2/3)))</f>
        <v>143.11111111111109</v>
      </c>
      <c r="E41">
        <v>1.5</v>
      </c>
      <c r="F41">
        <f>(B41*E41)</f>
        <v>69</v>
      </c>
      <c r="H41">
        <f>SUM(F41,C41)</f>
        <v>212.11111111111109</v>
      </c>
    </row>
    <row r="42" spans="1:13">
      <c r="A42">
        <v>8</v>
      </c>
      <c r="B42" s="5">
        <v>72</v>
      </c>
      <c r="C42">
        <f t="shared" si="4"/>
        <v>448</v>
      </c>
      <c r="E42">
        <v>5</v>
      </c>
      <c r="F42">
        <f t="shared" ref="F42:F46" si="5">(B42*E42)</f>
        <v>360</v>
      </c>
      <c r="H42">
        <f t="shared" ref="H42:H46" si="6">SUM(F42,C42)</f>
        <v>808</v>
      </c>
    </row>
    <row r="43" spans="1:13">
      <c r="A43">
        <v>12</v>
      </c>
      <c r="B43" s="5">
        <v>43</v>
      </c>
      <c r="C43">
        <f t="shared" si="4"/>
        <v>401.33333333333331</v>
      </c>
      <c r="E43">
        <v>6.5</v>
      </c>
      <c r="F43">
        <f t="shared" si="5"/>
        <v>279.5</v>
      </c>
      <c r="H43">
        <f t="shared" si="6"/>
        <v>680.83333333333326</v>
      </c>
    </row>
    <row r="44" spans="1:13">
      <c r="A44">
        <v>18</v>
      </c>
      <c r="B44" s="5">
        <v>26</v>
      </c>
      <c r="C44">
        <f t="shared" si="4"/>
        <v>364</v>
      </c>
      <c r="E44">
        <v>8</v>
      </c>
      <c r="F44">
        <f t="shared" si="5"/>
        <v>208</v>
      </c>
      <c r="H44">
        <f t="shared" si="6"/>
        <v>572</v>
      </c>
    </row>
    <row r="45" spans="1:13">
      <c r="A45">
        <v>21</v>
      </c>
      <c r="B45" s="5">
        <v>5</v>
      </c>
      <c r="C45">
        <f t="shared" si="4"/>
        <v>81.666666666666657</v>
      </c>
      <c r="E45">
        <v>10</v>
      </c>
      <c r="F45">
        <f t="shared" si="5"/>
        <v>50</v>
      </c>
      <c r="H45">
        <f t="shared" si="6"/>
        <v>131.66666666666666</v>
      </c>
    </row>
    <row r="46" spans="1:13">
      <c r="A46">
        <v>24</v>
      </c>
      <c r="B46" s="5">
        <v>7</v>
      </c>
      <c r="C46">
        <f>(A46*B46)</f>
        <v>168</v>
      </c>
      <c r="E46">
        <v>11</v>
      </c>
      <c r="F46">
        <f t="shared" si="5"/>
        <v>77</v>
      </c>
      <c r="H46">
        <f t="shared" si="6"/>
        <v>245</v>
      </c>
    </row>
    <row r="48" spans="1:13">
      <c r="G48" t="s">
        <v>569</v>
      </c>
      <c r="H48">
        <f>SUM(H41:H46)</f>
        <v>2649.6111111111109</v>
      </c>
      <c r="L48">
        <f>(H48/5)</f>
        <v>529.92222222222222</v>
      </c>
      <c r="M48">
        <f>(L48/50)</f>
        <v>10.598444444444445</v>
      </c>
    </row>
  </sheetData>
  <mergeCells count="2">
    <mergeCell ref="B23:D23"/>
    <mergeCell ref="E23:F23"/>
  </mergeCells>
  <pageMargins left="0.7" right="0.7" top="0.75" bottom="0.75" header="0.3" footer="0.3"/>
  <pageSetup orientation="portrait" r:id="rId2"/>
  <ignoredErrors>
    <ignoredError sqref="M30 M25:M2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FDC13-D2E1-45B0-8C5D-F06EA3A94F58}">
  <dimension ref="B5:L25"/>
  <sheetViews>
    <sheetView workbookViewId="0">
      <selection activeCell="I31" sqref="I31"/>
    </sheetView>
  </sheetViews>
  <sheetFormatPr defaultRowHeight="15"/>
  <cols>
    <col min="2" max="2" width="14.28515625" bestFit="1" customWidth="1"/>
    <col min="3" max="3" width="14.7109375" bestFit="1" customWidth="1"/>
    <col min="4" max="4" width="17.85546875" bestFit="1" customWidth="1"/>
    <col min="6" max="6" width="10" customWidth="1"/>
    <col min="8" max="8" width="11.140625" customWidth="1"/>
    <col min="11" max="11" width="10.42578125" customWidth="1"/>
    <col min="12" max="12" width="12" bestFit="1" customWidth="1"/>
  </cols>
  <sheetData>
    <row r="5" spans="2:3">
      <c r="B5" s="105" t="s">
        <v>2</v>
      </c>
      <c r="C5" s="5" t="s">
        <v>0</v>
      </c>
    </row>
    <row r="6" spans="2:3">
      <c r="B6" s="106" t="s">
        <v>12</v>
      </c>
      <c r="C6" s="130"/>
    </row>
    <row r="7" spans="2:3">
      <c r="B7" s="106" t="s">
        <v>6</v>
      </c>
      <c r="C7" s="130">
        <v>5</v>
      </c>
    </row>
    <row r="8" spans="2:3">
      <c r="B8" s="106" t="s">
        <v>11</v>
      </c>
      <c r="C8" s="130">
        <v>7</v>
      </c>
    </row>
    <row r="9" spans="2:3">
      <c r="B9" s="106" t="s">
        <v>10</v>
      </c>
      <c r="C9" s="130">
        <v>26</v>
      </c>
    </row>
    <row r="10" spans="2:3">
      <c r="B10" s="106" t="s">
        <v>9</v>
      </c>
      <c r="C10" s="130">
        <v>43</v>
      </c>
    </row>
    <row r="11" spans="2:3">
      <c r="B11" s="106" t="s">
        <v>7</v>
      </c>
      <c r="C11" s="130">
        <v>46</v>
      </c>
    </row>
    <row r="12" spans="2:3">
      <c r="B12" s="106" t="s">
        <v>8</v>
      </c>
      <c r="C12" s="130">
        <v>73</v>
      </c>
    </row>
    <row r="13" spans="2:3">
      <c r="B13" s="106" t="s">
        <v>5</v>
      </c>
      <c r="C13" s="130">
        <v>200</v>
      </c>
    </row>
    <row r="17" spans="2:12" ht="45">
      <c r="B17" s="102" t="s">
        <v>13</v>
      </c>
      <c r="C17" s="102" t="s">
        <v>583</v>
      </c>
      <c r="D17" s="102" t="s">
        <v>14</v>
      </c>
      <c r="E17" s="102" t="s">
        <v>15</v>
      </c>
      <c r="F17" s="102" t="s">
        <v>17</v>
      </c>
      <c r="G17" s="102" t="s">
        <v>16</v>
      </c>
      <c r="H17" s="103" t="s">
        <v>18</v>
      </c>
      <c r="I17" s="102" t="s">
        <v>19</v>
      </c>
      <c r="K17" s="113" t="s">
        <v>584</v>
      </c>
      <c r="L17" s="113" t="s">
        <v>585</v>
      </c>
    </row>
    <row r="18" spans="2:12">
      <c r="B18" s="23" t="s">
        <v>7</v>
      </c>
      <c r="C18" s="5">
        <v>46</v>
      </c>
      <c r="D18" s="116">
        <v>2</v>
      </c>
      <c r="E18" s="117">
        <v>1</v>
      </c>
      <c r="F18" s="118">
        <v>1</v>
      </c>
      <c r="G18" s="114">
        <v>1</v>
      </c>
      <c r="H18" s="115">
        <v>0.5</v>
      </c>
      <c r="I18" s="97">
        <f t="shared" ref="I18:I23" si="0" xml:space="preserve"> SUM(D18:H18)</f>
        <v>5.5</v>
      </c>
      <c r="K18" s="5">
        <f>(C18*I18)</f>
        <v>253</v>
      </c>
      <c r="L18" s="5">
        <f>(((C18/3)*(D18+E18+F18)) + ((C18*2/3)*(2/3*(D18+E18+F18))))+(C18*(G18+H18))</f>
        <v>212.11111111111111</v>
      </c>
    </row>
    <row r="19" spans="2:12">
      <c r="B19" s="23" t="s">
        <v>8</v>
      </c>
      <c r="C19" s="5">
        <v>72</v>
      </c>
      <c r="D19" s="116">
        <v>4</v>
      </c>
      <c r="E19" s="117">
        <v>2</v>
      </c>
      <c r="F19" s="118">
        <v>2</v>
      </c>
      <c r="G19" s="114">
        <v>4</v>
      </c>
      <c r="H19" s="115">
        <v>1</v>
      </c>
      <c r="I19" s="97">
        <f t="shared" si="0"/>
        <v>13</v>
      </c>
      <c r="K19" s="5">
        <f t="shared" ref="K19:K23" si="1">(C19*I19)</f>
        <v>936</v>
      </c>
      <c r="L19" s="5">
        <f>(((C19/3)*(D19+E19+F19)) + ((C19*2/3)*(2/3*(D19+E19+F19))))+(C19*(G19+H19))</f>
        <v>808</v>
      </c>
    </row>
    <row r="20" spans="2:12">
      <c r="B20" s="23" t="s">
        <v>9</v>
      </c>
      <c r="C20" s="5">
        <v>43</v>
      </c>
      <c r="D20" s="116">
        <v>7</v>
      </c>
      <c r="E20" s="117">
        <v>2</v>
      </c>
      <c r="F20" s="118">
        <v>3</v>
      </c>
      <c r="G20" s="114">
        <v>5</v>
      </c>
      <c r="H20" s="115">
        <v>1.5</v>
      </c>
      <c r="I20" s="97">
        <f t="shared" si="0"/>
        <v>18.5</v>
      </c>
      <c r="K20" s="5">
        <f t="shared" si="1"/>
        <v>795.5</v>
      </c>
      <c r="L20" s="5">
        <f>(((C20/3)*(D20+E20+F20)) + ((C20*2/3)*(2/3*(D20+E20+F20))))+(C20*(G20+H20))</f>
        <v>680.83333333333337</v>
      </c>
    </row>
    <row r="21" spans="2:12">
      <c r="B21" s="23" t="s">
        <v>10</v>
      </c>
      <c r="C21" s="5">
        <v>26</v>
      </c>
      <c r="D21" s="116">
        <v>11</v>
      </c>
      <c r="E21" s="117">
        <v>3</v>
      </c>
      <c r="F21" s="118">
        <v>4</v>
      </c>
      <c r="G21" s="114">
        <v>6</v>
      </c>
      <c r="H21" s="115">
        <v>2</v>
      </c>
      <c r="I21" s="97">
        <f t="shared" si="0"/>
        <v>26</v>
      </c>
      <c r="K21" s="5">
        <f t="shared" si="1"/>
        <v>676</v>
      </c>
      <c r="L21" s="5">
        <f>(((C21/3)*(D21+E21+F21)) + ((C21*2/3)*(2/3*(D21+E21+F21))))+(C21*(G21+H21))</f>
        <v>572</v>
      </c>
    </row>
    <row r="22" spans="2:12">
      <c r="B22" s="23" t="s">
        <v>6</v>
      </c>
      <c r="C22" s="5">
        <v>5</v>
      </c>
      <c r="D22" s="116">
        <v>13</v>
      </c>
      <c r="E22" s="117">
        <v>3</v>
      </c>
      <c r="F22" s="118">
        <v>5</v>
      </c>
      <c r="G22" s="114">
        <v>7</v>
      </c>
      <c r="H22" s="115">
        <v>3</v>
      </c>
      <c r="I22" s="97">
        <f t="shared" si="0"/>
        <v>31</v>
      </c>
      <c r="K22" s="5">
        <f t="shared" si="1"/>
        <v>155</v>
      </c>
      <c r="L22" s="5">
        <f>(((C22/3)*(D22+E22+F22)) + ((C22*2/3)*(2/3*(D22+E22+F22))))+(C22*(G22+H22))</f>
        <v>131.66666666666669</v>
      </c>
    </row>
    <row r="23" spans="2:12">
      <c r="B23" s="23" t="s">
        <v>11</v>
      </c>
      <c r="C23" s="5">
        <v>7</v>
      </c>
      <c r="D23" s="116">
        <v>15</v>
      </c>
      <c r="E23" s="117">
        <v>4</v>
      </c>
      <c r="F23" s="118">
        <v>5</v>
      </c>
      <c r="G23" s="114">
        <v>7</v>
      </c>
      <c r="H23" s="115">
        <v>4</v>
      </c>
      <c r="I23" s="97">
        <f t="shared" si="0"/>
        <v>35</v>
      </c>
      <c r="K23" s="5">
        <f t="shared" si="1"/>
        <v>245</v>
      </c>
      <c r="L23" s="5">
        <v>245</v>
      </c>
    </row>
    <row r="25" spans="2:12">
      <c r="J25" t="s">
        <v>569</v>
      </c>
      <c r="K25">
        <f>SUM(K18:K23)</f>
        <v>3060.5</v>
      </c>
      <c r="L25">
        <f>SUM(L18:L23)</f>
        <v>2649.6111111111109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>
      <selection activeCell="A2" sqref="A2"/>
    </sheetView>
  </sheetViews>
  <sheetFormatPr defaultRowHeight="15"/>
  <sheetData>
    <row r="2" spans="1:1" ht="409.5">
      <c r="A2" s="129" t="s">
        <v>586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81500CF7E3342BB627D73BF202A2F" ma:contentTypeVersion="20" ma:contentTypeDescription="Create a new document." ma:contentTypeScope="" ma:versionID="3e2c570eb0946adac5aa6eeca2ff0bbb">
  <xsd:schema xmlns:xsd="http://www.w3.org/2001/XMLSchema" xmlns:xs="http://www.w3.org/2001/XMLSchema" xmlns:p="http://schemas.microsoft.com/office/2006/metadata/properties" xmlns:ns2="3d05c41d-42c7-4345-8236-8005f0c89855" xmlns:ns3="29065daa-3ce8-4783-94b0-fa366394ba57" targetNamespace="http://schemas.microsoft.com/office/2006/metadata/properties" ma:root="true" ma:fieldsID="2fff10ba4333f073fbb358ab87328e47" ns2:_="" ns3:_="">
    <xsd:import namespace="3d05c41d-42c7-4345-8236-8005f0c89855"/>
    <xsd:import namespace="29065daa-3ce8-4783-94b0-fa366394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_x0023_" minOccurs="0"/>
                <xsd:element ref="ns2:xvqq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c41d-42c7-4345-8236-8005f0c898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_x0023_" ma:index="14" nillable="true" ma:displayName="#" ma:format="Dropdown" ma:internalName="_x0023_" ma:percentage="FALSE">
      <xsd:simpleType>
        <xsd:restriction base="dms:Number"/>
      </xsd:simpleType>
    </xsd:element>
    <xsd:element name="xvqq" ma:index="15" nillable="true" ma:displayName="Number" ma:format="Dropdown" ma:indexed="true" ma:internalName="xvqq" ma:percentage="FALSE">
      <xsd:simpleType>
        <xsd:restriction base="dms:Number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ec475d-60a2-43c9-b028-7bc66b519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65daa-3ce8-4783-94b0-fa366394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4015a18-bcff-4be0-ac30-705c07765b3f}" ma:internalName="TaxCatchAll" ma:showField="CatchAllData" ma:web="29065daa-3ce8-4783-94b0-fa366394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65daa-3ce8-4783-94b0-fa366394ba57" xsi:nil="true"/>
    <_x0023_ xmlns="3d05c41d-42c7-4345-8236-8005f0c89855" xsi:nil="true"/>
    <xvqq xmlns="3d05c41d-42c7-4345-8236-8005f0c89855" xsi:nil="true"/>
    <Notes xmlns="3d05c41d-42c7-4345-8236-8005f0c89855" xsi:nil="true"/>
    <lcf76f155ced4ddcb4097134ff3c332f xmlns="3d05c41d-42c7-4345-8236-8005f0c8985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ECCADD-1756-4C62-ADFB-790B644C6904}"/>
</file>

<file path=customXml/itemProps2.xml><?xml version="1.0" encoding="utf-8"?>
<ds:datastoreItem xmlns:ds="http://schemas.openxmlformats.org/officeDocument/2006/customXml" ds:itemID="{E3B90A6E-DADC-4FBD-BB08-6865A0A0FA80}"/>
</file>

<file path=customXml/itemProps3.xml><?xml version="1.0" encoding="utf-8"?>
<ds:datastoreItem xmlns:ds="http://schemas.openxmlformats.org/officeDocument/2006/customXml" ds:itemID="{FE309DAC-1B3B-4AF0-A784-D744139F51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Jorge Lichtenstein</cp:lastModifiedBy>
  <cp:revision/>
  <dcterms:created xsi:type="dcterms:W3CDTF">2025-06-21T02:36:49Z</dcterms:created>
  <dcterms:modified xsi:type="dcterms:W3CDTF">2026-10-22T01:57:41Z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0x01010055B81500CF7E3342BB627D73BF202A2F</vt:lpwstr>
  </property>
  <property fmtid="{D5CDD505-2E9C-101B-9397-08002B2CF9AE}" pid="3" name="MediaServiceImageTags">
    <vt:lpwstr/>
  </property>
</Properties>
</file>