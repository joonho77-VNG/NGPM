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437" documentId="8_{D784482E-BCE5-43E9-B54D-DCF21C3AB99B}" xr6:coauthVersionLast="47" xr6:coauthVersionMax="47" xr10:uidLastSave="{17D5BB18-2DAA-4471-BFB1-67A4DD922C37}"/>
  <bookViews>
    <workbookView xWindow="28695" yWindow="-3645" windowWidth="38490" windowHeight="20985" activeTab="1" xr2:uid="{7496AAB9-9610-4154-B91D-ED1C66077D08}"/>
  </bookViews>
  <sheets>
    <sheet name="DEFECTS" sheetId="1" r:id="rId1"/>
    <sheet name="SUMMARY" sheetId="5" r:id="rId2"/>
    <sheet name="8" sheetId="4" r:id="rId3"/>
    <sheet name="16" sheetId="6" r:id="rId4"/>
    <sheet name="Sheet2" sheetId="3" state="hidden" r:id="rId5"/>
  </sheets>
  <definedNames>
    <definedName name="_xlnm._FilterDatabase" localSheetId="0" hidden="1">DEFECTS!$A$1:$N$51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<sst xmlns="http://schemas.openxmlformats.org/spreadsheetml/2006/main" count="194" uniqueCount="91">
  <si>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</si>
  <si>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</si>
  <si>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</si>
  <si>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</si>
  <si>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</si>
  <si>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</si>
  <si>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</si>
  <si>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</si>
  <si>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</si>
  <si>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 Comments</t>
  </si>
  <si>
    <t>Date
Retest</t>
  </si>
  <si>
    <t>Retest
Pass/Fail</t>
  </si>
  <si>
    <t>BSA Comments</t>
  </si>
  <si>
    <t>Dev Comments</t>
  </si>
  <si>
    <t>Both</t>
  </si>
  <si>
    <t>UI</t>
  </si>
  <si>
    <t>Minor</t>
  </si>
  <si>
    <t>New</t>
  </si>
  <si>
    <t>General</t>
  </si>
  <si>
    <t>Non-editable windows</t>
  </si>
  <si>
    <t>Rows shall have alternating light blue / white rows as data is not editable; current view is gradient rows which should be used on editable rows</t>
  </si>
  <si>
    <t>UI Guidelines #30</t>
  </si>
  <si>
    <t>3/26 SM - rows alternate in color</t>
  </si>
  <si>
    <t>Functionality</t>
  </si>
  <si>
    <t>Dt Processed</t>
  </si>
  <si>
    <t>Duplicate Dates in Filter</t>
  </si>
  <si>
    <t>Filter shows multiple rows for "02/03/2026"; should show one option and when applied, all applicable row(s) display</t>
  </si>
  <si>
    <t>Other columns (e.g., Reason, User Name) do not have this behavior, believe date might be tied to a timestamp that is showing multiple rows</t>
  </si>
  <si>
    <t>3/18 SM - has been addressed.</t>
  </si>
  <si>
    <t>F3 Refresh</t>
  </si>
  <si>
    <t>Can Refresh also reset column widths to default display?</t>
  </si>
  <si>
    <t>Apply same fix that was done for Court Control (ID #4)</t>
  </si>
  <si>
    <t>3/17 SM - has been addressed. retrofitted old code to use new solution that contains this fix</t>
  </si>
  <si>
    <t>Major</t>
  </si>
  <si>
    <t>When user selects check box, window loses focus and F3 keypress fails</t>
  </si>
  <si>
    <t>User has to click on window or highlight row for F3 keypress to work</t>
  </si>
  <si>
    <t>3/26 SM - has been addressed</t>
  </si>
  <si>
    <t>When user is at the bottom of the window and executes refresh, scroll bar placement remains the same</t>
  </si>
  <si>
    <t>Filters appear to reset when the refresh occurs, shouldn't the focus as well?</t>
  </si>
  <si>
    <t>Loading Wheel during Confirm Delete Message</t>
  </si>
  <si>
    <t>When "Confirm Delete" message appears, Purge Duplicate Cases Loading… wheel appears and spins indefinitely</t>
  </si>
  <si>
    <t>Only gray background should display - no loading wheel; should be treated the same as Pending Changes message</t>
  </si>
  <si>
    <t>3/17 SM - has been addressed.</t>
  </si>
  <si>
    <t>Confirm Delete - order of cases in message</t>
  </si>
  <si>
    <t>NG window displays case numbers/defendants(missing complaints) in what appears to be a predetermined order; PB window displays based on sorted order</t>
  </si>
  <si>
    <t>Adding for discussion since all cases appear in message and want info on display order in current NG message</t>
  </si>
  <si>
    <t>3/26 SM - leaving as is per meeting</t>
  </si>
  <si>
    <t>Vision logo added to refresh/loading wheel</t>
  </si>
  <si>
    <t>Please remove as image blocks data when saving</t>
  </si>
  <si>
    <t xml:space="preserve">UI Guidelines #5, #80 </t>
  </si>
  <si>
    <t>Web Only</t>
  </si>
  <si>
    <t>Pending Changes</t>
  </si>
  <si>
    <t>Scroll bar is added to right when Pending Changes message appears</t>
  </si>
  <si>
    <t>Is there a reason for it? If not can it be removed.</t>
  </si>
  <si>
    <t>3/18 SM - has been addressed. Overrroad CSS, this change is applicable for every window that has pending changes</t>
  </si>
  <si>
    <t>Checkbox sizes</t>
  </si>
  <si>
    <t>Match sizes of checkboxes to Bail Schedule for Sel and Multi-Defts columns</t>
  </si>
  <si>
    <t>Current display appears to be larger than Bail Schedule</t>
  </si>
  <si>
    <t>3/17 SM - has been addressed. Added e-small on both checkboxes.</t>
  </si>
  <si>
    <t>Check/Uncheck Sel box triggers Pending Changes message</t>
  </si>
  <si>
    <t>No pending changes as checkbox was unselected before refresh, should this message appear?</t>
  </si>
  <si>
    <t>Not sure if check and uncheck boxes count as "editing" row so adding for discussion</t>
  </si>
  <si>
    <t>3/26 SM - has been addressed. Removed pending changes. Now user can click/unclick and no pending changes msg appears</t>
  </si>
  <si>
    <t>Missing Window name from loading display</t>
  </si>
  <si>
    <t>Missing "Purge Duplicate Cases" in front of Loading text when window is opened</t>
  </si>
  <si>
    <t>Does not deny access when W_PRGIMM is not included</t>
  </si>
  <si>
    <t>Does not prevent user from accessing Purge Duplicate Cases window in blazor when the user does not have W_PRGIMM code</t>
  </si>
  <si>
    <t>4/1 SM - has been addressed</t>
  </si>
  <si>
    <t>Count of Status</t>
  </si>
  <si>
    <t>Column Labels</t>
  </si>
  <si>
    <t>QA #</t>
  </si>
  <si>
    <t>HH:MM</t>
  </si>
  <si>
    <t>Row Labels</t>
  </si>
  <si>
    <t>Grand Total</t>
  </si>
  <si>
    <t>Count of Bug Type</t>
  </si>
  <si>
    <t>Pass</t>
  </si>
  <si>
    <t>Regression</t>
  </si>
  <si>
    <t>Fail</t>
  </si>
  <si>
    <t>Retest In Progress</t>
  </si>
  <si>
    <t>Pass with Comments</t>
  </si>
  <si>
    <t>Return to Dev</t>
  </si>
  <si>
    <t>Resolved</t>
  </si>
  <si>
    <t>No Action</t>
  </si>
  <si>
    <t>Count of Scenario Type</t>
  </si>
  <si>
    <t>04/22 - see ID 16</t>
  </si>
  <si>
    <t>Deny access when W_PRGIMM is not included</t>
  </si>
  <si>
    <t>Access Denied message appears however, user is unable to continue to navigate elsewhere in web app
Using back arrow on web browser triggers the same message</t>
  </si>
  <si>
    <t>04/22 - confirmed to leave as is but may need to revisit in future windows</t>
  </si>
  <si>
    <t>04/22 - refresh removed as select box is not counted as editied field</t>
  </si>
  <si>
    <t>04/22 - need to address later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</si>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</sst>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3" fillId="0" borderId="0" xfId="0" applyFont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20" fontId="8" fillId="4" borderId="3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0" fillId="0" borderId="0" xfId="0" pivotButton="1" applyFont="1"/>
    <xf numFmtId="0" fontId="10" fillId="0" borderId="0" xfId="0" applyFont="1"/>
    <xf numFmtId="0" fontId="10" fillId="0" borderId="2" xfId="0" applyNumberFormat="1" applyFont="1" applyBorder="1"/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3" fillId="0" borderId="1" xfId="1" applyFont="1" applyBorder="1" applyAlignment="1">
      <alignment horizontal="left" vertical="top" wrapText="1"/>
    </xf>
    <xf numFmtId="0" fontId="11" fillId="4" borderId="2" xfId="0" applyNumberFormat="1" applyFont="1" applyFill="1" applyBorder="1"/>
    <xf numFmtId="14" fontId="11" fillId="4" borderId="4" xfId="0" applyNumberFormat="1" applyFont="1" applyFill="1" applyBorder="1" applyAlignment="1">
      <alignment horizontal="left"/>
    </xf>
    <xf numFmtId="0" fontId="10" fillId="0" borderId="4" xfId="0" pivotButton="1" applyFont="1" applyBorder="1"/>
    <xf numFmtId="0" fontId="10" fillId="0" borderId="4" xfId="0" applyFont="1" applyBorder="1" applyAlignment="1">
      <alignment horizontal="left" indent="1"/>
    </xf>
    <xf numFmtId="0" fontId="10" fillId="0" borderId="3" xfId="0" applyFont="1" applyBorder="1" applyAlignment="1">
      <alignment horizontal="left" indent="2"/>
    </xf>
    <xf numFmtId="0" fontId="10" fillId="0" borderId="4" xfId="0" applyFont="1" applyBorder="1" applyAlignment="1">
      <alignment horizontal="left" indent="2"/>
    </xf>
    <xf numFmtId="0" fontId="14" fillId="4" borderId="2" xfId="0" applyNumberFormat="1" applyFont="1" applyFill="1" applyBorder="1"/>
    <xf numFmtId="14" fontId="14" fillId="4" borderId="4" xfId="0" applyNumberFormat="1" applyFont="1" applyFill="1" applyBorder="1" applyAlignment="1">
      <alignment horizontal="left"/>
    </xf>
    <xf numFmtId="0" fontId="10" fillId="0" borderId="4" xfId="0" applyFont="1" applyBorder="1"/>
    <xf numFmtId="0" fontId="10" fillId="0" borderId="5" xfId="0" applyFont="1" applyBorder="1"/>
  </cellXfs>
  <cellStyles count="2">
    <cellStyle name="Hyperlink" xfId="1" builtinId="8"/>
    <cellStyle name="Normal" xfId="0" builtinId="0"/>
  </cellStyles>
  <dxfs count="51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30</xdr:col>
      <xdr:colOff>554995</xdr:colOff>
      <xdr:row>52</xdr:row>
      <xdr:rowOff>144251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0E647-E88C-1172-FC46-6CBC88BBE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8233395" cy="98597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30</xdr:col>
      <xdr:colOff>559695</xdr:colOff>
      <xdr:row>104</xdr:row>
      <xdr:rowOff>113071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760B6F-2BFF-0596-B177-9ADA80A43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096500"/>
          <a:ext cx="18238095" cy="9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30</xdr:col>
      <xdr:colOff>554995</xdr:colOff>
      <xdr:row>52</xdr:row>
      <xdr:rowOff>87093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A9FC4-68F9-A712-7AE3-19BB57B7B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8233395" cy="980259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anie Uyehara" refreshedDate="46134.465627893522" createdVersion="8" refreshedVersion="8" minRefreshableVersion="3" recordCount="51" xr:uid="{D3BD1819-96BE-476F-9AA5-7B9145AA74BA}">
  <cacheSource type="worksheet">
    <worksheetSource ref="B1:F1048576" sheet="DEFECTS"/>
  </cacheSource>
  <cacheFields count="7">
    <cacheField name="Date Tested" numFmtId="0">
      <sharedItems containsNonDate="0" containsDate="1" containsString="0" containsBlank="1" minDate="2026-03-03T00:00:00" maxDate="2026-04-23T00:00:00" count="3">
        <d v="2026-03-03T00:00:00"/>
        <d v="2026-04-22T00:00:00"/>
        <m/>
      </sharedItems>
      <fieldGroup par="6"/>
    </cacheField>
    <cacheField name="Interface" numFmtId="0">
      <sharedItems containsBlank="1"/>
    </cacheField>
    <cacheField name="Scenario Type" numFmtId="0">
      <sharedItems containsBlank="1" count="3">
        <s v="UI"/>
        <s v="Functionality"/>
        <m/>
      </sharedItems>
    </cacheField>
    <cacheField name="Bug Type" numFmtId="0">
      <sharedItems containsBlank="1" count="3">
        <s v="Minor"/>
        <s v="Major"/>
        <m/>
      </sharedItems>
    </cacheField>
    <cacheField name="Status" numFmtId="0">
      <sharedItems containsBlank="1" count="5">
        <s v="Resolved"/>
        <s v="No Action"/>
        <m/>
        <s v="Return to Dev" u="1"/>
        <s v="New" u="1"/>
      </sharedItems>
    </cacheField>
    <cacheField name="Days (Date Tested)" numFmtId="0" databaseField="0">
      <fieldGroup base="0">
        <rangePr groupBy="days" startDate="2026-03-03T00:00:00" endDate="2026-04-23T00:00:00"/>
        <groupItems count="368">
          <s v="&lt;3/3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3/2026"/>
        </groupItems>
      </fieldGroup>
    </cacheField>
    <cacheField name="Months (Date Tested)" numFmtId="0" databaseField="0">
      <fieldGroup base="0">
        <rangePr groupBy="months" startDate="2026-03-03T00:00:00" endDate="2026-04-23T00:00:00"/>
        <groupItems count="14">
          <s v="&lt;3/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Both"/>
    <x v="0"/>
    <x v="0"/>
    <x v="0"/>
  </r>
  <r>
    <x v="0"/>
    <s v="Both"/>
    <x v="1"/>
    <x v="0"/>
    <x v="0"/>
  </r>
  <r>
    <x v="0"/>
    <s v="Both"/>
    <x v="1"/>
    <x v="0"/>
    <x v="0"/>
  </r>
  <r>
    <x v="0"/>
    <s v="Both"/>
    <x v="1"/>
    <x v="1"/>
    <x v="0"/>
  </r>
  <r>
    <x v="0"/>
    <s v="Both"/>
    <x v="1"/>
    <x v="1"/>
    <x v="0"/>
  </r>
  <r>
    <x v="0"/>
    <s v="Both"/>
    <x v="0"/>
    <x v="0"/>
    <x v="0"/>
  </r>
  <r>
    <x v="0"/>
    <s v="Both"/>
    <x v="0"/>
    <x v="0"/>
    <x v="0"/>
  </r>
  <r>
    <x v="0"/>
    <s v="Both"/>
    <x v="0"/>
    <x v="0"/>
    <x v="0"/>
  </r>
  <r>
    <x v="0"/>
    <s v="Web Only"/>
    <x v="0"/>
    <x v="0"/>
    <x v="0"/>
  </r>
  <r>
    <x v="0"/>
    <s v="Both"/>
    <x v="0"/>
    <x v="0"/>
    <x v="0"/>
  </r>
  <r>
    <x v="0"/>
    <s v="Both"/>
    <x v="1"/>
    <x v="0"/>
    <x v="0"/>
  </r>
  <r>
    <x v="0"/>
    <s v="Both"/>
    <x v="0"/>
    <x v="0"/>
    <x v="0"/>
  </r>
  <r>
    <x v="0"/>
    <s v="Web Only"/>
    <x v="1"/>
    <x v="1"/>
    <x v="0"/>
  </r>
  <r>
    <x v="1"/>
    <s v="Web Only"/>
    <x v="1"/>
    <x v="1"/>
    <x v="1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  <r>
    <x v="2"/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74FB4-661F-4A4F-9137-B0B4221A05F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P5" firstHeaderRow="1" firstDataRow="1" firstDataCol="1"/>
  <pivotFields count="7">
    <pivotField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Bug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D30CA-4D39-43E5-A1B5-C4C6948177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6" firstHeaderRow="1" firstDataRow="1" firstDataCol="1"/>
  <pivotFields count="7">
    <pivotField showAll="0">
      <items count="4">
        <item x="0"/>
        <item x="1"/>
        <item x="2"/>
        <item t="default"/>
      </items>
    </pivotField>
    <pivotField showAll="0"/>
    <pivotField dataField="1" showAll="0">
      <items count="4">
        <item x="1"/>
        <item x="0"/>
        <item h="1" x="2"/>
        <item t="default"/>
      </items>
    </pivotField>
    <pivotField showAll="0"/>
    <pivotField axis="axisRow" showAll="0">
      <items count="6">
        <item m="1" x="4"/>
        <item x="1"/>
        <item x="0"/>
        <item m="1" x="3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 v="1"/>
    </i>
    <i>
      <x v="2"/>
    </i>
    <i>
      <x v="4"/>
    </i>
    <i t="grand">
      <x/>
    </i>
  </rowItems>
  <colItems count="1">
    <i/>
  </colItems>
  <dataFields count="1">
    <dataField name="Count of Scenario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48F4A-B9DB-4C6D-A803-9C7D83B64E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F12" firstHeaderRow="1" firstDataRow="2" firstDataCol="1"/>
  <pivotFields count="7">
    <pivotField axis="axisRow" showAll="0">
      <items count="4">
        <item x="0"/>
        <item x="1"/>
        <item h="1" x="2"/>
        <item t="default"/>
      </items>
    </pivotField>
    <pivotField showAll="0"/>
    <pivotField axis="axisRow" showAll="0">
      <items count="4">
        <item x="1"/>
        <item x="0"/>
        <item h="1"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dataField="1" showAll="0">
      <items count="6">
        <item m="1" x="4"/>
        <item h="1" x="2"/>
        <item x="0"/>
        <item m="1" x="3"/>
        <item x="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0"/>
    <field x="2"/>
    <field x="3"/>
  </rowFields>
  <rowItems count="10">
    <i>
      <x/>
    </i>
    <i r="1">
      <x/>
    </i>
    <i r="2">
      <x/>
    </i>
    <i r="2">
      <x v="1"/>
    </i>
    <i r="1">
      <x v="1"/>
    </i>
    <i r="2">
      <x v="1"/>
    </i>
    <i>
      <x v="1"/>
    </i>
    <i r="1">
      <x/>
    </i>
    <i r="2">
      <x/>
    </i>
    <i t="grand">
      <x/>
    </i>
  </rowItems>
  <colFields count="1">
    <field x="4"/>
  </colFields>
  <colItems count="3">
    <i>
      <x v="2"/>
    </i>
    <i>
      <x v="4"/>
    </i>
    <i t="grand">
      <x/>
    </i>
  </colItems>
  <dataFields count="1">
    <dataField name="Count of Status" fld="4" subtotal="count" baseField="0" baseItem="0"/>
  </dataFields>
  <formats count="43"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4" type="button" dataOnly="0" labelOnly="1" outline="0" axis="axisCol" fieldPosition="0"/>
    </format>
    <format dxfId="46">
      <pivotArea type="topRight" dataOnly="0" labelOnly="1" outline="0" fieldPosition="0"/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4" count="1">
            <x v="0"/>
          </reference>
        </references>
      </pivotArea>
    </format>
    <format dxfId="43">
      <pivotArea dataOnly="0" labelOnly="1" grandCol="1" outline="0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4" type="button" dataOnly="0" labelOnly="1" outline="0" axis="axisCol" fieldPosition="0"/>
    </format>
    <format dxfId="38">
      <pivotArea type="topRight" dataOnly="0" labelOnly="1" outline="0" fieldPosition="0"/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4" count="1">
            <x v="0"/>
          </reference>
        </references>
      </pivotArea>
    </format>
    <format dxfId="35">
      <pivotArea dataOnly="0" labelOnly="1" grandCol="1" outline="0" fieldPosition="0"/>
    </format>
    <format dxfId="34">
      <pivotArea outline="0" collapsedLevelsAreSubtotals="1" fieldPosition="0"/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4" count="1">
            <x v="0"/>
          </reference>
        </references>
      </pivotArea>
    </format>
    <format dxfId="31">
      <pivotArea dataOnly="0" labelOnly="1" grandCol="1" outline="0" fieldPosition="0"/>
    </format>
    <format dxfId="30">
      <pivotArea field="2" type="button" dataOnly="0" labelOnly="1" outline="0" axis="axisRow" fieldPosition="1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fieldPosition="0">
        <references count="2"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27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6">
      <pivotArea collapsedLevelsAreSubtotals="1" fieldPosition="0">
        <references count="1">
          <reference field="0" count="1">
            <x v="0"/>
          </reference>
        </references>
      </pivotArea>
    </format>
    <format dxfId="25">
      <pivotArea dataOnly="0" labelOnly="1" fieldPosition="0">
        <references count="1">
          <reference field="0" count="1">
            <x v="0"/>
          </reference>
        </references>
      </pivotArea>
    </format>
    <format dxfId="24">
      <pivotArea collapsedLevelsAreSubtotals="1" fieldPosition="0">
        <references count="1">
          <reference field="0" count="1">
            <x v="0"/>
          </reference>
        </references>
      </pivotArea>
    </format>
    <format dxfId="23">
      <pivotArea dataOnly="0" labelOnly="1" fieldPosition="0">
        <references count="1">
          <reference field="0" count="1">
            <x v="0"/>
          </reference>
        </references>
      </pivotArea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17">
      <pivotArea dataOnly="0" labelOnly="1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16">
      <pivotArea dataOnly="0" labelOnly="1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15">
      <pivotArea dataOnly="0" labelOnly="1" fieldPosition="0">
        <references count="3">
          <reference field="0" count="1" selected="0">
            <x v="0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14">
      <pivotArea dataOnly="0" labelOnly="1" fieldPosition="0">
        <references count="3">
          <reference field="0" count="1" selected="0">
            <x v="1"/>
          </reference>
          <reference field="2" count="1" selected="0">
            <x v="0"/>
          </reference>
          <reference field="3" count="2">
            <x v="0"/>
            <x v="1"/>
          </reference>
        </references>
      </pivotArea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Col="1" outline="0" fieldPosition="0"/>
    </format>
    <format dxfId="11">
      <pivotArea collapsedLevelsAreSubtotals="1" fieldPosition="0">
        <references count="1">
          <reference field="0" count="1">
            <x v="1"/>
          </reference>
        </references>
      </pivotArea>
    </format>
    <format dxfId="10">
      <pivotArea dataOnly="0" labelOnly="1" fieldPosition="0">
        <references count="1">
          <reference field="0" count="1">
            <x v="1"/>
          </reference>
        </references>
      </pivotArea>
    </format>
    <format dxfId="9">
      <pivotArea collapsedLevelsAreSubtotals="1" fieldPosition="0">
        <references count="1">
          <reference field="0" count="1">
            <x v="1"/>
          </reference>
        </references>
      </pivotArea>
    </format>
    <format dxfId="8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O51"/>
  <sheetViews>
    <sheetView zoomScaleNormal="100" workbookViewId="0">
      <pane ySplit="1" topLeftCell="A2" activePane="bottomLeft" state="frozen"/>
      <selection activeCell="E2" sqref="A2:F1048576"/>
      <selection pane="bottomLeft" activeCell="B15" sqref="B15"/>
    </sheetView>
  </sheetViews>
  <sheetFormatPr defaultRowHeight="15" x14ac:dyDescent="0.25"/>
  <cols>
    <col min="1" max="1" width="3" style="8" bestFit="1" customWidth="1"/>
    <col min="2" max="2" width="9.28515625" style="8" bestFit="1" customWidth="1"/>
    <col min="3" max="3" width="9.7109375" style="8" bestFit="1" customWidth="1"/>
    <col min="4" max="4" width="12.5703125" style="8" bestFit="1" customWidth="1"/>
    <col min="5" max="5" width="9" style="8" bestFit="1" customWidth="1"/>
    <col min="6" max="6" width="17" style="8" bestFit="1" customWidth="1"/>
    <col min="7" max="7" width="12.42578125" style="8" bestFit="1" customWidth="1"/>
    <col min="8" max="8" width="20.5703125" style="3" bestFit="1" customWidth="1"/>
    <col min="9" max="10" width="50.7109375" style="8" customWidth="1"/>
    <col min="11" max="11" width="11.7109375" style="9" customWidth="1"/>
    <col min="12" max="12" width="17" style="8" customWidth="1"/>
    <col min="13" max="14" width="40.7109375" style="3" customWidth="1"/>
    <col min="15" max="15" width="23.5703125" style="8" bestFit="1" customWidth="1"/>
    <col min="16" max="16384" width="9.140625" style="8"/>
  </cols>
  <sheetData>
    <row r="1" spans="1:15" s="1" customFormat="1" ht="30" x14ac:dyDescent="0.25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26"/>
    </row>
    <row r="2" spans="1:15" ht="45" x14ac:dyDescent="0.25">
      <c r="A2" s="27">
        <v>1</v>
      </c>
      <c r="B2" s="28">
        <v>46084</v>
      </c>
      <c r="C2" s="29" t="s">
        <v>14</v>
      </c>
      <c r="D2" s="18" t="s">
        <v>15</v>
      </c>
      <c r="E2" s="18" t="s">
        <v>16</v>
      </c>
      <c r="F2" s="18" t="s">
        <v>81</v>
      </c>
      <c r="G2" s="18" t="s">
        <v>18</v>
      </c>
      <c r="H2" s="18" t="s">
        <v>19</v>
      </c>
      <c r="I2" s="18" t="s">
        <v>20</v>
      </c>
      <c r="J2" s="24" t="s">
        <v>21</v>
      </c>
      <c r="K2" s="30">
        <v>46134</v>
      </c>
      <c r="L2" s="18" t="s">
        <v>75</v>
      </c>
      <c r="M2" s="16"/>
      <c r="N2" s="16" t="s">
        <v>22</v>
      </c>
      <c r="O2" s="31"/>
    </row>
    <row r="3" spans="1:15" ht="45" x14ac:dyDescent="0.25">
      <c r="A3" s="32">
        <v>2</v>
      </c>
      <c r="B3" s="28">
        <v>46084</v>
      </c>
      <c r="C3" s="29" t="s">
        <v>14</v>
      </c>
      <c r="D3" s="18" t="s">
        <v>23</v>
      </c>
      <c r="E3" s="33" t="s">
        <v>16</v>
      </c>
      <c r="F3" s="18" t="s">
        <v>81</v>
      </c>
      <c r="G3" s="33" t="s">
        <v>24</v>
      </c>
      <c r="H3" s="33" t="s">
        <v>25</v>
      </c>
      <c r="I3" s="6" t="s">
        <v>26</v>
      </c>
      <c r="J3" s="33" t="s">
        <v>27</v>
      </c>
      <c r="K3" s="30">
        <v>46134</v>
      </c>
      <c r="L3" s="18" t="s">
        <v>75</v>
      </c>
      <c r="M3" s="17"/>
      <c r="N3" s="17" t="s">
        <v>28</v>
      </c>
      <c r="O3" s="31"/>
    </row>
    <row r="4" spans="1:15" ht="45" x14ac:dyDescent="0.25">
      <c r="A4" s="27">
        <v>3</v>
      </c>
      <c r="B4" s="28">
        <v>46084</v>
      </c>
      <c r="C4" s="29" t="s">
        <v>14</v>
      </c>
      <c r="D4" s="18" t="s">
        <v>23</v>
      </c>
      <c r="E4" s="18" t="s">
        <v>16</v>
      </c>
      <c r="F4" s="18" t="s">
        <v>81</v>
      </c>
      <c r="G4" s="18" t="s">
        <v>18</v>
      </c>
      <c r="H4" s="18" t="s">
        <v>29</v>
      </c>
      <c r="I4" s="18" t="s">
        <v>30</v>
      </c>
      <c r="J4" s="18" t="s">
        <v>31</v>
      </c>
      <c r="K4" s="30">
        <v>46134</v>
      </c>
      <c r="L4" s="18" t="s">
        <v>75</v>
      </c>
      <c r="M4" s="16"/>
      <c r="N4" s="16" t="s">
        <v>32</v>
      </c>
      <c r="O4" s="31"/>
    </row>
    <row r="5" spans="1:15" ht="30" x14ac:dyDescent="0.25">
      <c r="A5" s="27">
        <v>4</v>
      </c>
      <c r="B5" s="28">
        <v>46084</v>
      </c>
      <c r="C5" s="29" t="s">
        <v>14</v>
      </c>
      <c r="D5" s="18" t="s">
        <v>23</v>
      </c>
      <c r="E5" s="18" t="s">
        <v>33</v>
      </c>
      <c r="F5" s="18" t="s">
        <v>81</v>
      </c>
      <c r="G5" s="34" t="s">
        <v>18</v>
      </c>
      <c r="H5" s="18" t="s">
        <v>29</v>
      </c>
      <c r="I5" s="18" t="s">
        <v>34</v>
      </c>
      <c r="J5" s="18" t="s">
        <v>35</v>
      </c>
      <c r="K5" s="30">
        <v>46134</v>
      </c>
      <c r="L5" s="18" t="s">
        <v>75</v>
      </c>
      <c r="M5" s="10"/>
      <c r="N5" s="16" t="s">
        <v>36</v>
      </c>
      <c r="O5" s="31"/>
    </row>
    <row r="6" spans="1:15" ht="45" x14ac:dyDescent="0.25">
      <c r="A6" s="27">
        <v>5</v>
      </c>
      <c r="B6" s="28">
        <v>46084</v>
      </c>
      <c r="C6" s="29" t="s">
        <v>14</v>
      </c>
      <c r="D6" s="18" t="s">
        <v>23</v>
      </c>
      <c r="E6" s="18" t="s">
        <v>33</v>
      </c>
      <c r="F6" s="18" t="s">
        <v>81</v>
      </c>
      <c r="G6" s="18" t="s">
        <v>18</v>
      </c>
      <c r="H6" s="18" t="s">
        <v>29</v>
      </c>
      <c r="I6" s="18" t="s">
        <v>37</v>
      </c>
      <c r="J6" s="18" t="s">
        <v>38</v>
      </c>
      <c r="K6" s="30">
        <v>46134</v>
      </c>
      <c r="L6" s="18" t="s">
        <v>75</v>
      </c>
      <c r="M6" s="18"/>
      <c r="N6" s="18"/>
      <c r="O6" s="31"/>
    </row>
    <row r="7" spans="1:15" s="2" customFormat="1" ht="45" x14ac:dyDescent="0.25">
      <c r="A7" s="27">
        <v>6</v>
      </c>
      <c r="B7" s="28">
        <v>46084</v>
      </c>
      <c r="C7" s="29" t="s">
        <v>14</v>
      </c>
      <c r="D7" s="18" t="s">
        <v>15</v>
      </c>
      <c r="E7" s="18" t="s">
        <v>16</v>
      </c>
      <c r="F7" s="18" t="s">
        <v>81</v>
      </c>
      <c r="G7" s="34" t="s">
        <v>18</v>
      </c>
      <c r="H7" s="16" t="s">
        <v>39</v>
      </c>
      <c r="I7" s="16" t="s">
        <v>40</v>
      </c>
      <c r="J7" s="16" t="s">
        <v>41</v>
      </c>
      <c r="K7" s="30">
        <v>46134</v>
      </c>
      <c r="L7" s="18" t="s">
        <v>75</v>
      </c>
      <c r="M7" s="16"/>
      <c r="N7" s="16" t="s">
        <v>42</v>
      </c>
      <c r="O7" s="36"/>
    </row>
    <row r="8" spans="1:15" s="2" customFormat="1" ht="60" x14ac:dyDescent="0.25">
      <c r="A8" s="27">
        <v>7</v>
      </c>
      <c r="B8" s="28">
        <v>46084</v>
      </c>
      <c r="C8" s="29" t="s">
        <v>14</v>
      </c>
      <c r="D8" s="18" t="s">
        <v>15</v>
      </c>
      <c r="E8" s="18" t="s">
        <v>16</v>
      </c>
      <c r="F8" s="18" t="s">
        <v>81</v>
      </c>
      <c r="G8" s="18" t="s">
        <v>18</v>
      </c>
      <c r="H8" s="18" t="s">
        <v>43</v>
      </c>
      <c r="I8" s="7" t="s">
        <v>44</v>
      </c>
      <c r="J8" s="18" t="s">
        <v>45</v>
      </c>
      <c r="K8" s="35">
        <v>46134</v>
      </c>
      <c r="L8" s="18" t="s">
        <v>79</v>
      </c>
      <c r="M8" s="41" t="s">
        <v>87</v>
      </c>
      <c r="N8" s="18" t="s">
        <v>46</v>
      </c>
      <c r="O8" s="36"/>
    </row>
    <row r="9" spans="1:15" ht="45" x14ac:dyDescent="0.25">
      <c r="A9" s="27">
        <v>8</v>
      </c>
      <c r="B9" s="28">
        <v>46084</v>
      </c>
      <c r="C9" s="29" t="s">
        <v>14</v>
      </c>
      <c r="D9" s="18" t="s">
        <v>15</v>
      </c>
      <c r="E9" s="18" t="s">
        <v>16</v>
      </c>
      <c r="F9" s="18" t="s">
        <v>81</v>
      </c>
      <c r="G9" s="7" t="s">
        <v>18</v>
      </c>
      <c r="H9" s="18" t="s">
        <v>47</v>
      </c>
      <c r="I9" s="7" t="s">
        <v>48</v>
      </c>
      <c r="J9" s="25" t="s">
        <v>49</v>
      </c>
      <c r="K9" s="30">
        <v>46134</v>
      </c>
      <c r="L9" s="18" t="s">
        <v>75</v>
      </c>
      <c r="M9" s="16"/>
      <c r="N9" s="16" t="s">
        <v>36</v>
      </c>
      <c r="O9" s="31"/>
    </row>
    <row r="10" spans="1:15" ht="45" x14ac:dyDescent="0.25">
      <c r="A10" s="27">
        <v>9</v>
      </c>
      <c r="B10" s="28">
        <v>46084</v>
      </c>
      <c r="C10" s="29" t="s">
        <v>50</v>
      </c>
      <c r="D10" s="18" t="s">
        <v>15</v>
      </c>
      <c r="E10" s="18" t="s">
        <v>16</v>
      </c>
      <c r="F10" s="18" t="s">
        <v>81</v>
      </c>
      <c r="G10" s="7" t="s">
        <v>18</v>
      </c>
      <c r="H10" s="7" t="s">
        <v>51</v>
      </c>
      <c r="I10" s="7" t="s">
        <v>52</v>
      </c>
      <c r="J10" s="7" t="s">
        <v>53</v>
      </c>
      <c r="K10" s="30">
        <v>46134</v>
      </c>
      <c r="L10" s="18" t="s">
        <v>75</v>
      </c>
      <c r="M10" s="42" t="s">
        <v>88</v>
      </c>
      <c r="N10" s="16" t="s">
        <v>54</v>
      </c>
      <c r="O10" s="31"/>
    </row>
    <row r="11" spans="1:15" ht="30" x14ac:dyDescent="0.25">
      <c r="A11" s="27">
        <v>10</v>
      </c>
      <c r="B11" s="28">
        <v>46084</v>
      </c>
      <c r="C11" s="29" t="s">
        <v>14</v>
      </c>
      <c r="D11" s="18" t="s">
        <v>15</v>
      </c>
      <c r="E11" s="18" t="s">
        <v>16</v>
      </c>
      <c r="F11" s="18" t="s">
        <v>81</v>
      </c>
      <c r="G11" s="7" t="s">
        <v>18</v>
      </c>
      <c r="H11" s="7" t="s">
        <v>55</v>
      </c>
      <c r="I11" s="7" t="s">
        <v>56</v>
      </c>
      <c r="J11" s="7" t="s">
        <v>57</v>
      </c>
      <c r="K11" s="30">
        <v>46134</v>
      </c>
      <c r="L11" s="18" t="s">
        <v>75</v>
      </c>
      <c r="M11" s="16"/>
      <c r="N11" s="16" t="s">
        <v>58</v>
      </c>
      <c r="O11" s="31"/>
    </row>
    <row r="12" spans="1:15" ht="60" x14ac:dyDescent="0.25">
      <c r="A12" s="27">
        <v>11</v>
      </c>
      <c r="B12" s="28">
        <v>46084</v>
      </c>
      <c r="C12" s="29" t="s">
        <v>14</v>
      </c>
      <c r="D12" s="18" t="s">
        <v>23</v>
      </c>
      <c r="E12" s="18" t="s">
        <v>16</v>
      </c>
      <c r="F12" s="18" t="s">
        <v>81</v>
      </c>
      <c r="G12" s="7" t="s">
        <v>18</v>
      </c>
      <c r="H12" s="7" t="s">
        <v>59</v>
      </c>
      <c r="I12" s="7" t="s">
        <v>60</v>
      </c>
      <c r="J12" s="7" t="s">
        <v>61</v>
      </c>
      <c r="K12" s="30">
        <v>46134</v>
      </c>
      <c r="L12" s="18" t="s">
        <v>75</v>
      </c>
      <c r="M12" s="42" t="s">
        <v>88</v>
      </c>
      <c r="N12" s="16" t="s">
        <v>62</v>
      </c>
      <c r="O12" s="31"/>
    </row>
    <row r="13" spans="1:15" ht="45" x14ac:dyDescent="0.25">
      <c r="A13" s="27">
        <v>12</v>
      </c>
      <c r="B13" s="28">
        <v>46084</v>
      </c>
      <c r="C13" s="29" t="s">
        <v>14</v>
      </c>
      <c r="D13" s="18" t="s">
        <v>15</v>
      </c>
      <c r="E13" s="18" t="s">
        <v>16</v>
      </c>
      <c r="F13" s="18" t="s">
        <v>81</v>
      </c>
      <c r="G13" s="7" t="s">
        <v>18</v>
      </c>
      <c r="H13" s="18" t="s">
        <v>63</v>
      </c>
      <c r="I13" s="7" t="s">
        <v>64</v>
      </c>
      <c r="J13" s="7"/>
      <c r="K13" s="30">
        <v>46134</v>
      </c>
      <c r="L13" s="18" t="s">
        <v>75</v>
      </c>
      <c r="M13" s="16"/>
      <c r="N13" s="16" t="s">
        <v>42</v>
      </c>
      <c r="O13" s="31"/>
    </row>
    <row r="14" spans="1:15" ht="45" x14ac:dyDescent="0.25">
      <c r="A14" s="27">
        <v>13</v>
      </c>
      <c r="B14" s="28">
        <v>46084</v>
      </c>
      <c r="C14" s="29" t="s">
        <v>50</v>
      </c>
      <c r="D14" s="18" t="s">
        <v>23</v>
      </c>
      <c r="E14" s="18" t="s">
        <v>33</v>
      </c>
      <c r="F14" s="18" t="s">
        <v>81</v>
      </c>
      <c r="G14" s="18" t="s">
        <v>18</v>
      </c>
      <c r="H14" s="41" t="s">
        <v>65</v>
      </c>
      <c r="I14" s="7" t="s">
        <v>66</v>
      </c>
      <c r="J14" s="18"/>
      <c r="K14" s="30">
        <v>46134</v>
      </c>
      <c r="L14" s="18" t="s">
        <v>79</v>
      </c>
      <c r="M14" s="10" t="s">
        <v>84</v>
      </c>
      <c r="N14" s="10" t="s">
        <v>67</v>
      </c>
      <c r="O14" s="31"/>
    </row>
    <row r="15" spans="1:15" ht="75" x14ac:dyDescent="0.25">
      <c r="A15" s="27">
        <v>14</v>
      </c>
      <c r="B15" s="29">
        <v>46134</v>
      </c>
      <c r="C15" s="29" t="s">
        <v>50</v>
      </c>
      <c r="D15" s="18" t="s">
        <v>23</v>
      </c>
      <c r="E15" s="18" t="s">
        <v>33</v>
      </c>
      <c r="F15" s="18" t="s">
        <v>82</v>
      </c>
      <c r="G15" s="41" t="s">
        <v>18</v>
      </c>
      <c r="H15" s="43" t="s">
        <v>85</v>
      </c>
      <c r="I15" s="7" t="s">
        <v>86</v>
      </c>
      <c r="J15" s="18"/>
      <c r="K15" s="30">
        <v>46134</v>
      </c>
      <c r="L15" s="18" t="s">
        <v>75</v>
      </c>
      <c r="M15" s="10" t="s">
        <v>89</v>
      </c>
      <c r="N15" s="16"/>
      <c r="O15" s="31"/>
    </row>
    <row r="16" spans="1:15" x14ac:dyDescent="0.25">
      <c r="A16" s="27">
        <v>15</v>
      </c>
      <c r="B16" s="29"/>
      <c r="C16" s="29"/>
      <c r="D16" s="18"/>
      <c r="E16" s="18"/>
      <c r="F16" s="18"/>
      <c r="G16" s="41"/>
      <c r="H16" s="41"/>
      <c r="I16" s="7"/>
      <c r="J16" s="34"/>
      <c r="K16" s="29"/>
      <c r="L16" s="18"/>
      <c r="M16" s="10"/>
      <c r="N16" s="10"/>
      <c r="O16" s="31"/>
    </row>
    <row r="17" spans="1:14" x14ac:dyDescent="0.25">
      <c r="A17" s="27">
        <v>16</v>
      </c>
      <c r="B17" s="29"/>
      <c r="C17" s="29"/>
      <c r="D17" s="18"/>
      <c r="E17" s="18"/>
      <c r="F17" s="18"/>
      <c r="G17" s="41"/>
      <c r="H17" s="41"/>
      <c r="I17" s="7"/>
      <c r="J17" s="34"/>
      <c r="K17" s="29"/>
      <c r="L17" s="18"/>
      <c r="M17" s="10"/>
      <c r="N17" s="10"/>
    </row>
    <row r="18" spans="1:14" x14ac:dyDescent="0.25">
      <c r="A18" s="27">
        <v>17</v>
      </c>
      <c r="B18" s="29"/>
      <c r="C18" s="29"/>
      <c r="D18" s="18"/>
      <c r="E18" s="18"/>
      <c r="F18" s="18"/>
      <c r="G18" s="41"/>
      <c r="H18" s="41"/>
      <c r="I18" s="7"/>
      <c r="J18" s="34"/>
      <c r="K18" s="29"/>
      <c r="L18" s="18"/>
      <c r="M18" s="16"/>
      <c r="N18" s="16"/>
    </row>
    <row r="19" spans="1:14" x14ac:dyDescent="0.25">
      <c r="A19" s="27">
        <v>18</v>
      </c>
      <c r="B19" s="29"/>
      <c r="C19" s="29"/>
      <c r="D19" s="18"/>
      <c r="E19" s="18"/>
      <c r="F19" s="18"/>
      <c r="G19" s="18"/>
      <c r="H19" s="18"/>
      <c r="I19" s="7"/>
      <c r="J19" s="34"/>
      <c r="K19" s="29"/>
      <c r="L19" s="18"/>
      <c r="M19" s="10"/>
      <c r="N19" s="10"/>
    </row>
    <row r="20" spans="1:14" x14ac:dyDescent="0.25">
      <c r="A20" s="37">
        <v>19</v>
      </c>
      <c r="B20" s="29"/>
      <c r="C20" s="29"/>
      <c r="D20" s="18"/>
      <c r="E20" s="18"/>
      <c r="F20" s="18"/>
      <c r="G20" s="34"/>
      <c r="H20" s="16"/>
      <c r="I20" s="16"/>
      <c r="J20" s="34"/>
      <c r="K20" s="29"/>
      <c r="L20" s="18"/>
      <c r="M20" s="16"/>
      <c r="N20" s="16"/>
    </row>
    <row r="21" spans="1:14" x14ac:dyDescent="0.25">
      <c r="A21" s="37">
        <v>20</v>
      </c>
      <c r="B21" s="29"/>
      <c r="C21" s="29"/>
      <c r="D21" s="18"/>
      <c r="E21" s="18"/>
      <c r="F21" s="18"/>
      <c r="G21" s="34"/>
      <c r="H21" s="16"/>
      <c r="I21" s="16"/>
      <c r="J21" s="34"/>
      <c r="K21" s="29"/>
      <c r="L21" s="18"/>
      <c r="M21" s="16"/>
      <c r="N21" s="16"/>
    </row>
    <row r="22" spans="1:14" x14ac:dyDescent="0.25">
      <c r="A22" s="37">
        <v>21</v>
      </c>
      <c r="B22" s="29"/>
      <c r="C22" s="29"/>
      <c r="D22" s="18"/>
      <c r="E22" s="18"/>
      <c r="F22" s="18"/>
      <c r="G22" s="34"/>
      <c r="H22" s="16"/>
      <c r="I22" s="16"/>
      <c r="J22" s="34"/>
      <c r="K22" s="29"/>
      <c r="L22" s="18"/>
      <c r="M22" s="16"/>
      <c r="N22" s="16"/>
    </row>
    <row r="23" spans="1:14" x14ac:dyDescent="0.25">
      <c r="A23" s="32">
        <v>22</v>
      </c>
      <c r="B23" s="29"/>
      <c r="C23" s="29"/>
      <c r="D23" s="18"/>
      <c r="E23" s="33"/>
      <c r="F23" s="18"/>
      <c r="G23" s="33"/>
      <c r="H23" s="33"/>
      <c r="I23" s="6"/>
      <c r="J23" s="33"/>
      <c r="K23" s="29"/>
      <c r="L23" s="18"/>
      <c r="M23" s="16"/>
      <c r="N23" s="16"/>
    </row>
    <row r="24" spans="1:14" x14ac:dyDescent="0.25">
      <c r="A24" s="34">
        <v>23</v>
      </c>
      <c r="B24" s="29"/>
      <c r="C24" s="29"/>
      <c r="D24" s="18"/>
      <c r="E24" s="18"/>
      <c r="F24" s="18"/>
      <c r="G24" s="34"/>
      <c r="H24" s="16"/>
      <c r="I24" s="34"/>
      <c r="J24" s="34"/>
      <c r="K24" s="29"/>
      <c r="L24" s="18"/>
      <c r="M24" s="16"/>
      <c r="N24" s="16"/>
    </row>
    <row r="25" spans="1:14" x14ac:dyDescent="0.25">
      <c r="A25" s="34">
        <v>24</v>
      </c>
      <c r="B25" s="29"/>
      <c r="C25" s="29"/>
      <c r="D25" s="18"/>
      <c r="E25" s="18"/>
      <c r="F25" s="18"/>
      <c r="G25" s="34"/>
      <c r="H25" s="16"/>
      <c r="I25" s="16"/>
      <c r="J25" s="34"/>
      <c r="K25" s="29"/>
      <c r="L25" s="18"/>
      <c r="M25" s="16"/>
      <c r="N25" s="16"/>
    </row>
    <row r="26" spans="1:14" x14ac:dyDescent="0.25">
      <c r="A26" s="34">
        <v>25</v>
      </c>
      <c r="B26" s="29"/>
      <c r="C26" s="29"/>
      <c r="D26" s="18"/>
      <c r="E26" s="18"/>
      <c r="F26" s="18"/>
      <c r="G26" s="34"/>
      <c r="H26" s="16"/>
      <c r="I26" s="34"/>
      <c r="J26" s="34"/>
      <c r="K26" s="29"/>
      <c r="L26" s="18"/>
      <c r="M26" s="16"/>
      <c r="N26" s="16"/>
    </row>
    <row r="27" spans="1:14" x14ac:dyDescent="0.25">
      <c r="A27" s="34">
        <v>26</v>
      </c>
      <c r="B27" s="29"/>
      <c r="C27" s="29"/>
      <c r="D27" s="18"/>
      <c r="E27" s="18"/>
      <c r="F27" s="18"/>
      <c r="G27" s="34"/>
      <c r="H27" s="16"/>
      <c r="I27" s="16"/>
      <c r="J27" s="16"/>
      <c r="K27" s="29"/>
      <c r="L27" s="18"/>
      <c r="M27" s="16"/>
      <c r="N27" s="16"/>
    </row>
    <row r="28" spans="1:14" x14ac:dyDescent="0.25">
      <c r="A28" s="34">
        <v>27</v>
      </c>
      <c r="B28" s="29"/>
      <c r="C28" s="29"/>
      <c r="D28" s="18"/>
      <c r="E28" s="18"/>
      <c r="F28" s="18"/>
      <c r="G28" s="34"/>
      <c r="H28" s="16"/>
      <c r="I28" s="16"/>
      <c r="J28" s="34"/>
      <c r="K28" s="29"/>
      <c r="L28" s="18"/>
      <c r="M28" s="16"/>
      <c r="N28" s="16"/>
    </row>
    <row r="29" spans="1:14" x14ac:dyDescent="0.25">
      <c r="A29" s="34">
        <v>28</v>
      </c>
      <c r="B29" s="29"/>
      <c r="C29" s="29"/>
      <c r="D29" s="18"/>
      <c r="E29" s="18"/>
      <c r="F29" s="18"/>
      <c r="G29" s="34"/>
      <c r="H29" s="16"/>
      <c r="I29" s="16"/>
      <c r="J29" s="16"/>
      <c r="K29" s="29"/>
      <c r="L29" s="18"/>
      <c r="M29" s="16"/>
      <c r="N29" s="16"/>
    </row>
    <row r="30" spans="1:14" x14ac:dyDescent="0.25">
      <c r="A30" s="34">
        <v>29</v>
      </c>
      <c r="B30" s="29"/>
      <c r="C30" s="29"/>
      <c r="D30" s="18"/>
      <c r="E30" s="18"/>
      <c r="F30" s="18"/>
      <c r="G30" s="34"/>
      <c r="H30" s="16"/>
      <c r="I30" s="16"/>
      <c r="J30" s="16"/>
      <c r="K30" s="29"/>
      <c r="L30" s="18"/>
      <c r="M30" s="16"/>
      <c r="N30" s="16"/>
    </row>
    <row r="31" spans="1:14" x14ac:dyDescent="0.25">
      <c r="A31" s="34">
        <v>30</v>
      </c>
      <c r="B31" s="29"/>
      <c r="C31" s="29"/>
      <c r="D31" s="18"/>
      <c r="E31" s="18"/>
      <c r="F31" s="18"/>
      <c r="G31" s="34"/>
      <c r="H31" s="16"/>
      <c r="I31" s="16"/>
      <c r="J31" s="34"/>
      <c r="K31" s="29"/>
      <c r="L31" s="18"/>
      <c r="M31" s="16"/>
      <c r="N31" s="16"/>
    </row>
    <row r="32" spans="1:14" x14ac:dyDescent="0.25">
      <c r="A32" s="34">
        <v>31</v>
      </c>
      <c r="B32" s="29"/>
      <c r="C32" s="29"/>
      <c r="D32" s="18"/>
      <c r="E32" s="18"/>
      <c r="F32" s="18"/>
      <c r="G32" s="34"/>
      <c r="H32" s="16"/>
      <c r="I32" s="34"/>
      <c r="J32" s="34"/>
      <c r="K32" s="29"/>
      <c r="L32" s="18"/>
      <c r="M32" s="16"/>
      <c r="N32" s="16"/>
    </row>
    <row r="33" spans="1:14" x14ac:dyDescent="0.25">
      <c r="A33" s="34">
        <v>32</v>
      </c>
      <c r="B33" s="34"/>
      <c r="C33" s="29"/>
      <c r="D33" s="18"/>
      <c r="E33" s="18"/>
      <c r="F33" s="18"/>
      <c r="G33" s="34"/>
      <c r="H33" s="16"/>
      <c r="I33" s="34"/>
      <c r="J33" s="34"/>
      <c r="K33" s="29"/>
      <c r="L33" s="18"/>
      <c r="M33" s="16"/>
      <c r="N33" s="16"/>
    </row>
    <row r="34" spans="1:14" x14ac:dyDescent="0.25">
      <c r="A34" s="34">
        <v>33</v>
      </c>
      <c r="B34" s="34"/>
      <c r="C34" s="29"/>
      <c r="D34" s="18"/>
      <c r="E34" s="18"/>
      <c r="F34" s="18"/>
      <c r="G34" s="34"/>
      <c r="H34" s="16"/>
      <c r="I34" s="34"/>
      <c r="J34" s="34"/>
      <c r="K34" s="29"/>
      <c r="L34" s="18"/>
      <c r="M34" s="16"/>
      <c r="N34" s="16"/>
    </row>
    <row r="35" spans="1:14" x14ac:dyDescent="0.25">
      <c r="A35" s="34">
        <v>34</v>
      </c>
      <c r="B35" s="34"/>
      <c r="C35" s="29"/>
      <c r="D35" s="18"/>
      <c r="E35" s="18"/>
      <c r="F35" s="18"/>
      <c r="G35" s="34"/>
      <c r="H35" s="16"/>
      <c r="I35" s="34"/>
      <c r="J35" s="34"/>
      <c r="K35" s="29"/>
      <c r="L35" s="18"/>
      <c r="M35" s="16"/>
      <c r="N35" s="16"/>
    </row>
    <row r="36" spans="1:14" x14ac:dyDescent="0.25">
      <c r="A36" s="34">
        <v>35</v>
      </c>
      <c r="B36" s="34"/>
      <c r="C36" s="29"/>
      <c r="D36" s="18"/>
      <c r="E36" s="18"/>
      <c r="F36" s="18"/>
      <c r="G36" s="34"/>
      <c r="H36" s="16"/>
      <c r="I36" s="34"/>
      <c r="J36" s="34"/>
      <c r="K36" s="29"/>
      <c r="L36" s="18"/>
      <c r="M36" s="16"/>
      <c r="N36" s="16"/>
    </row>
    <row r="37" spans="1:14" x14ac:dyDescent="0.25">
      <c r="A37" s="34">
        <v>36</v>
      </c>
      <c r="B37" s="34"/>
      <c r="C37" s="29"/>
      <c r="D37" s="18"/>
      <c r="E37" s="18"/>
      <c r="F37" s="18"/>
      <c r="G37" s="34"/>
      <c r="H37" s="16"/>
      <c r="I37" s="34"/>
      <c r="J37" s="34"/>
      <c r="K37" s="29"/>
      <c r="L37" s="18"/>
      <c r="M37" s="16"/>
      <c r="N37" s="16"/>
    </row>
    <row r="38" spans="1:14" x14ac:dyDescent="0.25">
      <c r="A38" s="34">
        <v>37</v>
      </c>
      <c r="B38" s="34"/>
      <c r="C38" s="29"/>
      <c r="D38" s="18"/>
      <c r="E38" s="18"/>
      <c r="F38" s="18"/>
      <c r="G38" s="34"/>
      <c r="H38" s="16"/>
      <c r="I38" s="34"/>
      <c r="J38" s="34"/>
      <c r="K38" s="29"/>
      <c r="L38" s="18"/>
      <c r="M38" s="16"/>
      <c r="N38" s="16"/>
    </row>
    <row r="39" spans="1:14" x14ac:dyDescent="0.25">
      <c r="A39" s="34">
        <v>38</v>
      </c>
      <c r="B39" s="34"/>
      <c r="C39" s="29"/>
      <c r="D39" s="18"/>
      <c r="E39" s="18"/>
      <c r="F39" s="18"/>
      <c r="G39" s="34"/>
      <c r="H39" s="16"/>
      <c r="I39" s="34"/>
      <c r="J39" s="34"/>
      <c r="K39" s="29"/>
      <c r="L39" s="18"/>
      <c r="M39" s="16"/>
      <c r="N39" s="16"/>
    </row>
    <row r="40" spans="1:14" x14ac:dyDescent="0.25">
      <c r="A40" s="34">
        <v>39</v>
      </c>
      <c r="B40" s="34"/>
      <c r="C40" s="29"/>
      <c r="D40" s="18"/>
      <c r="E40" s="18"/>
      <c r="F40" s="18"/>
      <c r="G40" s="34"/>
      <c r="H40" s="16"/>
      <c r="I40" s="34"/>
      <c r="J40" s="34"/>
      <c r="K40" s="29"/>
      <c r="L40" s="18"/>
      <c r="M40" s="16"/>
      <c r="N40" s="16"/>
    </row>
    <row r="41" spans="1:14" x14ac:dyDescent="0.25">
      <c r="A41" s="34">
        <v>40</v>
      </c>
      <c r="B41" s="34"/>
      <c r="C41" s="29"/>
      <c r="D41" s="18"/>
      <c r="E41" s="18"/>
      <c r="F41" s="18"/>
      <c r="G41" s="34"/>
      <c r="H41" s="16"/>
      <c r="I41" s="34"/>
      <c r="J41" s="34"/>
      <c r="K41" s="29"/>
      <c r="L41" s="18"/>
      <c r="M41" s="16"/>
      <c r="N41" s="16"/>
    </row>
    <row r="42" spans="1:14" x14ac:dyDescent="0.25">
      <c r="A42" s="34">
        <v>41</v>
      </c>
      <c r="B42" s="34"/>
      <c r="C42" s="29"/>
      <c r="D42" s="18"/>
      <c r="E42" s="18"/>
      <c r="F42" s="18"/>
      <c r="G42" s="34"/>
      <c r="H42" s="16"/>
      <c r="I42" s="34"/>
      <c r="J42" s="34"/>
      <c r="K42" s="29"/>
      <c r="L42" s="18"/>
      <c r="M42" s="16"/>
      <c r="N42" s="16"/>
    </row>
    <row r="43" spans="1:14" x14ac:dyDescent="0.25">
      <c r="A43" s="34">
        <v>42</v>
      </c>
      <c r="B43" s="34"/>
      <c r="C43" s="29"/>
      <c r="D43" s="18"/>
      <c r="E43" s="18"/>
      <c r="F43" s="18"/>
      <c r="G43" s="34"/>
      <c r="H43" s="16"/>
      <c r="I43" s="34"/>
      <c r="J43" s="34"/>
      <c r="K43" s="29"/>
      <c r="L43" s="18"/>
      <c r="M43" s="16"/>
      <c r="N43" s="16"/>
    </row>
    <row r="44" spans="1:14" x14ac:dyDescent="0.25">
      <c r="A44" s="34">
        <v>43</v>
      </c>
      <c r="B44" s="34"/>
      <c r="C44" s="29"/>
      <c r="D44" s="18"/>
      <c r="E44" s="18"/>
      <c r="F44" s="18"/>
      <c r="G44" s="34"/>
      <c r="H44" s="16"/>
      <c r="I44" s="34"/>
      <c r="J44" s="34"/>
      <c r="K44" s="29"/>
      <c r="L44" s="18"/>
      <c r="M44" s="16"/>
      <c r="N44" s="16"/>
    </row>
    <row r="45" spans="1:14" x14ac:dyDescent="0.25">
      <c r="A45" s="34">
        <v>44</v>
      </c>
      <c r="B45" s="34"/>
      <c r="C45" s="29"/>
      <c r="D45" s="18"/>
      <c r="E45" s="18"/>
      <c r="F45" s="18"/>
      <c r="G45" s="34"/>
      <c r="H45" s="16"/>
      <c r="I45" s="34"/>
      <c r="J45" s="34"/>
      <c r="K45" s="29"/>
      <c r="L45" s="18"/>
      <c r="M45" s="16"/>
      <c r="N45" s="16"/>
    </row>
    <row r="46" spans="1:14" x14ac:dyDescent="0.25">
      <c r="A46" s="34">
        <v>45</v>
      </c>
      <c r="B46" s="34"/>
      <c r="C46" s="29"/>
      <c r="D46" s="18"/>
      <c r="E46" s="18"/>
      <c r="F46" s="18"/>
      <c r="G46" s="34"/>
      <c r="H46" s="16"/>
      <c r="I46" s="34"/>
      <c r="J46" s="34"/>
      <c r="K46" s="29"/>
      <c r="L46" s="18"/>
      <c r="M46" s="16"/>
      <c r="N46" s="16"/>
    </row>
    <row r="47" spans="1:14" x14ac:dyDescent="0.25">
      <c r="A47" s="34">
        <v>46</v>
      </c>
      <c r="B47" s="34"/>
      <c r="C47" s="29"/>
      <c r="D47" s="18"/>
      <c r="E47" s="18"/>
      <c r="F47" s="18"/>
      <c r="G47" s="34"/>
      <c r="H47" s="16"/>
      <c r="I47" s="34"/>
      <c r="J47" s="34"/>
      <c r="K47" s="29"/>
      <c r="L47" s="18"/>
      <c r="M47" s="16"/>
      <c r="N47" s="16"/>
    </row>
    <row r="48" spans="1:14" x14ac:dyDescent="0.25">
      <c r="A48" s="34">
        <v>47</v>
      </c>
      <c r="B48" s="34"/>
      <c r="C48" s="29"/>
      <c r="D48" s="18"/>
      <c r="E48" s="18"/>
      <c r="F48" s="18"/>
      <c r="G48" s="34"/>
      <c r="H48" s="16"/>
      <c r="I48" s="34"/>
      <c r="J48" s="34"/>
      <c r="K48" s="29"/>
      <c r="L48" s="18"/>
      <c r="M48" s="16"/>
      <c r="N48" s="16"/>
    </row>
    <row r="49" spans="1:14" x14ac:dyDescent="0.25">
      <c r="A49" s="34">
        <v>48</v>
      </c>
      <c r="B49" s="34"/>
      <c r="C49" s="29"/>
      <c r="D49" s="18"/>
      <c r="E49" s="18"/>
      <c r="F49" s="18"/>
      <c r="G49" s="34"/>
      <c r="H49" s="16"/>
      <c r="I49" s="34"/>
      <c r="J49" s="34"/>
      <c r="K49" s="29"/>
      <c r="L49" s="18"/>
      <c r="M49" s="16"/>
      <c r="N49" s="16"/>
    </row>
    <row r="50" spans="1:14" x14ac:dyDescent="0.25">
      <c r="A50" s="34">
        <v>49</v>
      </c>
      <c r="B50" s="34"/>
      <c r="C50" s="29"/>
      <c r="D50" s="18"/>
      <c r="E50" s="18"/>
      <c r="F50" s="18"/>
      <c r="G50" s="34"/>
      <c r="H50" s="16"/>
      <c r="I50" s="34"/>
      <c r="J50" s="34"/>
      <c r="K50" s="29"/>
      <c r="L50" s="18"/>
      <c r="M50" s="16"/>
      <c r="N50" s="16"/>
    </row>
    <row r="51" spans="1:14" x14ac:dyDescent="0.25">
      <c r="A51" s="34">
        <v>50</v>
      </c>
      <c r="B51" s="34"/>
      <c r="C51" s="29"/>
      <c r="D51" s="18"/>
      <c r="E51" s="18"/>
      <c r="F51" s="18"/>
      <c r="G51" s="34"/>
      <c r="H51" s="16"/>
      <c r="I51" s="34"/>
      <c r="J51" s="34"/>
      <c r="K51" s="29"/>
      <c r="L51" s="18"/>
      <c r="M51" s="16"/>
      <c r="N51" s="16"/>
    </row>
  </sheetData>
  <autoFilter ref="A1:N51" xr:uid="{AC2894D6-04F1-40B9-AE17-FEC113C806B4}"/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25" operator="containsText" text="Pass with Comments">
      <formula>NOT(ISERROR(SEARCH("Pass with Comments",L2)))</formula>
    </cfRule>
    <cfRule type="containsText" dxfId="1" priority="26" operator="containsText" text="Fail">
      <formula>NOT(ISERROR(SEARCH("Fail",L2)))</formula>
    </cfRule>
    <cfRule type="containsText" dxfId="0" priority="27" operator="containsText" text="Pass">
      <formula>NOT(ISERROR(SEARCH("Pass",L2)))</formula>
    </cfRule>
  </conditionalFormatting>
  <dataValidations count="1">
    <dataValidation type="list" allowBlank="1" showInputMessage="1" showErrorMessage="1" sqref="C2:C51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L2:L51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E2:E3 E5 E8:E1048576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D2:D3 D5 D9:D51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E5A9-9863-415D-B5BF-5476F0E39B79}">
  <dimension ref="A1:Q19"/>
  <sheetViews>
    <sheetView tabSelected="1" topLeftCell="A2" workbookViewId="0">
      <selection activeCell="L2" sqref="L2"/>
    </sheetView>
  </sheetViews>
  <sheetFormatPr defaultRowHeight="15" x14ac:dyDescent="0.25"/>
  <cols>
    <col min="1" max="2" width="9.140625" style="11"/>
    <col min="3" max="3" width="16.42578125" style="11" bestFit="1" customWidth="1"/>
    <col min="4" max="4" width="16.28515625" style="11" bestFit="1" customWidth="1"/>
    <col min="5" max="5" width="9.7109375" style="11" bestFit="1" customWidth="1"/>
    <col min="6" max="7" width="11.28515625" style="11" bestFit="1" customWidth="1"/>
    <col min="8" max="8" width="15.140625" style="11" bestFit="1" customWidth="1"/>
    <col min="9" max="9" width="18.28515625" style="11" bestFit="1" customWidth="1"/>
    <col min="10" max="10" width="11.28515625" style="11" bestFit="1" customWidth="1"/>
    <col min="11" max="11" width="9.140625" style="11"/>
    <col min="12" max="12" width="13.42578125" style="11" bestFit="1" customWidth="1"/>
    <col min="13" max="13" width="22.28515625" style="11" bestFit="1" customWidth="1"/>
    <col min="14" max="14" width="9.140625" style="11"/>
    <col min="15" max="15" width="13.42578125" style="11" bestFit="1" customWidth="1"/>
    <col min="16" max="16" width="17.5703125" style="11" bestFit="1" customWidth="1"/>
    <col min="17" max="16384" width="9.140625" style="11"/>
  </cols>
  <sheetData>
    <row r="1" spans="1:17" hidden="1" x14ac:dyDescent="0.25">
      <c r="A1" s="26"/>
      <c r="B1" s="26"/>
      <c r="C1" s="19" t="s">
        <v>68</v>
      </c>
      <c r="D1" s="19" t="s">
        <v>69</v>
      </c>
      <c r="E1" s="20"/>
      <c r="F1" s="20"/>
      <c r="G1"/>
      <c r="H1"/>
      <c r="I1"/>
      <c r="J1"/>
    </row>
    <row r="2" spans="1:17" x14ac:dyDescent="0.25">
      <c r="A2" s="12" t="s">
        <v>70</v>
      </c>
      <c r="B2" s="13" t="s">
        <v>71</v>
      </c>
      <c r="C2" s="46" t="s">
        <v>72</v>
      </c>
      <c r="D2" s="53" t="s">
        <v>81</v>
      </c>
      <c r="E2" s="52" t="s">
        <v>82</v>
      </c>
      <c r="F2" s="23" t="s">
        <v>73</v>
      </c>
      <c r="G2"/>
      <c r="H2"/>
      <c r="I2"/>
      <c r="J2"/>
      <c r="L2" s="38" t="s">
        <v>72</v>
      </c>
      <c r="M2" t="s">
        <v>83</v>
      </c>
      <c r="N2"/>
      <c r="O2" s="38" t="s">
        <v>72</v>
      </c>
      <c r="P2" t="s">
        <v>74</v>
      </c>
      <c r="Q2"/>
    </row>
    <row r="3" spans="1:17" x14ac:dyDescent="0.25">
      <c r="A3" s="14">
        <v>1</v>
      </c>
      <c r="B3" s="15">
        <v>0.41666666666666669</v>
      </c>
      <c r="C3" s="51">
        <v>46084</v>
      </c>
      <c r="D3" s="50">
        <v>13</v>
      </c>
      <c r="E3" s="50"/>
      <c r="F3" s="50">
        <v>13</v>
      </c>
      <c r="G3"/>
      <c r="H3"/>
      <c r="I3"/>
      <c r="J3"/>
      <c r="L3" s="39" t="s">
        <v>82</v>
      </c>
      <c r="M3" s="40">
        <v>1</v>
      </c>
      <c r="N3"/>
      <c r="O3" s="39" t="s">
        <v>33</v>
      </c>
      <c r="P3" s="40">
        <v>4</v>
      </c>
      <c r="Q3"/>
    </row>
    <row r="4" spans="1:17" x14ac:dyDescent="0.25">
      <c r="A4" s="26"/>
      <c r="B4" s="26"/>
      <c r="C4" s="47" t="s">
        <v>23</v>
      </c>
      <c r="D4" s="21">
        <v>6</v>
      </c>
      <c r="E4" s="21"/>
      <c r="F4" s="21">
        <v>6</v>
      </c>
      <c r="G4"/>
      <c r="H4"/>
      <c r="I4"/>
      <c r="J4"/>
      <c r="L4" s="39" t="s">
        <v>81</v>
      </c>
      <c r="M4" s="40">
        <v>13</v>
      </c>
      <c r="N4"/>
      <c r="O4" s="39" t="s">
        <v>16</v>
      </c>
      <c r="P4" s="40">
        <v>10</v>
      </c>
      <c r="Q4"/>
    </row>
    <row r="5" spans="1:17" x14ac:dyDescent="0.25">
      <c r="A5" s="26"/>
      <c r="B5" s="26"/>
      <c r="C5" s="48" t="s">
        <v>33</v>
      </c>
      <c r="D5" s="21">
        <v>3</v>
      </c>
      <c r="E5" s="21"/>
      <c r="F5" s="21">
        <v>3</v>
      </c>
      <c r="G5"/>
      <c r="H5"/>
      <c r="I5"/>
      <c r="J5"/>
      <c r="L5" s="39" t="s">
        <v>90</v>
      </c>
      <c r="M5" s="40"/>
      <c r="N5"/>
      <c r="O5" s="39" t="s">
        <v>73</v>
      </c>
      <c r="P5" s="40">
        <v>14</v>
      </c>
      <c r="Q5"/>
    </row>
    <row r="6" spans="1:17" x14ac:dyDescent="0.25">
      <c r="A6" s="26"/>
      <c r="B6" s="26"/>
      <c r="C6" s="49" t="s">
        <v>16</v>
      </c>
      <c r="D6" s="21">
        <v>3</v>
      </c>
      <c r="E6" s="21"/>
      <c r="F6" s="21">
        <v>3</v>
      </c>
      <c r="G6"/>
      <c r="H6"/>
      <c r="I6"/>
      <c r="J6"/>
      <c r="L6" s="39" t="s">
        <v>73</v>
      </c>
      <c r="M6" s="40">
        <v>14</v>
      </c>
      <c r="N6"/>
      <c r="O6"/>
      <c r="P6"/>
      <c r="Q6"/>
    </row>
    <row r="7" spans="1:17" x14ac:dyDescent="0.25">
      <c r="A7" s="26"/>
      <c r="B7" s="26"/>
      <c r="C7" s="47" t="s">
        <v>15</v>
      </c>
      <c r="D7" s="21">
        <v>7</v>
      </c>
      <c r="E7" s="21"/>
      <c r="F7" s="21">
        <v>7</v>
      </c>
      <c r="G7"/>
      <c r="H7"/>
      <c r="I7"/>
      <c r="J7"/>
      <c r="L7"/>
      <c r="M7"/>
      <c r="N7"/>
      <c r="O7"/>
      <c r="P7"/>
      <c r="Q7"/>
    </row>
    <row r="8" spans="1:17" x14ac:dyDescent="0.25">
      <c r="A8" s="26"/>
      <c r="B8" s="26"/>
      <c r="C8" s="49" t="s">
        <v>16</v>
      </c>
      <c r="D8" s="21">
        <v>7</v>
      </c>
      <c r="E8" s="21"/>
      <c r="F8" s="21">
        <v>7</v>
      </c>
      <c r="G8"/>
      <c r="H8"/>
      <c r="I8"/>
      <c r="J8"/>
      <c r="L8"/>
      <c r="M8"/>
      <c r="N8"/>
      <c r="O8"/>
      <c r="P8"/>
      <c r="Q8"/>
    </row>
    <row r="9" spans="1:17" x14ac:dyDescent="0.25">
      <c r="A9" s="14">
        <v>2</v>
      </c>
      <c r="B9" s="15">
        <v>8.3333333333333329E-2</v>
      </c>
      <c r="C9" s="45">
        <v>46134</v>
      </c>
      <c r="D9" s="44"/>
      <c r="E9" s="44">
        <v>1</v>
      </c>
      <c r="F9" s="44">
        <v>1</v>
      </c>
      <c r="G9"/>
      <c r="H9"/>
      <c r="I9"/>
      <c r="J9"/>
      <c r="L9"/>
      <c r="M9"/>
      <c r="N9"/>
      <c r="O9"/>
      <c r="P9"/>
      <c r="Q9"/>
    </row>
    <row r="10" spans="1:17" x14ac:dyDescent="0.25">
      <c r="C10" s="47" t="s">
        <v>23</v>
      </c>
      <c r="D10" s="21"/>
      <c r="E10" s="21">
        <v>1</v>
      </c>
      <c r="F10" s="21">
        <v>1</v>
      </c>
      <c r="G10"/>
      <c r="L10"/>
      <c r="M10"/>
      <c r="N10"/>
      <c r="O10"/>
      <c r="P10"/>
      <c r="Q10"/>
    </row>
    <row r="11" spans="1:17" x14ac:dyDescent="0.25">
      <c r="C11" s="49" t="s">
        <v>33</v>
      </c>
      <c r="D11" s="21"/>
      <c r="E11" s="21">
        <v>1</v>
      </c>
      <c r="F11" s="21">
        <v>1</v>
      </c>
      <c r="G11"/>
      <c r="L11"/>
      <c r="M11"/>
      <c r="N11"/>
      <c r="O11"/>
      <c r="P11"/>
      <c r="Q11"/>
    </row>
    <row r="12" spans="1:17" x14ac:dyDescent="0.25">
      <c r="C12" s="22" t="s">
        <v>73</v>
      </c>
      <c r="D12" s="21">
        <v>13</v>
      </c>
      <c r="E12" s="21">
        <v>1</v>
      </c>
      <c r="F12" s="21">
        <v>14</v>
      </c>
      <c r="G12"/>
      <c r="L12"/>
      <c r="M12"/>
      <c r="N12"/>
      <c r="O12"/>
      <c r="P12"/>
      <c r="Q12"/>
    </row>
    <row r="13" spans="1:17" x14ac:dyDescent="0.25">
      <c r="C13"/>
      <c r="D13"/>
      <c r="E13"/>
      <c r="F13"/>
      <c r="G13"/>
      <c r="L13"/>
      <c r="M13"/>
      <c r="N13"/>
      <c r="O13"/>
      <c r="P13"/>
      <c r="Q13"/>
    </row>
    <row r="14" spans="1:17" x14ac:dyDescent="0.25">
      <c r="C14"/>
      <c r="D14"/>
      <c r="E14"/>
      <c r="F14"/>
      <c r="G14"/>
      <c r="L14"/>
      <c r="M14"/>
      <c r="N14"/>
      <c r="O14"/>
      <c r="P14"/>
      <c r="Q14"/>
    </row>
    <row r="15" spans="1:17" x14ac:dyDescent="0.25">
      <c r="C15"/>
      <c r="D15"/>
      <c r="E15"/>
      <c r="F15"/>
      <c r="G15"/>
      <c r="L15"/>
      <c r="M15"/>
      <c r="N15"/>
      <c r="O15"/>
      <c r="P15"/>
      <c r="Q15"/>
    </row>
    <row r="16" spans="1:17" x14ac:dyDescent="0.25">
      <c r="C16"/>
      <c r="D16"/>
      <c r="E16"/>
      <c r="F16"/>
      <c r="G16"/>
      <c r="L16"/>
      <c r="M16"/>
      <c r="N16"/>
      <c r="O16"/>
      <c r="P16"/>
      <c r="Q16"/>
    </row>
    <row r="17" spans="3:17" x14ac:dyDescent="0.25">
      <c r="C17"/>
      <c r="D17"/>
      <c r="E17"/>
      <c r="F17"/>
      <c r="G17"/>
      <c r="L17"/>
      <c r="M17"/>
      <c r="N17"/>
      <c r="O17"/>
      <c r="P17"/>
      <c r="Q17"/>
    </row>
    <row r="18" spans="3:17" x14ac:dyDescent="0.25">
      <c r="L18"/>
      <c r="M18"/>
      <c r="N18"/>
      <c r="O18"/>
      <c r="P18"/>
      <c r="Q18"/>
    </row>
    <row r="19" spans="3:17" x14ac:dyDescent="0.25">
      <c r="L19"/>
      <c r="M19"/>
      <c r="N19"/>
      <c r="O19"/>
      <c r="P19"/>
      <c r="Q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7E03-7862-431C-8608-EACAB0DFB45C}">
  <dimension ref="A1"/>
  <sheetViews>
    <sheetView workbookViewId="0">
      <selection activeCell="B54" sqref="B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374D-7BCF-44B0-9DB5-576E68D28E41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 x14ac:dyDescent="0.25"/>
  <cols>
    <col min="1" max="1" width="19.5703125" bestFit="1" customWidth="1"/>
  </cols>
  <sheetData>
    <row r="1" spans="1:8" x14ac:dyDescent="0.25">
      <c r="A1" t="s">
        <v>75</v>
      </c>
      <c r="F1" t="s">
        <v>76</v>
      </c>
      <c r="H1" t="s">
        <v>23</v>
      </c>
    </row>
    <row r="2" spans="1:8" x14ac:dyDescent="0.25">
      <c r="A2" t="s">
        <v>77</v>
      </c>
      <c r="C2" t="s">
        <v>78</v>
      </c>
      <c r="F2" t="s">
        <v>33</v>
      </c>
      <c r="H2" t="s">
        <v>15</v>
      </c>
    </row>
    <row r="3" spans="1:8" x14ac:dyDescent="0.25">
      <c r="A3" t="s">
        <v>79</v>
      </c>
      <c r="C3" t="s">
        <v>80</v>
      </c>
      <c r="F3" t="s">
        <v>16</v>
      </c>
    </row>
    <row r="4" spans="1:8" x14ac:dyDescent="0.25">
      <c r="C4" t="s">
        <v>81</v>
      </c>
    </row>
    <row r="5" spans="1:8" x14ac:dyDescent="0.25">
      <c r="C5" t="s">
        <v>17</v>
      </c>
    </row>
    <row r="6" spans="1:8" x14ac:dyDescent="0.25">
      <c r="C6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7</xvqq>
    <Notes xmlns="3d05c41d-42c7-4345-8236-8005f0c89855">Dev: SM | BSA: MU</Notes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EED5A-6E5F-40C5-9AEF-0B62B473C06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d05c41d-42c7-4345-8236-8005f0c89855"/>
    <ds:schemaRef ds:uri="http://purl.org/dc/elements/1.1/"/>
    <ds:schemaRef ds:uri="http://schemas.microsoft.com/office/2006/metadata/properties"/>
    <ds:schemaRef ds:uri="29065daa-3ce8-4783-94b0-fa366394ba5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CE2EC9-1087-425C-A342-60B1DAB09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5c41d-42c7-4345-8236-8005f0c89855"/>
    <ds:schemaRef ds:uri="29065daa-3ce8-4783-94b0-fa366394b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5146E5-CF4E-4085-BE9F-ED12D10E8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DEFECTS</vt:lpstr>
      <vt:lpstr>SUMMARY</vt:lpstr>
      <vt:lpstr>8</vt:lpstr>
      <vt:lpstr>16</vt:lpstr>
      <vt:lpstr>Sheet2</vt:lpstr>
    </vt:vector>
  </TitlesOfParts>
  <Manager/>
  <Company>Orange County Superior Court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Melanie Uyehara</cp:lastModifiedBy>
  <cp:revision/>
  <dcterms:created xsi:type="dcterms:W3CDTF">2025-10-01T18:45:47Z</dcterms:created>
  <dcterms:modified xsi:type="dcterms:W3CDTF">2026-04-22T19:28:21Z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