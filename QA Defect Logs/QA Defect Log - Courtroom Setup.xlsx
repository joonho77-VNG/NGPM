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1252" documentId="8_{32BC0B0E-3EE8-43AB-8119-D28931438715}" xr6:coauthVersionLast="47" xr6:coauthVersionMax="47" xr10:uidLastSave="{43D923DE-89C9-4959-BA02-2E8FD3BBBBC3}"/>
  <bookViews>
    <workbookView xWindow="-120" yWindow="-120" windowWidth="29040" windowHeight="15720" activeTab="3" xr2:uid="{7496AAB9-9610-4154-B91D-ED1C66077D08}"/>
  </bookViews>
  <sheets>
    <sheet name="DEFECTS" sheetId="1" r:id="rId1"/>
    <sheet name="Screenshots" sheetId="6" r:id="rId2"/>
    <sheet name="Test Scenarios" sheetId="4" r:id="rId3"/>
    <sheet name="Summary" sheetId="5" r:id="rId4"/>
    <sheet name="Sheet2" sheetId="3" state="hidden" r:id="rId5"/>
  </sheets>
  <definedNames>
    <definedName name="_xlnm._FilterDatabase" localSheetId="0" hidden="1">DEFECTS!$A$1:$M$47</definedName>
  </definedNames>
  <calcPr calcId="191028"/>
  <pivotCaches>
    <pivotCache cacheId="866" r:id="rId6"/>
    <pivotCache cacheId="867" r:id="rId7"/>
    <pivotCache cacheId="868" r:id="rId8"/>
    <pivotCache cacheId="88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4" l="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2" i="1"/>
  <c r="A25" i="4"/>
  <c r="A3" i="4"/>
  <c r="A4" i="4"/>
  <c r="A5" i="4"/>
  <c r="A6" i="4"/>
  <c r="A8" i="4"/>
  <c r="A9" i="4"/>
  <c r="A10" i="4"/>
  <c r="A11" i="4"/>
  <c r="A12" i="4"/>
  <c r="A13" i="4"/>
  <c r="A14" i="4"/>
  <c r="A15" i="4"/>
  <c r="A16" i="4"/>
  <c r="A17" i="4"/>
  <c r="A18" i="4"/>
  <c r="A19" i="4"/>
  <c r="A20" i="4"/>
  <c r="A21" i="4"/>
  <c r="A22" i="4"/>
  <c r="A23" i="4"/>
  <c r="A24"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2" i="4"/>
</calcChain>
</file>

<file path=xl/sharedStrings.xml><?xml version="1.0" encoding="utf-8"?>
<sst xmlns="http://schemas.openxmlformats.org/spreadsheetml/2006/main" count="687" uniqueCount="278">
  <si>
    <t>ID</t>
  </si>
  <si>
    <t>Date Tested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</si>
  <si>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</si>
  <si>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</si>
  <si>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</si>
  <si>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</si>
  <si>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</si>
  <si>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</si>
  <si>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</si>
  <si>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</si>
  <si>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</si>
  <si>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</si>
  <si>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</si>
  <si>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</si>
  <si>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</si>
  <si>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UI</t>
  </si>
  <si>
    <t>Minor</t>
  </si>
  <si>
    <t>Resolved</t>
  </si>
  <si>
    <t>Window</t>
  </si>
  <si>
    <t>White bar on top of window</t>
  </si>
  <si>
    <t>Gradient background begins at the blue border. Expected result is the gradient background appears at the top of the window</t>
  </si>
  <si>
    <t>Appears when Blazor courtroom is not the first window opened for the day. This white space is not visible, and the blue border is at the top of the window during the first open.</t>
  </si>
  <si>
    <t>Pass</t>
  </si>
  <si>
    <t>3/23 SM - has been addressed.</t>
  </si>
  <si>
    <t>No space top of window</t>
  </si>
  <si>
    <t>During first window open of the day, the blue border is at the top of the window.</t>
  </si>
  <si>
    <t xml:space="preserve">This behavior does not match ID 1 behavior. </t>
  </si>
  <si>
    <t>3/26 SM - has been addressed.</t>
  </si>
  <si>
    <t>No action</t>
  </si>
  <si>
    <t>Courtroom field</t>
  </si>
  <si>
    <t>Dropdown Order</t>
  </si>
  <si>
    <t>Dropdown order is alphabetic</t>
  </si>
  <si>
    <t>Dropdown order is alphabetic by capital letters, then lowercase letters. For example, CJC displays before Central</t>
  </si>
  <si>
    <t>3/17/26 - leave as is</t>
  </si>
  <si>
    <t>3/18 SM - leaving as is</t>
  </si>
  <si>
    <t>Functionality</t>
  </si>
  <si>
    <t>Reporter field</t>
  </si>
  <si>
    <t>Blank display</t>
  </si>
  <si>
    <t>If reporter field displays the person_nbr in database, the new window displays blank. See Collections - Newport Beach in QA</t>
  </si>
  <si>
    <t>The old window displays the person_nbr instead of the reporter name. This issue may occur for other fields if the number is retrieved instead of the name. This behavior should not occur often</t>
  </si>
  <si>
    <t>4/13 SM - has been addressed</t>
  </si>
  <si>
    <t>Save button</t>
  </si>
  <si>
    <t>Save button selectable</t>
  </si>
  <si>
    <t>When Courtroom field is selected, Save button is selectable</t>
  </si>
  <si>
    <t xml:space="preserve">Save button becomes selectable once a change is made. </t>
  </si>
  <si>
    <t>Pass with Comments</t>
  </si>
  <si>
    <t>4/15 BY: See defect 23</t>
  </si>
  <si>
    <t>3/17 SM - modified. Now save button is active once courtroom is selected</t>
  </si>
  <si>
    <t>Cause Type</t>
  </si>
  <si>
    <t>Cause Type blank option</t>
  </si>
  <si>
    <t>Cause type has a blank option field available</t>
  </si>
  <si>
    <t>PB window has the 3 cause types only</t>
  </si>
  <si>
    <t>3/16 SM - has been addressed. Removed blank option</t>
  </si>
  <si>
    <t>Field Height</t>
  </si>
  <si>
    <t>Field height for Clerk and Bailiff does not match other fields</t>
  </si>
  <si>
    <t>May relate to Defect 15. Field height appears to increase once courtroom field is selected</t>
  </si>
  <si>
    <t>3/16 SM - has been addressed. Clerk and Bailiff are custom dropdown because. Styling has been adjusted to match the rest</t>
  </si>
  <si>
    <t>Major</t>
  </si>
  <si>
    <t>Print Button</t>
  </si>
  <si>
    <t>Print Button does not work</t>
  </si>
  <si>
    <t>Print button and File &gt; Print in web version do not print</t>
  </si>
  <si>
    <t>3/26 SM - printing has been removed</t>
  </si>
  <si>
    <t>Web Only</t>
  </si>
  <si>
    <t>Ctrl + P Layout</t>
  </si>
  <si>
    <t>Layout excludes fields</t>
  </si>
  <si>
    <t>The left hand menu bar, along with some but not all of the Courtroom Setup fields display in 1 page of the print preview.</t>
  </si>
  <si>
    <t>4/15 BY: See defect 21</t>
  </si>
  <si>
    <t>PB Only</t>
  </si>
  <si>
    <t>Some but not all fields display in the print preview.</t>
  </si>
  <si>
    <t>View appears to be a zoomed in Version of the NG window rather than the view from Vision.</t>
  </si>
  <si>
    <t>Print Button and Ctrl + P</t>
  </si>
  <si>
    <t>Watermark is missing</t>
  </si>
  <si>
    <t>After printing with Print button or Ctrl + P, watermark is missing.</t>
  </si>
  <si>
    <t>Watermark will appear if WMPRINT court control is 'Y'. This value is 'Y' in all regions except production.</t>
  </si>
  <si>
    <t>Read only field visibility</t>
  </si>
  <si>
    <t>Grey read only fields are hard to differentiate with the lighter gradient in the background</t>
  </si>
  <si>
    <t>May be helpful to add more space between each field, or a slightly darker grey border around the fields</t>
  </si>
  <si>
    <t xml:space="preserve">3/16 SM - replaced enabled=false to readonly=true. Previous styling was before UI Guideline </t>
  </si>
  <si>
    <t>Resizing window causes field alignment issues</t>
  </si>
  <si>
    <t>Minimizing vision window and adjust width or height causes sections to overlap</t>
  </si>
  <si>
    <t xml:space="preserve">3/17 SM - has been addressed. window is now responsive </t>
  </si>
  <si>
    <t>F3 Refresh</t>
  </si>
  <si>
    <t>F3 Refresh Courtroom field</t>
  </si>
  <si>
    <t>F3 refresh does not clear the Courtroom field</t>
  </si>
  <si>
    <t>4/15 BY: Defect still exists. Defect 22 is related.</t>
  </si>
  <si>
    <t>4/16 SM - refresh F3 clears out the courtroom field and all other fields + disables save button</t>
  </si>
  <si>
    <t>Grid expands</t>
  </si>
  <si>
    <t>When Courtroom field is selected, the bottom edge of the form expands</t>
  </si>
  <si>
    <t>This may relate to Defect 7. These two fields match the height of other fields before courtroom is selected</t>
  </si>
  <si>
    <t>3/17 SM - has been addressed. Layout shift occoured bcz height would change due to incoming data. Fields now have a minimum set height to avoid this.</t>
  </si>
  <si>
    <t>Field Labels</t>
  </si>
  <si>
    <t>Field labels have inconsistent alignment with field</t>
  </si>
  <si>
    <t>Field labels should be middle aligned with the field per UI Guideline 88</t>
  </si>
  <si>
    <t>UI Guideline 88 was added after template was created/ updated.</t>
  </si>
  <si>
    <t>3/16 SM - has been addressed. Field labels have been center aligned.</t>
  </si>
  <si>
    <t>Button</t>
  </si>
  <si>
    <t>Button type</t>
  </si>
  <si>
    <t>Button type should be Primary button type - Blue with white text</t>
  </si>
  <si>
    <t>UI Guideline 7</t>
  </si>
  <si>
    <t>3/17 SM - has been addressed. Buttons are blue. Reset button is grey until user can reset the form</t>
  </si>
  <si>
    <t>Window border</t>
  </si>
  <si>
    <t>Window border thickness does not match other windows</t>
  </si>
  <si>
    <t>Window border height/ width should match the smaller sections, and other window sections</t>
  </si>
  <si>
    <t>UI Guideline 90 was added after issue was identified</t>
  </si>
  <si>
    <t>Data loads at different times</t>
  </si>
  <si>
    <t>The 'Courtroom' field selection updates before the rest of the fields. This causes the data to temporarily mismatch if a courtroom was selected.</t>
  </si>
  <si>
    <t>4/16 BY: Devs will add a loading wheel. The window will have 65% opacity while the loading wheel is present.</t>
  </si>
  <si>
    <t>4/16 SM - loading screen has been applied for when user modifies courtroom drop down menu. It is 65% (Partial) opacity</t>
  </si>
  <si>
    <t>Updated and By fields</t>
  </si>
  <si>
    <t>Text size does not match other window areas</t>
  </si>
  <si>
    <t>Value font size is larger than the field label font size. The value should match the font size.</t>
  </si>
  <si>
    <t>4/21: Defect still exists</t>
  </si>
  <si>
    <t>4/23 SM - targeted the body element to set size to 13px globally.</t>
  </si>
  <si>
    <t>Regression</t>
  </si>
  <si>
    <t>Print Feature</t>
  </si>
  <si>
    <t>Printing is enabled</t>
  </si>
  <si>
    <t>Ctrl + P short key works for blazor window. Previous decision was to remove the print functionality.</t>
  </si>
  <si>
    <t>4/15: Print was enabled in all windows to test print functionality. Devs will remove this in the next QA iteration.
4/21: Ctrl + P is not disabled in latest QA version</t>
  </si>
  <si>
    <t>4/23 SM - used stopImmediatePropogation to prevent javascript default event from triggering default print. Need to reload JS to fix</t>
  </si>
  <si>
    <t>Save button is selectable on window open</t>
  </si>
  <si>
    <t>Save button is selectable on window open. Save button should not be selectable until the Courtroom option is selected</t>
  </si>
  <si>
    <t>This definition was not clear in Defect ID 5. BSA error.</t>
  </si>
  <si>
    <t>4/16 SM - saving button becomes interactable after initial courtroom selection</t>
  </si>
  <si>
    <t>No Action</t>
  </si>
  <si>
    <t>All field and search values</t>
  </si>
  <si>
    <t>Bottom right shift</t>
  </si>
  <si>
    <t>All field values and search values are bottom aligned. These should be middle aligned</t>
  </si>
  <si>
    <t>This issue occurs across blazor windows, including windows in production.</t>
  </si>
  <si>
    <t>4/15: Alignment will remain as is</t>
  </si>
  <si>
    <t>4/16 SM - leave as is</t>
  </si>
  <si>
    <t>F3 Refresh Courtroom field - no pending changes</t>
  </si>
  <si>
    <t>F3 refresh does not work if Courtroom is selected, and there are no pending changes.</t>
  </si>
  <si>
    <t>4/16 SM - refresh F3 now works when courtroom is/is not selected and when there is/is not pending changes</t>
  </si>
  <si>
    <t>Updated Field</t>
  </si>
  <si>
    <t>Updated field label alignment</t>
  </si>
  <si>
    <t>Updated field label should be aligned with the other labels. By field can be moved right if needed.</t>
  </si>
  <si>
    <t>4/16 SM - update label has been vertically aligned with other labels</t>
  </si>
  <si>
    <t>Dropdown Options remain after search</t>
  </si>
  <si>
    <t>1. Click Courtroom Field
2. Type Search criteria like 'Z1'
3. Press Enter - Courtroom Field is empty
4. Click Courtroom Field again - Dropdown only displays results related to 'Z1'.</t>
  </si>
  <si>
    <t>4/23: Syncfusion issue. Previously addressed in Event Codes
4/27: Syncfusion ticket #830463 expected rollout for 5/5/26</t>
  </si>
  <si>
    <t xml:space="preserve">4/23 SM - removed Syncfusion workaround for ticket #828779 </t>
  </si>
  <si>
    <t>ticket</t>
  </si>
  <si>
    <t>Multiple Fields</t>
  </si>
  <si>
    <t>Unit Codes updates</t>
  </si>
  <si>
    <t>1. Add unit code for clerk, judicial officer, etc. 
2. Open Courtroom Setup, and select applicable dropdown - newly added staff appears
3. Remove unit code for applicable staff
4. Refresh Courtroom Setup, or reopen courtroom setup - staff appears until cache is cleared</t>
  </si>
  <si>
    <t>PB window shows updates after closing and reopening the window since refresh is not available</t>
  </si>
  <si>
    <t>5/8/26 SM - has been addressed</t>
  </si>
  <si>
    <t>Courtroom field and label alignment</t>
  </si>
  <si>
    <t>Courtroom field and label should be middle aligned with the section. Currently, the field label and field are slightly towards the top of the section</t>
  </si>
  <si>
    <t>5/8/26 SM - has been addressed, removed bottom margin.</t>
  </si>
  <si>
    <t>Fields with Names</t>
  </si>
  <si>
    <t>Full name flashes before applicable format</t>
  </si>
  <si>
    <t xml:space="preserve">1. Open Courtroom Setup
2. Select a courtroom with clerk or bailiff - Courtroom flashes after the loading wheel dissapears </t>
  </si>
  <si>
    <t>Expected result is the correct format appears when the loading wheel disappears</t>
  </si>
  <si>
    <t>5/14: Upcoming QA fix for this issue results in the dropdowns appearing in the disabled fields. See Screenshots tab ID 29 - before fix, and 29 - after fix</t>
  </si>
  <si>
    <t>5/14/26 SM - has been addressed</t>
  </si>
  <si>
    <t>Various Fields</t>
  </si>
  <si>
    <t>Courtroom name updates before child record</t>
  </si>
  <si>
    <t>When a user changes the courtroom by typing and selecting it from the search field, only the courtroom name updates while the remaining courtroom details continue to display information from the previously selected courtroom. This issue does not occur when the courtroom is selected by scrolling through the list.</t>
  </si>
  <si>
    <t>UAT Defect</t>
  </si>
  <si>
    <t>Incorrect dropdown value appears</t>
  </si>
  <si>
    <t>When selecting a field, such as "Judicial Officer" or "Clerk," the initial attempt does not update the selection, resulting in a blank field. However, on the second attempt, the field updates correctly after being left blank.</t>
  </si>
  <si>
    <t>Starts with search</t>
  </si>
  <si>
    <t>Courtroom field uses "contains" search instead of "Starts with" updates from VisionDropdownList</t>
  </si>
  <si>
    <t>Defect ID</t>
  </si>
  <si>
    <t>Screenshots</t>
  </si>
  <si>
    <t>29 - before fix</t>
  </si>
  <si>
    <t>29 - after fix</t>
  </si>
  <si>
    <t>Type</t>
  </si>
  <si>
    <t>Test Scenario</t>
  </si>
  <si>
    <t>Expected Result</t>
  </si>
  <si>
    <t>Test Date - QA 1</t>
  </si>
  <si>
    <t>PF - QA 1</t>
  </si>
  <si>
    <t>Comments</t>
  </si>
  <si>
    <t>Window load time close to PB load time</t>
  </si>
  <si>
    <t>Courtroom field dropdown is editable on window load</t>
  </si>
  <si>
    <t>Save and Reset buttons are greyed out on window load</t>
  </si>
  <si>
    <t>Fields below Courtroom are read only before window load</t>
  </si>
  <si>
    <t>Active courtrooms appear in Courtroom dropdown with black</t>
  </si>
  <si>
    <t>Inactive courtrooms appear in Courtroom dropdown with light grey text</t>
  </si>
  <si>
    <t>When Courtroom field is selected, all remaining fields except for location unit are editable</t>
  </si>
  <si>
    <t>When Courtroom field is selected, Location Unit is read only</t>
  </si>
  <si>
    <r>
      <rPr>
        <sz val="11"/>
        <color rgb="FF000000"/>
        <rFont val="Aptos Narrow"/>
        <scheme val="minor"/>
      </rPr>
      <t>2nd row menu option</t>
    </r>
    <r>
      <rPr>
        <strike/>
        <sz val="11"/>
        <color rgb="FF000000"/>
        <rFont val="Aptos Narrow"/>
        <scheme val="minor"/>
      </rPr>
      <t xml:space="preserve">s are Print and </t>
    </r>
    <r>
      <rPr>
        <sz val="11"/>
        <color rgb="FF000000"/>
        <rFont val="Aptos Narrow"/>
        <scheme val="minor"/>
      </rPr>
      <t>Close</t>
    </r>
  </si>
  <si>
    <t>Removed 'Print' option</t>
  </si>
  <si>
    <t>Edit and Action top level menus are not available</t>
  </si>
  <si>
    <t>Updated field displays MM/DD/YYYY HH:MM AM format</t>
  </si>
  <si>
    <t>By field displays Last Name, First Name format</t>
  </si>
  <si>
    <t>Courtroom field selection loads instantly</t>
  </si>
  <si>
    <t>1-3 seconds in Blazor</t>
  </si>
  <si>
    <t>Courtroom field is selected</t>
  </si>
  <si>
    <t>Judicial Officer field populates data when expected</t>
  </si>
  <si>
    <t>Clerk field populates data when expected</t>
  </si>
  <si>
    <t>Bailiff field populates data when expected</t>
  </si>
  <si>
    <t>Reporter field populates data when expected</t>
  </si>
  <si>
    <t>See defect 3</t>
  </si>
  <si>
    <t>DA field populates data when expected</t>
  </si>
  <si>
    <t>PD field populates data when expected</t>
  </si>
  <si>
    <t>Interpreter field populates data when expected</t>
  </si>
  <si>
    <t>Cause Type field populates data when expected</t>
  </si>
  <si>
    <t>all fields update with the new data</t>
  </si>
  <si>
    <t>all fields can be blank</t>
  </si>
  <si>
    <t>Save button is selectable</t>
  </si>
  <si>
    <t>Fail</t>
  </si>
  <si>
    <r>
      <rPr>
        <sz val="11"/>
        <color rgb="FF000000"/>
        <rFont val="Aptos Narrow"/>
        <scheme val="minor"/>
      </rPr>
      <t>See defect</t>
    </r>
    <r>
      <rPr>
        <strike/>
        <sz val="11"/>
        <color rgb="FF000000"/>
        <rFont val="Aptos Narrow"/>
        <scheme val="minor"/>
      </rPr>
      <t xml:space="preserve"> 4 </t>
    </r>
    <r>
      <rPr>
        <sz val="11"/>
        <color rgb="FF000000"/>
        <rFont val="Aptos Narrow"/>
        <scheme val="minor"/>
      </rPr>
      <t>23</t>
    </r>
  </si>
  <si>
    <t>Location Unit field matches location_unit data exactly without formatting</t>
  </si>
  <si>
    <t>Judicial Officer field is formatted First Initial Last Name</t>
  </si>
  <si>
    <t>Bailiff field is formatted First Initial Last Name</t>
  </si>
  <si>
    <t>Reporter field is formatted Last Name, First Name</t>
  </si>
  <si>
    <t>DA field is formatted Last Name, First Name</t>
  </si>
  <si>
    <t>PD field is formatted Last Name, First Name</t>
  </si>
  <si>
    <t>Interpreter field is formatted Last Name, First Name</t>
  </si>
  <si>
    <t>Cause type field retrieves descriptions from CAUSTP code entry table</t>
  </si>
  <si>
    <t>All fields, except Cause Type and Courtroom, have a blank selectable row</t>
  </si>
  <si>
    <t>See defect 5</t>
  </si>
  <si>
    <t>Close window with pending changes</t>
  </si>
  <si>
    <t>PB pending changes message appears</t>
  </si>
  <si>
    <t>New Courtroom added with Courtroom unit qualifier</t>
  </si>
  <si>
    <t>New courtroom appears in Courtroom dropdown</t>
  </si>
  <si>
    <t>Select PB print button</t>
  </si>
  <si>
    <t>Print preview appears</t>
  </si>
  <si>
    <t>See defect 8</t>
  </si>
  <si>
    <t>Ctrl + P</t>
  </si>
  <si>
    <t>Printed image layout is similar to PB layout</t>
  </si>
  <si>
    <t>See defect 9 and 10</t>
  </si>
  <si>
    <t>Print with Ctrl + P or Print button, then return to Vision window</t>
  </si>
  <si>
    <t>Watermark appears on notices if WMPRINT court control variable is 'Y'. Watermark does not appear otherwise</t>
  </si>
  <si>
    <t>See defect 11</t>
  </si>
  <si>
    <t>Window is left aligned</t>
  </si>
  <si>
    <t>Modify field</t>
  </si>
  <si>
    <t>Reset button is selectable</t>
  </si>
  <si>
    <t>Modify field, then select Reset</t>
  </si>
  <si>
    <t>All modified values are reverted</t>
  </si>
  <si>
    <t>Modify field, then select Save</t>
  </si>
  <si>
    <t>All modified values save, Updated field fields reflects new date and time for update, By: field display the name of the person saving changes</t>
  </si>
  <si>
    <t>Field widths match PB</t>
  </si>
  <si>
    <t>Field heights match Blazor UI Guidelines</t>
  </si>
  <si>
    <t>See defect 7</t>
  </si>
  <si>
    <t>Courtroom setups display in Calendar List defaults tab</t>
  </si>
  <si>
    <t>F3 refresh  with no pending changes</t>
  </si>
  <si>
    <t>Courtroom search is cleared</t>
  </si>
  <si>
    <t>See defect 14</t>
  </si>
  <si>
    <t>F3 refresh with pending changes, select No</t>
  </si>
  <si>
    <t>Pending changes message appears. When no is selected, old data appears</t>
  </si>
  <si>
    <t>F3 refresh with pending changes, select Yes</t>
  </si>
  <si>
    <t>Pending changes message appears. When yes is selected, changes save, and Updated: / By: fields are updated</t>
  </si>
  <si>
    <t>Modify field, then switch courtroom</t>
  </si>
  <si>
    <t>Pending changes message appears</t>
  </si>
  <si>
    <t>Modify field, switch courtroom, select No, switch courtroom to the original</t>
  </si>
  <si>
    <t>Courtroom setup data refreshes</t>
  </si>
  <si>
    <t>Select Save button</t>
  </si>
  <si>
    <t>Changes save, Save toast message appears</t>
  </si>
  <si>
    <t>Cache Issue</t>
  </si>
  <si>
    <t xml:space="preserve">Cache Issue </t>
  </si>
  <si>
    <t>QA Round 1 - 4.5 Hr</t>
  </si>
  <si>
    <t>(All)</t>
  </si>
  <si>
    <t>Count of Status</t>
  </si>
  <si>
    <t>New</t>
  </si>
  <si>
    <t>Grand Total</t>
  </si>
  <si>
    <t>Functionality Total</t>
  </si>
  <si>
    <t>UI Total</t>
  </si>
  <si>
    <t>QA Round 2 - 2.5 Hr*</t>
  </si>
  <si>
    <t>*Below QA Round 2 counts are more accurate than pivot table on the left. Table data refreshed during QA Round 3</t>
  </si>
  <si>
    <t>#QA Bug Major</t>
  </si>
  <si>
    <t>#QA Bug Minor</t>
  </si>
  <si>
    <t xml:space="preserve">#QA Bug Regression </t>
  </si>
  <si>
    <t>#QA Cycle</t>
  </si>
  <si>
    <t>Open Defects</t>
  </si>
  <si>
    <t>No Action Defects</t>
  </si>
  <si>
    <t>Resolved Defects</t>
  </si>
  <si>
    <t>QA Round 3 - 2 Hr</t>
  </si>
  <si>
    <t>*Below QA Round 3 counts are more accurate than pivot table on the left. Table data refreshed during QA Round 4</t>
  </si>
  <si>
    <t>Column Labels</t>
  </si>
  <si>
    <t>Row Labels</t>
  </si>
  <si>
    <t>QA Round 4 - 1.5 Hr</t>
  </si>
  <si>
    <t>QA Round 5 - 1.5 Hr</t>
  </si>
  <si>
    <t>QA Round 6 - 1.5 Hr</t>
  </si>
  <si>
    <t>Retest In Progress</t>
  </si>
  <si>
    <t>Return to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</si>
</sst>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0">
    <font>
      <sz val="11"/>
      <color theme="1"/>
      <name val="Aptos Narrow"/>
      <family val="2"/>
      <scheme val="minor"/>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b/>
      <sz val="11"/>
      <color theme="0"/>
      <name val="Calibri"/>
      <family val="2"/>
    </font>
    <font>
      <b/>
      <sz val="11"/>
      <color theme="0"/>
      <name val="Aptos Narrow"/>
      <family val="2"/>
      <scheme val="minor"/>
    </font>
    <font>
      <sz val="11"/>
      <color rgb="FF000000"/>
      <name val="Aptos Narrow"/>
      <charset val="1"/>
    </font>
    <font>
      <sz val="11"/>
      <color rgb="FF000000"/>
      <name val="Calibri"/>
      <charset val="1"/>
    </font>
    <font>
      <b/>
      <sz val="14"/>
      <color theme="0"/>
      <name val="Aptos Narrow"/>
      <family val="2"/>
      <scheme val="minor"/>
    </font>
    <font>
      <sz val="11"/>
      <color theme="2"/>
      <name val="Calibri"/>
      <family val="2"/>
    </font>
    <font>
      <sz val="11"/>
      <color theme="2"/>
      <name val="Aptos Narrow"/>
      <family val="2"/>
      <scheme val="minor"/>
    </font>
    <font>
      <sz val="11"/>
      <color rgb="FF000000"/>
      <name val="Aptos Narrow"/>
      <scheme val="minor"/>
    </font>
    <font>
      <strike/>
      <sz val="11"/>
      <color rgb="FF000000"/>
      <name val="Aptos Narrow"/>
      <scheme val="minor"/>
    </font>
    <font>
      <sz val="11"/>
      <color theme="6"/>
      <name val="Aptos Narrow"/>
      <family val="2"/>
      <scheme val="minor"/>
    </font>
    <font>
      <b/>
      <sz val="11"/>
      <color theme="1"/>
      <name val="Calibri"/>
      <family val="2"/>
    </font>
    <font>
      <u/>
      <sz val="11"/>
      <color theme="10"/>
      <name val="Aptos Narrow"/>
      <family val="2"/>
      <scheme val="minor"/>
    </font>
    <font>
      <sz val="11"/>
      <color theme="6"/>
      <name val="Calibri"/>
      <family val="2"/>
    </font>
    <font>
      <sz val="11"/>
      <color theme="6"/>
      <name val="Calibri"/>
    </font>
  </fonts>
  <fills count="5">
    <fill>
      <patternFill patternType="none"/>
    </fill>
    <fill>
      <patternFill patternType="gray125"/>
    </fill>
    <fill>
      <patternFill patternType="solid">
        <fgColor theme="5" tint="0.39997558519241921"/>
        <bgColor indexed="64"/>
      </patternFill>
    </fill>
    <fill>
      <patternFill patternType="solid">
        <fgColor rgb="FF0070C0"/>
        <bgColor indexed="64"/>
      </patternFill>
    </fill>
    <fill>
      <patternFill patternType="solid">
        <fgColor theme="8" tint="0.79998168889431442"/>
        <bgColor indexed="64"/>
      </patternFill>
    </fill>
  </fills>
  <borders count="7">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17" fillId="0" borderId="0" applyNumberFormat="0" applyFill="0" applyBorder="0" applyAlignment="0" applyProtection="0"/>
  </cellStyleXfs>
  <cellXfs count="53">
    <xf numFmtId="0" fontId="0" fillId="0" borderId="0" xfId="0"/>
    <xf numFmtId="0" fontId="2" fillId="0" borderId="0" xfId="0" applyFont="1"/>
    <xf numFmtId="0" fontId="2" fillId="0" borderId="0" xfId="0" applyFont="1" applyAlignment="1">
      <alignment horizontal="left" vertical="top" wrapText="1"/>
    </xf>
    <xf numFmtId="0" fontId="2" fillId="0" borderId="0" xfId="0" applyFont="1" applyAlignment="1">
      <alignment vertical="top"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0" borderId="1" xfId="0" applyFont="1" applyFill="1" applyBorder="1" applyAlignment="1">
      <alignment horizontal="left" vertical="top" wrapText="1"/>
    </xf>
    <xf numFmtId="0" fontId="3" fillId="0" borderId="1"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Fill="1" applyBorder="1" applyAlignment="1">
      <alignment horizontal="left" vertical="top" wrapText="1"/>
    </xf>
    <xf numFmtId="0" fontId="1" fillId="0" borderId="1" xfId="0" applyFont="1" applyFill="1" applyBorder="1" applyAlignment="1">
      <alignment vertical="top" wrapText="1"/>
    </xf>
    <xf numFmtId="0" fontId="1" fillId="0" borderId="1" xfId="0" applyFont="1" applyBorder="1" applyAlignment="1">
      <alignment vertical="top"/>
    </xf>
    <xf numFmtId="164" fontId="1" fillId="0" borderId="1" xfId="0" applyNumberFormat="1" applyFont="1" applyFill="1" applyBorder="1" applyAlignment="1">
      <alignment horizontal="center" vertical="top" wrapText="1"/>
    </xf>
    <xf numFmtId="164" fontId="1" fillId="0" borderId="1" xfId="0" applyNumberFormat="1" applyFont="1" applyBorder="1" applyAlignment="1">
      <alignment horizontal="center" vertical="top" wrapText="1"/>
    </xf>
    <xf numFmtId="164" fontId="3" fillId="0" borderId="1" xfId="0" applyNumberFormat="1" applyFont="1" applyBorder="1" applyAlignment="1">
      <alignment horizontal="center" vertical="top" wrapText="1"/>
    </xf>
    <xf numFmtId="0" fontId="2" fillId="0" borderId="0" xfId="0" applyFont="1" applyAlignment="1">
      <alignment vertical="top"/>
    </xf>
    <xf numFmtId="164" fontId="2" fillId="0" borderId="0" xfId="0" applyNumberFormat="1" applyFont="1" applyAlignment="1">
      <alignment horizontal="center" vertical="top"/>
    </xf>
    <xf numFmtId="0" fontId="5" fillId="0" borderId="1" xfId="0" applyFont="1" applyBorder="1" applyAlignment="1">
      <alignment vertical="top" wrapText="1"/>
    </xf>
    <xf numFmtId="0" fontId="5" fillId="0" borderId="1" xfId="0" applyFont="1" applyBorder="1" applyAlignment="1">
      <alignment horizontal="left" vertical="top" wrapText="1"/>
    </xf>
    <xf numFmtId="0" fontId="6" fillId="3" borderId="2" xfId="0" applyFont="1" applyFill="1" applyBorder="1" applyAlignment="1">
      <alignment horizontal="center" vertical="center"/>
    </xf>
    <xf numFmtId="0" fontId="7" fillId="3" borderId="2" xfId="0" applyFont="1" applyFill="1" applyBorder="1"/>
    <xf numFmtId="0" fontId="0" fillId="0" borderId="2" xfId="0" applyBorder="1"/>
    <xf numFmtId="14" fontId="0" fillId="0" borderId="2" xfId="0" applyNumberFormat="1" applyBorder="1"/>
    <xf numFmtId="0" fontId="8" fillId="0" borderId="2" xfId="0" applyFont="1" applyBorder="1"/>
    <xf numFmtId="0" fontId="0" fillId="0" borderId="3" xfId="0" applyBorder="1"/>
    <xf numFmtId="14" fontId="0" fillId="0" borderId="4" xfId="0" applyNumberFormat="1" applyBorder="1"/>
    <xf numFmtId="0" fontId="0" fillId="0" borderId="5" xfId="0" applyBorder="1"/>
    <xf numFmtId="0" fontId="0" fillId="0" borderId="6" xfId="0" applyBorder="1"/>
    <xf numFmtId="0" fontId="0" fillId="0" borderId="2" xfId="0" applyBorder="1" applyAlignment="1">
      <alignment wrapText="1"/>
    </xf>
    <xf numFmtId="0" fontId="1" fillId="0" borderId="0" xfId="0" applyFont="1" applyAlignment="1">
      <alignment vertical="top"/>
    </xf>
    <xf numFmtId="0" fontId="1" fillId="0" borderId="0" xfId="0" applyFont="1" applyAlignment="1">
      <alignment vertical="top" wrapText="1"/>
    </xf>
    <xf numFmtId="164" fontId="1" fillId="0" borderId="0" xfId="0" applyNumberFormat="1" applyFont="1" applyAlignment="1">
      <alignment horizontal="center" vertical="top"/>
    </xf>
    <xf numFmtId="0" fontId="8" fillId="0" borderId="0" xfId="0" applyFont="1"/>
    <xf numFmtId="0" fontId="0" fillId="0" borderId="0" xfId="0" pivotButton="1"/>
    <xf numFmtId="0" fontId="0" fillId="0" borderId="0" xfId="0" applyNumberFormat="1"/>
    <xf numFmtId="0" fontId="9" fillId="0" borderId="0" xfId="0" applyFont="1" applyAlignment="1">
      <alignment vertical="top" wrapText="1"/>
    </xf>
    <xf numFmtId="0" fontId="1" fillId="0" borderId="0" xfId="0" applyFont="1"/>
    <xf numFmtId="0" fontId="1" fillId="0" borderId="0" xfId="0" applyFont="1" applyAlignment="1">
      <alignment horizontal="left" vertical="top" wrapText="1"/>
    </xf>
    <xf numFmtId="0" fontId="11" fillId="0" borderId="1" xfId="0" applyFont="1" applyBorder="1" applyAlignment="1">
      <alignment horizontal="center" vertical="top" wrapText="1"/>
    </xf>
    <xf numFmtId="0" fontId="12" fillId="0" borderId="2" xfId="0" applyFont="1" applyBorder="1"/>
    <xf numFmtId="14" fontId="12" fillId="0" borderId="2" xfId="0" applyNumberFormat="1" applyFont="1" applyBorder="1"/>
    <xf numFmtId="0" fontId="13" fillId="0" borderId="2" xfId="0" applyFont="1" applyBorder="1"/>
    <xf numFmtId="0" fontId="15" fillId="0" borderId="2" xfId="0" applyFont="1" applyBorder="1"/>
    <xf numFmtId="0" fontId="0" fillId="0" borderId="1" xfId="0" applyBorder="1"/>
    <xf numFmtId="0" fontId="16" fillId="4" borderId="1" xfId="0" applyFont="1" applyFill="1" applyBorder="1" applyAlignment="1">
      <alignment horizontal="center" vertical="center" wrapText="1"/>
    </xf>
    <xf numFmtId="0" fontId="17" fillId="0" borderId="0" xfId="1" applyAlignment="1">
      <alignment vertical="top"/>
    </xf>
    <xf numFmtId="0" fontId="18" fillId="0" borderId="1" xfId="0" applyFont="1" applyBorder="1" applyAlignment="1">
      <alignment vertical="top" wrapText="1"/>
    </xf>
    <xf numFmtId="0" fontId="19" fillId="0" borderId="1" xfId="0" applyFont="1" applyBorder="1" applyAlignment="1">
      <alignment vertical="top" wrapText="1"/>
    </xf>
    <xf numFmtId="14" fontId="1" fillId="0" borderId="1" xfId="0" applyNumberFormat="1" applyFont="1" applyBorder="1" applyAlignment="1">
      <alignment vertical="top"/>
    </xf>
    <xf numFmtId="0" fontId="10" fillId="3" borderId="0" xfId="0" applyFont="1" applyFill="1" applyAlignment="1">
      <alignment horizontal="center" vertical="center"/>
    </xf>
  </cellXfs>
  <cellStyles count="2">
    <cellStyle name="Hyperlink" xfId="1" builtinId="8"/>
    <cellStyle name="Normal" xfId="0" builtinId="0"/>
  </cellStyles>
  <dxfs count="11">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542925</xdr:colOff>
      <xdr:row>25</xdr:row>
      <xdr:rowOff>0</xdr:rowOff>
    </xdr:to>
    <xdr:pic>
      <xdr:nvPicPr>
        <xdr:cNvPr id="2" name="Picture 1">
          <a:extLst>
            <a:ext uri="{FF2B5EF4-FFF2-40B4-BE49-F238E27FC236}">
              <a16:creationId xmlns:a16="http://schemas.microsoft.com/office/drawing/2014/main" id="{FC4DCA48-725E-2A3F-AF74-EDFD63440225}"/>
            </a:ext>
          </a:extLst>
        </xdr:cNvPr>
        <xdr:cNvPicPr>
          <a:picLocks noChangeAspect="1"/>
        </xdr:cNvPicPr>
      </xdr:nvPicPr>
      <xdr:blipFill>
        <a:blip xmlns:r="http://schemas.openxmlformats.org/officeDocument/2006/relationships" r:embed="rId1"/>
        <a:stretch>
          <a:fillRect/>
        </a:stretch>
      </xdr:blipFill>
      <xdr:spPr>
        <a:xfrm>
          <a:off x="609600" y="190500"/>
          <a:ext cx="4200525" cy="4572000"/>
        </a:xfrm>
        <a:prstGeom prst="rect">
          <a:avLst/>
        </a:prstGeom>
      </xdr:spPr>
    </xdr:pic>
    <xdr:clientData/>
  </xdr:twoCellAnchor>
  <xdr:twoCellAnchor editAs="oneCell">
    <xdr:from>
      <xdr:col>1</xdr:col>
      <xdr:colOff>0</xdr:colOff>
      <xdr:row>27</xdr:row>
      <xdr:rowOff>0</xdr:rowOff>
    </xdr:from>
    <xdr:to>
      <xdr:col>7</xdr:col>
      <xdr:colOff>419100</xdr:colOff>
      <xdr:row>50</xdr:row>
      <xdr:rowOff>180975</xdr:rowOff>
    </xdr:to>
    <xdr:pic>
      <xdr:nvPicPr>
        <xdr:cNvPr id="3" name="Picture 2">
          <a:extLst>
            <a:ext uri="{FF2B5EF4-FFF2-40B4-BE49-F238E27FC236}">
              <a16:creationId xmlns:a16="http://schemas.microsoft.com/office/drawing/2014/main" id="{CF1138BC-3194-B5B3-F2CD-63FBD1AF0A3A}"/>
            </a:ext>
            <a:ext uri="{147F2762-F138-4A5C-976F-8EAC2B608ADB}">
              <a16:predDERef xmlns:a16="http://schemas.microsoft.com/office/drawing/2014/main" pred="{FC4DCA48-725E-2A3F-AF74-EDFD63440225}"/>
            </a:ext>
          </a:extLst>
        </xdr:cNvPr>
        <xdr:cNvPicPr>
          <a:picLocks noChangeAspect="1"/>
        </xdr:cNvPicPr>
      </xdr:nvPicPr>
      <xdr:blipFill>
        <a:blip xmlns:r="http://schemas.openxmlformats.org/officeDocument/2006/relationships" r:embed="rId2"/>
        <a:stretch>
          <a:fillRect/>
        </a:stretch>
      </xdr:blipFill>
      <xdr:spPr>
        <a:xfrm>
          <a:off x="838200" y="5143500"/>
          <a:ext cx="4076700" cy="45624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9.721464120368" createdVersion="8" refreshedVersion="8" minRefreshableVersion="3" recordCount="18" xr:uid="{8E142506-D08F-4AAB-8230-F1AB03514860}">
  <cacheSource type="worksheet">
    <worksheetSource ref="A1:J19" sheet="DEFECTS"/>
  </cacheSource>
  <cacheFields count="10">
    <cacheField name="ID" numFmtId="0">
      <sharedItems containsSemiMixedTypes="0" containsString="0" containsNumber="1" containsInteger="1" minValue="1" maxValue="18"/>
    </cacheField>
    <cacheField name="Date Tested" numFmtId="164">
      <sharedItems containsSemiMixedTypes="0" containsNonDate="0" containsDate="1" containsString="0" minDate="2026-02-26T00:00:00" maxDate="2026-03-19T00:00:00" count="5">
        <d v="2026-02-26T00:00:00"/>
        <d v="2026-03-02T00:00:00"/>
        <d v="2026-03-06T00:00:00"/>
        <d v="2026-03-17T00:00:00"/>
        <d v="2026-03-18T00:00:00"/>
      </sharedItems>
    </cacheField>
    <cacheField name="Interface" numFmtId="164">
      <sharedItems/>
    </cacheField>
    <cacheField name="Scenario Type" numFmtId="0">
      <sharedItems count="2">
        <s v="UI"/>
        <s v="Functionality"/>
      </sharedItems>
    </cacheField>
    <cacheField name="Bug Type" numFmtId="0">
      <sharedItems count="2">
        <s v="Minor"/>
        <s v="Major"/>
      </sharedItems>
    </cacheField>
    <cacheField name="Status" numFmtId="0">
      <sharedItems count="2">
        <s v="New"/>
        <s v="No action"/>
      </sharedItems>
    </cacheField>
    <cacheField name="Window_x000a_Column(s)" numFmtId="0">
      <sharedItems/>
    </cacheField>
    <cacheField name="Summary" numFmtId="0">
      <sharedItems/>
    </cacheField>
    <cacheField name="Defect_x000a_(NG Display, Scenario)" numFmtId="0">
      <sharedItems/>
    </cacheField>
    <cacheField name="Testing Comment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0.604035995369" createdVersion="8" refreshedVersion="8" minRefreshableVersion="3" recordCount="46" xr:uid="{7C37AF9B-A07E-4CE4-AF81-9EAB02015D92}">
  <cacheSource type="worksheet">
    <worksheetSource ref="A1:N47" sheet="DEFECTS"/>
  </cacheSource>
  <cacheFields count="14">
    <cacheField name="ID" numFmtId="0">
      <sharedItems containsSemiMixedTypes="0" containsString="0" containsNumber="1" containsInteger="1" minValue="1" maxValue="46"/>
    </cacheField>
    <cacheField name="Date Tested" numFmtId="0">
      <sharedItems containsNonDate="0" containsDate="1" containsString="0" containsBlank="1" minDate="2026-02-26T00:00:00" maxDate="2026-05-09T00:00:00"/>
    </cacheField>
    <cacheField name="Interface" numFmtId="164">
      <sharedItems containsBlank="1"/>
    </cacheField>
    <cacheField name="Scenario Type" numFmtId="0">
      <sharedItems containsBlank="1" count="3">
        <s v="UI"/>
        <s v="Functionality"/>
        <m/>
      </sharedItems>
    </cacheField>
    <cacheField name="Bug Type" numFmtId="0">
      <sharedItems containsBlank="1" count="4">
        <s v="Minor"/>
        <s v="Major"/>
        <s v="Regression"/>
        <m/>
      </sharedItems>
    </cacheField>
    <cacheField name="Status" numFmtId="0">
      <sharedItems containsBlank="1" count="5">
        <s v="Resolved"/>
        <s v="No action"/>
        <s v="New"/>
        <m/>
        <s v="Return to Dev" u="1"/>
      </sharedItems>
    </cacheField>
    <cacheField name="Window_x000a_Column(s)" numFmtId="0">
      <sharedItems containsBlank="1"/>
    </cacheField>
    <cacheField name="Summary" numFmtId="0">
      <sharedItems containsBlank="1"/>
    </cacheField>
    <cacheField name="Defect_x000a_(NG Display, Scenario)" numFmtId="0">
      <sharedItems containsBlank="1" longText="1"/>
    </cacheField>
    <cacheField name="Testing Comments" numFmtId="0">
      <sharedItems containsBlank="1"/>
    </cacheField>
    <cacheField name="Date_x000a_Retest" numFmtId="164">
      <sharedItems containsNonDate="0" containsDate="1" containsString="0" containsBlank="1" minDate="2026-04-15T00:00:00" maxDate="2026-05-09T00:00:00"/>
    </cacheField>
    <cacheField name="Retest_x000a_Pass/Fail" numFmtId="0">
      <sharedItems containsBlank="1"/>
    </cacheField>
    <cacheField name="BSA Comments" numFmtId="0">
      <sharedItems containsBlank="1"/>
    </cacheField>
    <cacheField name="Dev Comment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7.414110532409" createdVersion="8" refreshedVersion="8" minRefreshableVersion="3" recordCount="29" xr:uid="{8112E5C6-6CCA-4E0F-AFDB-0473A8333560}">
  <cacheSource type="worksheet">
    <worksheetSource ref="A1:N30" sheet="DEFECTS"/>
  </cacheSource>
  <cacheFields count="14">
    <cacheField name="ID" numFmtId="0">
      <sharedItems containsSemiMixedTypes="0" containsString="0" containsNumber="1" containsInteger="1" minValue="1" maxValue="29"/>
    </cacheField>
    <cacheField name="Date Tested" numFmtId="0">
      <sharedItems containsSemiMixedTypes="0" containsNonDate="0" containsDate="1" containsString="0" minDate="2026-02-26T00:00:00" maxDate="2026-05-14T00:00:00"/>
    </cacheField>
    <cacheField name="Interface" numFmtId="164">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2">
        <s v="Resolved"/>
        <s v="No action"/>
      </sharedItems>
    </cacheField>
    <cacheField name="Window_x000a_Column(s)" numFmtId="0">
      <sharedItems/>
    </cacheField>
    <cacheField name="Summary" numFmtId="0">
      <sharedItems/>
    </cacheField>
    <cacheField name="Defect_x000a_(NG Display, Scenario)" numFmtId="0">
      <sharedItems longText="1"/>
    </cacheField>
    <cacheField name="Testing Comments" numFmtId="0">
      <sharedItems containsBlank="1"/>
    </cacheField>
    <cacheField name="Date_x000a_Retest" numFmtId="164">
      <sharedItems containsNonDate="0" containsDate="1" containsString="0" containsBlank="1" minDate="2026-04-15T00:00:00" maxDate="2026-05-16T00:00:00"/>
    </cacheField>
    <cacheField name="Retest_x000a_Pass/Fail" numFmtId="0">
      <sharedItems containsBlank="1"/>
    </cacheField>
    <cacheField name="BSA Comments" numFmtId="0">
      <sharedItems containsBlank="1"/>
    </cacheField>
    <cacheField name="Dev Comment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2.668799421299" createdVersion="8" refreshedVersion="8" minRefreshableVersion="3" recordCount="32" xr:uid="{B7B398F7-8CF8-425A-9DEE-FB168D10B837}">
  <cacheSource type="worksheet">
    <worksheetSource ref="A1:J33" sheet="DEFECTS"/>
  </cacheSource>
  <cacheFields count="10">
    <cacheField name="ID" numFmtId="0">
      <sharedItems containsSemiMixedTypes="0" containsString="0" containsNumber="1" containsInteger="1" minValue="1" maxValue="32"/>
    </cacheField>
    <cacheField name="Date Tested" numFmtId="0">
      <sharedItems containsSemiMixedTypes="0" containsNonDate="0" containsDate="1" containsString="0" minDate="2026-02-26T00:00:00" maxDate="2026-07-08T00:00:00"/>
    </cacheField>
    <cacheField name="Interface" numFmtId="164">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3">
        <s v="Resolved"/>
        <s v="No action"/>
        <s v="New" u="1"/>
      </sharedItems>
    </cacheField>
    <cacheField name="Window_x000a_Column(s)" numFmtId="0">
      <sharedItems/>
    </cacheField>
    <cacheField name="Summary" numFmtId="0">
      <sharedItems/>
    </cacheField>
    <cacheField name="Defect_x000a_(NG Display, Scenario)" numFmtId="0">
      <sharedItems longText="1"/>
    </cacheField>
    <cacheField name="Testing 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1"/>
    <x v="0"/>
    <s v="Both"/>
    <x v="0"/>
    <x v="0"/>
    <x v="0"/>
    <s v="Window"/>
    <s v="White bar on top of window"/>
    <s v="Gradient background begins at the blue border. Expected result is the gradient background appears at the top of the window"/>
    <s v="Appears when Blazor courtroom is not the first window opened for the day. This white space is not visible, and the blue border is at the top of the window during the first open."/>
  </r>
  <r>
    <n v="2"/>
    <x v="0"/>
    <s v="Both"/>
    <x v="0"/>
    <x v="0"/>
    <x v="0"/>
    <s v="Window"/>
    <s v="No space top of window"/>
    <s v="During first window open of the day, the blue border is at the top of the window."/>
    <s v="This behavior does not match ID 1 behavior. "/>
  </r>
  <r>
    <n v="3"/>
    <x v="0"/>
    <s v="Both"/>
    <x v="0"/>
    <x v="0"/>
    <x v="1"/>
    <s v="Courtroom field"/>
    <s v="Dropdown Order"/>
    <s v="Dropdown order is alphabetic"/>
    <s v="Dropdown order is alphabetic by capital letters, then lowercase letters. For example, CJC displays before Central"/>
  </r>
  <r>
    <n v="4"/>
    <x v="0"/>
    <s v="Both"/>
    <x v="1"/>
    <x v="0"/>
    <x v="0"/>
    <s v="Reporter field"/>
    <s v="Blank display"/>
    <s v="If reporter field displays the person_nbr in database, the new window displays blank. See Collections - Newport Beach in QA"/>
    <s v="The old window displays the person_nbr instead of the reporter name. This issue may occur for other fields if the number is retrieved instead of the name. This behavior should not occur often in "/>
  </r>
  <r>
    <n v="5"/>
    <x v="0"/>
    <s v="Both"/>
    <x v="0"/>
    <x v="0"/>
    <x v="0"/>
    <s v="Save button"/>
    <s v="Save button selectable"/>
    <s v="When Courtroom field is selected, Save button is selectable"/>
    <s v="Save button becomes selectable once a change is made. "/>
  </r>
  <r>
    <n v="6"/>
    <x v="0"/>
    <s v="Both"/>
    <x v="0"/>
    <x v="0"/>
    <x v="0"/>
    <s v="Cause Type"/>
    <s v="Cause Type blank option"/>
    <s v="Cause type has a blank option field available"/>
    <s v="PB window has the 3 cause types only"/>
  </r>
  <r>
    <n v="7"/>
    <x v="0"/>
    <s v="Both"/>
    <x v="0"/>
    <x v="0"/>
    <x v="0"/>
    <s v="Window"/>
    <s v="Field Height"/>
    <s v="Field height for Clerk and Bailiff does not match other fields"/>
    <s v="May relate to Defect 15. Field height appears to increase once courtroom field is selected"/>
  </r>
  <r>
    <n v="8"/>
    <x v="1"/>
    <s v="Both"/>
    <x v="1"/>
    <x v="1"/>
    <x v="0"/>
    <s v="Print Button"/>
    <s v="Print Button does not work"/>
    <s v="Print button and File &gt; Print in web version do not print"/>
    <m/>
  </r>
  <r>
    <n v="9"/>
    <x v="1"/>
    <s v="Web Only"/>
    <x v="0"/>
    <x v="0"/>
    <x v="0"/>
    <s v="Ctrl + P Layout"/>
    <s v="Layout excludes fields"/>
    <s v="The left hand menu bar, along with some but not all of the Courtroom Setup fields display in 1 page of the print preview."/>
    <m/>
  </r>
  <r>
    <n v="10"/>
    <x v="1"/>
    <s v="PB Only"/>
    <x v="0"/>
    <x v="1"/>
    <x v="0"/>
    <s v="Ctrl + P Layout"/>
    <s v="Layout excludes fields"/>
    <s v="Some but not all fields display in the print preview."/>
    <s v="View appears to be a zoomed in Version of the NG window rather than the view from Vision."/>
  </r>
  <r>
    <n v="11"/>
    <x v="1"/>
    <s v="Both"/>
    <x v="0"/>
    <x v="1"/>
    <x v="0"/>
    <s v="Print Button and Ctrl + P"/>
    <s v="Watermark is missing"/>
    <s v="After printing with Print button or Ctrl + P, watermark is missing."/>
    <s v="Watermark will appear if WMPRINT court control is 'Y'. This value is 'Y' in all regions except production."/>
  </r>
  <r>
    <n v="12"/>
    <x v="1"/>
    <s v="Both"/>
    <x v="0"/>
    <x v="0"/>
    <x v="0"/>
    <s v="Window"/>
    <s v="Read only field visibility"/>
    <s v="Grey read only fields are hard to differentiate with the lighter gradient in the background"/>
    <s v="May be helpful to add more space between each field, or a slightly darker grey border around the fields"/>
  </r>
  <r>
    <n v="13"/>
    <x v="1"/>
    <s v="Both"/>
    <x v="0"/>
    <x v="1"/>
    <x v="0"/>
    <s v="Window"/>
    <s v="Resizing window causes field alignment issues"/>
    <s v="Minimizing vision window and adjust width or height causes sections to overlap"/>
    <m/>
  </r>
  <r>
    <n v="14"/>
    <x v="2"/>
    <s v="Both"/>
    <x v="0"/>
    <x v="0"/>
    <x v="0"/>
    <s v="F3 Refresh"/>
    <s v="F3 Refresh Courtroom field"/>
    <s v="F3 refresh does not clear the Courtroom field"/>
    <m/>
  </r>
  <r>
    <n v="15"/>
    <x v="2"/>
    <s v="Both"/>
    <x v="0"/>
    <x v="0"/>
    <x v="0"/>
    <s v="Courtroom field"/>
    <s v="Grid expands"/>
    <s v="When Courtroom field is selected, the bottom edge of the form expands"/>
    <s v="This may relate to Defect 7. These two fields match the height of other fields before courtroom is selected"/>
  </r>
  <r>
    <n v="16"/>
    <x v="2"/>
    <s v="Both"/>
    <x v="0"/>
    <x v="0"/>
    <x v="0"/>
    <s v="Field Labels"/>
    <s v="Field labels have inconsistent alignment with field"/>
    <s v="Field labels should be middle aligned with the field per UI Guideline 88"/>
    <s v="UI Guideline 88 was added after template was created/ updated."/>
  </r>
  <r>
    <n v="17"/>
    <x v="3"/>
    <s v="Both"/>
    <x v="0"/>
    <x v="0"/>
    <x v="0"/>
    <s v="Button"/>
    <s v="Button type"/>
    <s v="Button type should be Primary button type - Blue with white text"/>
    <s v="UI Guideline 7"/>
  </r>
  <r>
    <n v="18"/>
    <x v="4"/>
    <s v="Both"/>
    <x v="0"/>
    <x v="0"/>
    <x v="0"/>
    <s v="Window border"/>
    <s v="Window border thickness does not match other windows"/>
    <s v="Window border height/ width should match the smaller sections, and other window sections"/>
    <s v="UI Guideline 90 was added after issue was identifi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n v="1"/>
    <d v="2026-02-26T00:00:00"/>
    <s v="Both"/>
    <x v="0"/>
    <x v="0"/>
    <x v="0"/>
    <s v="Window"/>
    <s v="White bar on top of window"/>
    <s v="Gradient background begins at the blue border. Expected result is the gradient background appears at the top of the window"/>
    <s v="Appears when Blazor courtroom is not the first window opened for the day. This white space is not visible, and the blue border is at the top of the window during the first open."/>
    <d v="2026-04-15T00:00:00"/>
    <s v="Pass"/>
    <m/>
    <s v="3/23 SM - has been addressed."/>
  </r>
  <r>
    <n v="2"/>
    <d v="2026-02-26T00:00:00"/>
    <s v="Both"/>
    <x v="0"/>
    <x v="0"/>
    <x v="0"/>
    <s v="Window"/>
    <s v="No space top of window"/>
    <s v="During first window open of the day, the blue border is at the top of the window."/>
    <s v="This behavior does not match ID 1 behavior. "/>
    <d v="2026-04-15T00:00:00"/>
    <s v="Pass"/>
    <m/>
    <s v="3/26 SM - has been addressed."/>
  </r>
  <r>
    <n v="3"/>
    <d v="2026-02-26T00:00:00"/>
    <s v="Both"/>
    <x v="0"/>
    <x v="0"/>
    <x v="1"/>
    <s v="Courtroom field"/>
    <s v="Dropdown Order"/>
    <s v="Dropdown order is alphabetic"/>
    <s v="Dropdown order is alphabetic by capital letters, then lowercase letters. For example, CJC displays before Central"/>
    <m/>
    <m/>
    <s v="3/17/26 - leave as is"/>
    <s v="3/18 SM - leaving as is"/>
  </r>
  <r>
    <n v="4"/>
    <d v="2026-02-26T00:00:00"/>
    <s v="Both"/>
    <x v="1"/>
    <x v="0"/>
    <x v="0"/>
    <s v="Reporter field"/>
    <s v="Blank display"/>
    <s v="If reporter field displays the person_nbr in database, the new window displays blank. See Collections - Newport Beach in QA"/>
    <s v="The old window displays the person_nbr instead of the reporter name. This issue may occur for other fields if the number is retrieved instead of the name. This behavior should not occur often"/>
    <d v="2026-04-15T00:00:00"/>
    <s v="Pass"/>
    <m/>
    <s v="4/13 SM - has been addressed"/>
  </r>
  <r>
    <n v="5"/>
    <d v="2026-02-26T00:00:00"/>
    <s v="Both"/>
    <x v="0"/>
    <x v="0"/>
    <x v="0"/>
    <s v="Save button"/>
    <s v="Save button selectable"/>
    <s v="When Courtroom field is selected, Save button is selectable"/>
    <s v="Save button becomes selectable once a change is made. "/>
    <d v="2026-04-15T00:00:00"/>
    <s v="Pass with Comments"/>
    <s v="4/15 BY: See defect 23"/>
    <s v="3/17 SM - modified. Now save button is active once courtroom is selected"/>
  </r>
  <r>
    <n v="6"/>
    <d v="2026-02-26T00:00:00"/>
    <s v="Both"/>
    <x v="0"/>
    <x v="0"/>
    <x v="0"/>
    <s v="Cause Type"/>
    <s v="Cause Type blank option"/>
    <s v="Cause type has a blank option field available"/>
    <s v="PB window has the 3 cause types only"/>
    <d v="2026-04-15T00:00:00"/>
    <s v="Pass"/>
    <m/>
    <s v="3/16 SM - has been addressed. Removed blank option"/>
  </r>
  <r>
    <n v="7"/>
    <d v="2026-02-26T00:00:00"/>
    <s v="Both"/>
    <x v="0"/>
    <x v="0"/>
    <x v="0"/>
    <s v="Window"/>
    <s v="Field Height"/>
    <s v="Field height for Clerk and Bailiff does not match other fields"/>
    <s v="May relate to Defect 15. Field height appears to increase once courtroom field is selected"/>
    <d v="2026-04-15T00:00:00"/>
    <s v="Pass"/>
    <m/>
    <s v="3/16 SM - has been addressed. Clerk and Bailiff are custom dropdown because. Styling has been adjusted to match the rest"/>
  </r>
  <r>
    <n v="8"/>
    <d v="2026-03-02T00:00:00"/>
    <s v="Both"/>
    <x v="1"/>
    <x v="1"/>
    <x v="0"/>
    <s v="Print Button"/>
    <s v="Print Button does not work"/>
    <s v="Print button and File &gt; Print in web version do not print"/>
    <m/>
    <d v="2026-04-15T00:00:00"/>
    <s v="Pass"/>
    <m/>
    <s v="3/26 SM - printing has been removed"/>
  </r>
  <r>
    <n v="9"/>
    <d v="2026-03-02T00:00:00"/>
    <s v="Web Only"/>
    <x v="0"/>
    <x v="0"/>
    <x v="0"/>
    <s v="Ctrl + P Layout"/>
    <s v="Layout excludes fields"/>
    <s v="The left hand menu bar, along with some but not all of the Courtroom Setup fields display in 1 page of the print preview."/>
    <m/>
    <d v="2026-04-15T00:00:00"/>
    <s v="Pass with Comments"/>
    <s v="4/15 BY: See defect 21"/>
    <s v="3/26 SM - printing has been removed"/>
  </r>
  <r>
    <n v="10"/>
    <d v="2026-03-02T00:00:00"/>
    <s v="PB Only"/>
    <x v="0"/>
    <x v="1"/>
    <x v="0"/>
    <s v="Ctrl + P Layout"/>
    <s v="Layout excludes fields"/>
    <s v="Some but not all fields display in the print preview."/>
    <s v="View appears to be a zoomed in Version of the NG window rather than the view from Vision."/>
    <d v="2026-04-15T00:00:00"/>
    <s v="Pass with Comments"/>
    <s v="4/15 BY: See defect 21"/>
    <s v="3/26 SM - printing has been removed"/>
  </r>
  <r>
    <n v="11"/>
    <d v="2026-03-02T00:00:00"/>
    <s v="Both"/>
    <x v="0"/>
    <x v="1"/>
    <x v="0"/>
    <s v="Print Button and Ctrl + P"/>
    <s v="Watermark is missing"/>
    <s v="After printing with Print button or Ctrl + P, watermark is missing."/>
    <s v="Watermark will appear if WMPRINT court control is 'Y'. This value is 'Y' in all regions except production."/>
    <d v="2026-04-15T00:00:00"/>
    <s v="Pass with Comments"/>
    <s v="4/15 BY: See defect 21"/>
    <s v="3/26 SM - printing has been removed"/>
  </r>
  <r>
    <n v="12"/>
    <d v="2026-03-02T00:00:00"/>
    <s v="Both"/>
    <x v="0"/>
    <x v="0"/>
    <x v="0"/>
    <s v="Window"/>
    <s v="Read only field visibility"/>
    <s v="Grey read only fields are hard to differentiate with the lighter gradient in the background"/>
    <s v="May be helpful to add more space between each field, or a slightly darker grey border around the fields"/>
    <d v="2026-04-15T00:00:00"/>
    <s v="Pass"/>
    <m/>
    <s v="3/16 SM - replaced enabled=false to readonly=true. Previous styling was before UI Guideline "/>
  </r>
  <r>
    <n v="13"/>
    <d v="2026-03-02T00:00:00"/>
    <s v="Both"/>
    <x v="0"/>
    <x v="1"/>
    <x v="0"/>
    <s v="Window"/>
    <s v="Resizing window causes field alignment issues"/>
    <s v="Minimizing vision window and adjust width or height causes sections to overlap"/>
    <m/>
    <d v="2026-04-15T00:00:00"/>
    <s v="Pass"/>
    <m/>
    <s v="3/17 SM - has been addressed. window is now responsive "/>
  </r>
  <r>
    <n v="14"/>
    <d v="2026-03-06T00:00:00"/>
    <s v="Both"/>
    <x v="0"/>
    <x v="0"/>
    <x v="0"/>
    <s v="F3 Refresh"/>
    <s v="F3 Refresh Courtroom field"/>
    <s v="F3 refresh does not clear the Courtroom field"/>
    <m/>
    <d v="2026-04-21T00:00:00"/>
    <s v="Pass"/>
    <s v="4/15 BY: Defect still exists. Defect 22 is related."/>
    <s v="4/16 SM - refresh F3 clears out the courtroom field and all other fields + disables save button"/>
  </r>
  <r>
    <n v="15"/>
    <d v="2026-03-06T00:00:00"/>
    <s v="Both"/>
    <x v="0"/>
    <x v="0"/>
    <x v="0"/>
    <s v="Courtroom field"/>
    <s v="Grid expands"/>
    <s v="When Courtroom field is selected, the bottom edge of the form expands"/>
    <s v="This may relate to Defect 7. These two fields match the height of other fields before courtroom is selected"/>
    <d v="2026-04-15T00:00:00"/>
    <s v="Pass"/>
    <m/>
    <s v="3/17 SM - has been addressed. Layout shift occoured bcz height would change due to incoming data. Fields now have a minimum set height to avoid this."/>
  </r>
  <r>
    <n v="16"/>
    <d v="2026-03-06T00:00:00"/>
    <s v="Both"/>
    <x v="0"/>
    <x v="0"/>
    <x v="0"/>
    <s v="Field Labels"/>
    <s v="Field labels have inconsistent alignment with field"/>
    <s v="Field labels should be middle aligned with the field per UI Guideline 88"/>
    <s v="UI Guideline 88 was added after template was created/ updated."/>
    <d v="2026-04-15T00:00:00"/>
    <s v="Pass"/>
    <m/>
    <s v="3/16 SM - has been addressed. Field labels have been center aligned."/>
  </r>
  <r>
    <n v="17"/>
    <d v="2026-03-17T00:00:00"/>
    <s v="Both"/>
    <x v="0"/>
    <x v="0"/>
    <x v="0"/>
    <s v="Button"/>
    <s v="Button type"/>
    <s v="Button type should be Primary button type - Blue with white text"/>
    <s v="UI Guideline 7"/>
    <d v="2026-04-15T00:00:00"/>
    <s v="Pass"/>
    <m/>
    <s v="3/17 SM - has been addressed. Buttons are blue. Reset button is grey until user can reset the form"/>
  </r>
  <r>
    <n v="18"/>
    <d v="2026-03-18T00:00:00"/>
    <s v="Both"/>
    <x v="0"/>
    <x v="0"/>
    <x v="0"/>
    <s v="Window border"/>
    <s v="Window border thickness does not match other windows"/>
    <s v="Window border height/ width should match the smaller sections, and other window sections"/>
    <s v="UI Guideline 90 was added after issue was identified"/>
    <d v="2026-04-15T00:00:00"/>
    <s v="Pass"/>
    <m/>
    <s v="3/26 SM - has been addressed."/>
  </r>
  <r>
    <n v="19"/>
    <d v="2026-04-15T00:00:00"/>
    <s v="Both"/>
    <x v="1"/>
    <x v="0"/>
    <x v="0"/>
    <s v="Window"/>
    <s v="Data loads at different times"/>
    <s v="The 'Courtroom' field selection updates before the rest of the fields. This causes the data to temporarily mismatch if a courtroom was selected."/>
    <m/>
    <d v="2026-04-23T00:00:00"/>
    <s v="Pass"/>
    <s v="4/16 BY: Devs will add a loading wheel. The window will have 65% opacity while the loading wheel is present."/>
    <s v="4/16 SM - loading screen has been applied for when user modifies courtroom drop down menu. It is 65% (Partial) opacity"/>
  </r>
  <r>
    <n v="20"/>
    <d v="2026-04-15T00:00:00"/>
    <s v="PB Only"/>
    <x v="0"/>
    <x v="0"/>
    <x v="0"/>
    <s v="Updated and By fields"/>
    <s v="Text size does not match other window areas"/>
    <s v="Value font size is larger than the field label font size. The value should match the font size."/>
    <m/>
    <d v="2026-05-08T00:00:00"/>
    <s v="Pass"/>
    <s v="4/21: Defect still exists"/>
    <s v="4/23 SM - targeted the body element to set size to 13px globally."/>
  </r>
  <r>
    <n v="21"/>
    <d v="2026-04-15T00:00:00"/>
    <s v="Both"/>
    <x v="1"/>
    <x v="2"/>
    <x v="0"/>
    <s v="Print Feature"/>
    <s v="Printing is enabled"/>
    <s v="Ctrl + P short key works for blazor window. Previous decision was to remove the print functionality."/>
    <m/>
    <d v="2026-05-08T00:00:00"/>
    <s v="Pass"/>
    <s v="4/15: Print was enabled in all windows to test print functionality. Devs will remove this in the next QA iteration._x000a_4/21: Ctrl + P is not disabled in latest QA version"/>
    <s v="4/23 SM - used stopImmediatePropogation to prevent javascript default event from triggering default print. Need to reload JS to fix"/>
  </r>
  <r>
    <n v="22"/>
    <d v="2026-04-15T00:00:00"/>
    <s v="Both"/>
    <x v="0"/>
    <x v="2"/>
    <x v="0"/>
    <s v="Save button"/>
    <s v="Save button is selectable on window open"/>
    <s v="Save button is selectable on window open. Save button should not be selectable until the Courtroom option is selected"/>
    <s v="This definition was not clear in Defect ID 5. BSA error."/>
    <d v="2026-04-21T00:00:00"/>
    <s v="Pass"/>
    <m/>
    <s v="4/16 SM - saving button becomes interactable after initial courtroom selection"/>
  </r>
  <r>
    <n v="23"/>
    <d v="2026-04-15T00:00:00"/>
    <s v="Both"/>
    <x v="0"/>
    <x v="1"/>
    <x v="1"/>
    <s v="All field and search values"/>
    <s v="Bottom right shift"/>
    <s v="All field values and search values are bottom aligned. These should be middle aligned"/>
    <s v="This issue occurs across blazor windows, including windows in production."/>
    <m/>
    <m/>
    <s v="4/15: Alignment will remain as is"/>
    <s v="4/16 SM - leave as is"/>
  </r>
  <r>
    <n v="24"/>
    <d v="2026-04-15T00:00:00"/>
    <s v="Both"/>
    <x v="1"/>
    <x v="2"/>
    <x v="0"/>
    <s v="F3 Refresh"/>
    <s v="F3 Refresh Courtroom field - no pending changes"/>
    <s v="F3 refresh does not work if Courtroom is selected, and there are no pending changes."/>
    <m/>
    <d v="2026-04-21T00:00:00"/>
    <s v="Pass"/>
    <m/>
    <s v="4/16 SM - refresh F3 now works when courtroom is/is not selected and when there is/is not pending changes"/>
  </r>
  <r>
    <n v="25"/>
    <d v="2026-04-15T00:00:00"/>
    <s v="Both"/>
    <x v="0"/>
    <x v="0"/>
    <x v="0"/>
    <s v="Updated Field"/>
    <s v="Updated field label alignment"/>
    <s v="Updated field label should be aligned with the other labels. By field can be moved right if needed."/>
    <m/>
    <d v="2026-04-21T00:00:00"/>
    <s v="Pass"/>
    <m/>
    <s v="4/16 SM - update label has been vertically aligned with other labels"/>
  </r>
  <r>
    <n v="26"/>
    <d v="2026-04-21T00:00:00"/>
    <s v="Both"/>
    <x v="1"/>
    <x v="1"/>
    <x v="0"/>
    <s v="Courtroom field"/>
    <s v="Dropdown Options remain after search"/>
    <s v="1. Click Courtroom Field_x000a_2. Type Search criteria like 'Z1'_x000a_3. Press Enter - Courtroom Field is empty_x000a_4. Click Courtroom Field again - Dropdown only displays results related to 'Z1'."/>
    <m/>
    <d v="2026-05-08T00:00:00"/>
    <s v="Pass"/>
    <s v="4/23: Syncfusion issue. Previously addressed in Event Codes_x000a_4/27: Syncfusion ticket #830463 expected rollout for 5/5/26"/>
    <s v="4/23 SM - removed Syncfusion workaround for ticket #828779 "/>
  </r>
  <r>
    <n v="27"/>
    <d v="2026-05-08T00:00:00"/>
    <s v="Both"/>
    <x v="1"/>
    <x v="1"/>
    <x v="2"/>
    <s v="Multiple Fields"/>
    <s v="Unit Codes updates"/>
    <s v="1. Add unit code for clerk, judicial officer, etc. _x000a_2. Open Courtroom Setup, and select applicable dropdown - newly added staff appears_x000a_3. Remove unit code for applicable staff_x000a_4. Refresh Courtroom Setup, or reopen courtroom setup - staff appears until cache is cleared"/>
    <m/>
    <m/>
    <m/>
    <m/>
    <m/>
  </r>
  <r>
    <n v="28"/>
    <d v="2026-05-08T00:00:00"/>
    <s v="Both"/>
    <x v="0"/>
    <x v="0"/>
    <x v="2"/>
    <s v="Courtroom field"/>
    <s v="Courtroom field and label alignment"/>
    <s v="Courtroom field and label should be middle aligned with the section. Currently, the field label and field are slightly towards the top of the section"/>
    <m/>
    <m/>
    <m/>
    <m/>
    <m/>
  </r>
  <r>
    <n v="29"/>
    <m/>
    <m/>
    <x v="2"/>
    <x v="3"/>
    <x v="3"/>
    <m/>
    <m/>
    <m/>
    <m/>
    <m/>
    <m/>
    <m/>
    <m/>
  </r>
  <r>
    <n v="30"/>
    <m/>
    <m/>
    <x v="2"/>
    <x v="3"/>
    <x v="3"/>
    <m/>
    <m/>
    <m/>
    <m/>
    <m/>
    <m/>
    <m/>
    <m/>
  </r>
  <r>
    <n v="31"/>
    <m/>
    <m/>
    <x v="2"/>
    <x v="3"/>
    <x v="3"/>
    <m/>
    <m/>
    <m/>
    <m/>
    <m/>
    <m/>
    <m/>
    <m/>
  </r>
  <r>
    <n v="32"/>
    <m/>
    <m/>
    <x v="2"/>
    <x v="3"/>
    <x v="3"/>
    <m/>
    <m/>
    <m/>
    <m/>
    <m/>
    <m/>
    <m/>
    <m/>
  </r>
  <r>
    <n v="33"/>
    <m/>
    <m/>
    <x v="2"/>
    <x v="3"/>
    <x v="3"/>
    <m/>
    <m/>
    <m/>
    <m/>
    <m/>
    <m/>
    <m/>
    <m/>
  </r>
  <r>
    <n v="34"/>
    <m/>
    <m/>
    <x v="2"/>
    <x v="3"/>
    <x v="3"/>
    <m/>
    <m/>
    <m/>
    <m/>
    <m/>
    <m/>
    <m/>
    <m/>
  </r>
  <r>
    <n v="35"/>
    <m/>
    <m/>
    <x v="2"/>
    <x v="3"/>
    <x v="3"/>
    <m/>
    <m/>
    <m/>
    <m/>
    <m/>
    <m/>
    <m/>
    <m/>
  </r>
  <r>
    <n v="36"/>
    <m/>
    <m/>
    <x v="2"/>
    <x v="3"/>
    <x v="3"/>
    <m/>
    <m/>
    <m/>
    <m/>
    <m/>
    <m/>
    <m/>
    <m/>
  </r>
  <r>
    <n v="37"/>
    <m/>
    <m/>
    <x v="2"/>
    <x v="3"/>
    <x v="3"/>
    <m/>
    <m/>
    <m/>
    <m/>
    <m/>
    <m/>
    <m/>
    <m/>
  </r>
  <r>
    <n v="38"/>
    <m/>
    <m/>
    <x v="2"/>
    <x v="3"/>
    <x v="3"/>
    <m/>
    <m/>
    <m/>
    <m/>
    <m/>
    <m/>
    <m/>
    <m/>
  </r>
  <r>
    <n v="39"/>
    <m/>
    <m/>
    <x v="2"/>
    <x v="3"/>
    <x v="3"/>
    <m/>
    <m/>
    <m/>
    <m/>
    <m/>
    <m/>
    <m/>
    <m/>
  </r>
  <r>
    <n v="40"/>
    <m/>
    <m/>
    <x v="2"/>
    <x v="3"/>
    <x v="3"/>
    <m/>
    <m/>
    <m/>
    <m/>
    <m/>
    <m/>
    <m/>
    <m/>
  </r>
  <r>
    <n v="41"/>
    <m/>
    <m/>
    <x v="2"/>
    <x v="3"/>
    <x v="3"/>
    <m/>
    <m/>
    <m/>
    <m/>
    <m/>
    <m/>
    <m/>
    <m/>
  </r>
  <r>
    <n v="42"/>
    <m/>
    <m/>
    <x v="2"/>
    <x v="3"/>
    <x v="3"/>
    <m/>
    <m/>
    <m/>
    <m/>
    <m/>
    <m/>
    <m/>
    <m/>
  </r>
  <r>
    <n v="43"/>
    <m/>
    <m/>
    <x v="2"/>
    <x v="3"/>
    <x v="3"/>
    <m/>
    <m/>
    <m/>
    <m/>
    <m/>
    <m/>
    <m/>
    <m/>
  </r>
  <r>
    <n v="44"/>
    <m/>
    <m/>
    <x v="2"/>
    <x v="3"/>
    <x v="3"/>
    <m/>
    <m/>
    <m/>
    <m/>
    <m/>
    <m/>
    <m/>
    <m/>
  </r>
  <r>
    <n v="45"/>
    <m/>
    <m/>
    <x v="2"/>
    <x v="3"/>
    <x v="3"/>
    <m/>
    <m/>
    <m/>
    <m/>
    <m/>
    <m/>
    <m/>
    <m/>
  </r>
  <r>
    <n v="46"/>
    <m/>
    <m/>
    <x v="2"/>
    <x v="3"/>
    <x v="3"/>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1"/>
    <d v="2026-02-26T00:00:00"/>
    <s v="Both"/>
    <x v="0"/>
    <x v="0"/>
    <x v="0"/>
    <s v="Window"/>
    <s v="White bar on top of window"/>
    <s v="Gradient background begins at the blue border. Expected result is the gradient background appears at the top of the window"/>
    <s v="Appears when Blazor courtroom is not the first window opened for the day. This white space is not visible, and the blue border is at the top of the window during the first open."/>
    <d v="2026-04-15T00:00:00"/>
    <s v="Pass"/>
    <m/>
    <s v="3/23 SM - has been addressed."/>
  </r>
  <r>
    <n v="2"/>
    <d v="2026-02-26T00:00:00"/>
    <s v="Both"/>
    <x v="0"/>
    <x v="0"/>
    <x v="0"/>
    <s v="Window"/>
    <s v="No space top of window"/>
    <s v="During first window open of the day, the blue border is at the top of the window."/>
    <s v="This behavior does not match ID 1 behavior. "/>
    <d v="2026-04-15T00:00:00"/>
    <s v="Pass"/>
    <m/>
    <s v="3/26 SM - has been addressed."/>
  </r>
  <r>
    <n v="3"/>
    <d v="2026-02-26T00:00:00"/>
    <s v="Both"/>
    <x v="0"/>
    <x v="0"/>
    <x v="1"/>
    <s v="Courtroom field"/>
    <s v="Dropdown Order"/>
    <s v="Dropdown order is alphabetic"/>
    <s v="Dropdown order is alphabetic by capital letters, then lowercase letters. For example, CJC displays before Central"/>
    <m/>
    <m/>
    <s v="3/17/26 - leave as is"/>
    <s v="3/18 SM - leaving as is"/>
  </r>
  <r>
    <n v="4"/>
    <d v="2026-02-26T00:00:00"/>
    <s v="Both"/>
    <x v="1"/>
    <x v="0"/>
    <x v="0"/>
    <s v="Reporter field"/>
    <s v="Blank display"/>
    <s v="If reporter field displays the person_nbr in database, the new window displays blank. See Collections - Newport Beach in QA"/>
    <s v="The old window displays the person_nbr instead of the reporter name. This issue may occur for other fields if the number is retrieved instead of the name. This behavior should not occur often"/>
    <d v="2026-04-15T00:00:00"/>
    <s v="Pass"/>
    <m/>
    <s v="4/13 SM - has been addressed"/>
  </r>
  <r>
    <n v="5"/>
    <d v="2026-02-26T00:00:00"/>
    <s v="Both"/>
    <x v="0"/>
    <x v="0"/>
    <x v="0"/>
    <s v="Save button"/>
    <s v="Save button selectable"/>
    <s v="When Courtroom field is selected, Save button is selectable"/>
    <s v="Save button becomes selectable once a change is made. "/>
    <d v="2026-04-15T00:00:00"/>
    <s v="Pass with Comments"/>
    <s v="4/15 BY: See defect 23"/>
    <s v="3/17 SM - modified. Now save button is active once courtroom is selected"/>
  </r>
  <r>
    <n v="6"/>
    <d v="2026-02-26T00:00:00"/>
    <s v="Both"/>
    <x v="0"/>
    <x v="0"/>
    <x v="0"/>
    <s v="Cause Type"/>
    <s v="Cause Type blank option"/>
    <s v="Cause type has a blank option field available"/>
    <s v="PB window has the 3 cause types only"/>
    <d v="2026-04-15T00:00:00"/>
    <s v="Pass"/>
    <m/>
    <s v="3/16 SM - has been addressed. Removed blank option"/>
  </r>
  <r>
    <n v="7"/>
    <d v="2026-02-26T00:00:00"/>
    <s v="Both"/>
    <x v="0"/>
    <x v="0"/>
    <x v="0"/>
    <s v="Window"/>
    <s v="Field Height"/>
    <s v="Field height for Clerk and Bailiff does not match other fields"/>
    <s v="May relate to Defect 15. Field height appears to increase once courtroom field is selected"/>
    <d v="2026-04-15T00:00:00"/>
    <s v="Pass"/>
    <m/>
    <s v="3/16 SM - has been addressed. Clerk and Bailiff are custom dropdown because. Styling has been adjusted to match the rest"/>
  </r>
  <r>
    <n v="8"/>
    <d v="2026-03-02T00:00:00"/>
    <s v="Both"/>
    <x v="1"/>
    <x v="1"/>
    <x v="0"/>
    <s v="Print Button"/>
    <s v="Print Button does not work"/>
    <s v="Print button and File &gt; Print in web version do not print"/>
    <m/>
    <d v="2026-04-15T00:00:00"/>
    <s v="Pass"/>
    <m/>
    <s v="3/26 SM - printing has been removed"/>
  </r>
  <r>
    <n v="9"/>
    <d v="2026-03-02T00:00:00"/>
    <s v="Web Only"/>
    <x v="0"/>
    <x v="0"/>
    <x v="0"/>
    <s v="Ctrl + P Layout"/>
    <s v="Layout excludes fields"/>
    <s v="The left hand menu bar, along with some but not all of the Courtroom Setup fields display in 1 page of the print preview."/>
    <m/>
    <d v="2026-04-15T00:00:00"/>
    <s v="Pass with Comments"/>
    <s v="4/15 BY: See defect 21"/>
    <s v="3/26 SM - printing has been removed"/>
  </r>
  <r>
    <n v="10"/>
    <d v="2026-03-02T00:00:00"/>
    <s v="PB Only"/>
    <x v="0"/>
    <x v="1"/>
    <x v="0"/>
    <s v="Ctrl + P Layout"/>
    <s v="Layout excludes fields"/>
    <s v="Some but not all fields display in the print preview."/>
    <s v="View appears to be a zoomed in Version of the NG window rather than the view from Vision."/>
    <d v="2026-04-15T00:00:00"/>
    <s v="Pass with Comments"/>
    <s v="4/15 BY: See defect 21"/>
    <s v="3/26 SM - printing has been removed"/>
  </r>
  <r>
    <n v="11"/>
    <d v="2026-03-02T00:00:00"/>
    <s v="Both"/>
    <x v="0"/>
    <x v="1"/>
    <x v="0"/>
    <s v="Print Button and Ctrl + P"/>
    <s v="Watermark is missing"/>
    <s v="After printing with Print button or Ctrl + P, watermark is missing."/>
    <s v="Watermark will appear if WMPRINT court control is 'Y'. This value is 'Y' in all regions except production."/>
    <d v="2026-04-15T00:00:00"/>
    <s v="Pass with Comments"/>
    <s v="4/15 BY: See defect 21"/>
    <s v="3/26 SM - printing has been removed"/>
  </r>
  <r>
    <n v="12"/>
    <d v="2026-03-02T00:00:00"/>
    <s v="Both"/>
    <x v="0"/>
    <x v="0"/>
    <x v="0"/>
    <s v="Window"/>
    <s v="Read only field visibility"/>
    <s v="Grey read only fields are hard to differentiate with the lighter gradient in the background"/>
    <s v="May be helpful to add more space between each field, or a slightly darker grey border around the fields"/>
    <d v="2026-04-15T00:00:00"/>
    <s v="Pass"/>
    <m/>
    <s v="3/16 SM - replaced enabled=false to readonly=true. Previous styling was before UI Guideline "/>
  </r>
  <r>
    <n v="13"/>
    <d v="2026-03-02T00:00:00"/>
    <s v="Both"/>
    <x v="0"/>
    <x v="1"/>
    <x v="0"/>
    <s v="Window"/>
    <s v="Resizing window causes field alignment issues"/>
    <s v="Minimizing vision window and adjust width or height causes sections to overlap"/>
    <m/>
    <d v="2026-04-15T00:00:00"/>
    <s v="Pass"/>
    <m/>
    <s v="3/17 SM - has been addressed. window is now responsive "/>
  </r>
  <r>
    <n v="14"/>
    <d v="2026-03-06T00:00:00"/>
    <s v="Both"/>
    <x v="0"/>
    <x v="0"/>
    <x v="0"/>
    <s v="F3 Refresh"/>
    <s v="F3 Refresh Courtroom field"/>
    <s v="F3 refresh does not clear the Courtroom field"/>
    <m/>
    <d v="2026-04-21T00:00:00"/>
    <s v="Pass"/>
    <s v="4/15 BY: Defect still exists. Defect 22 is related."/>
    <s v="4/16 SM - refresh F3 clears out the courtroom field and all other fields + disables save button"/>
  </r>
  <r>
    <n v="15"/>
    <d v="2026-03-06T00:00:00"/>
    <s v="Both"/>
    <x v="0"/>
    <x v="0"/>
    <x v="0"/>
    <s v="Courtroom field"/>
    <s v="Grid expands"/>
    <s v="When Courtroom field is selected, the bottom edge of the form expands"/>
    <s v="This may relate to Defect 7. These two fields match the height of other fields before courtroom is selected"/>
    <d v="2026-04-15T00:00:00"/>
    <s v="Pass"/>
    <m/>
    <s v="3/17 SM - has been addressed. Layout shift occoured bcz height would change due to incoming data. Fields now have a minimum set height to avoid this."/>
  </r>
  <r>
    <n v="16"/>
    <d v="2026-03-06T00:00:00"/>
    <s v="Both"/>
    <x v="0"/>
    <x v="0"/>
    <x v="0"/>
    <s v="Field Labels"/>
    <s v="Field labels have inconsistent alignment with field"/>
    <s v="Field labels should be middle aligned with the field per UI Guideline 88"/>
    <s v="UI Guideline 88 was added after template was created/ updated."/>
    <d v="2026-04-15T00:00:00"/>
    <s v="Pass"/>
    <m/>
    <s v="3/16 SM - has been addressed. Field labels have been center aligned."/>
  </r>
  <r>
    <n v="17"/>
    <d v="2026-03-17T00:00:00"/>
    <s v="Both"/>
    <x v="0"/>
    <x v="0"/>
    <x v="0"/>
    <s v="Button"/>
    <s v="Button type"/>
    <s v="Button type should be Primary button type - Blue with white text"/>
    <s v="UI Guideline 7"/>
    <d v="2026-04-15T00:00:00"/>
    <s v="Pass"/>
    <m/>
    <s v="3/17 SM - has been addressed. Buttons are blue. Reset button is grey until user can reset the form"/>
  </r>
  <r>
    <n v="18"/>
    <d v="2026-03-18T00:00:00"/>
    <s v="Both"/>
    <x v="0"/>
    <x v="0"/>
    <x v="0"/>
    <s v="Window border"/>
    <s v="Window border thickness does not match other windows"/>
    <s v="Window border height/ width should match the smaller sections, and other window sections"/>
    <s v="UI Guideline 90 was added after issue was identified"/>
    <d v="2026-04-15T00:00:00"/>
    <s v="Pass"/>
    <m/>
    <s v="3/26 SM - has been addressed."/>
  </r>
  <r>
    <n v="19"/>
    <d v="2026-04-15T00:00:00"/>
    <s v="Both"/>
    <x v="1"/>
    <x v="0"/>
    <x v="0"/>
    <s v="Window"/>
    <s v="Data loads at different times"/>
    <s v="The 'Courtroom' field selection updates before the rest of the fields. This causes the data to temporarily mismatch if a courtroom was selected."/>
    <m/>
    <d v="2026-04-23T00:00:00"/>
    <s v="Pass"/>
    <s v="4/16 BY: Devs will add a loading wheel. The window will have 65% opacity while the loading wheel is present."/>
    <s v="4/16 SM - loading screen has been applied for when user modifies courtroom drop down menu. It is 65% (Partial) opacity"/>
  </r>
  <r>
    <n v="20"/>
    <d v="2026-04-15T00:00:00"/>
    <s v="PB Only"/>
    <x v="0"/>
    <x v="0"/>
    <x v="0"/>
    <s v="Updated and By fields"/>
    <s v="Text size does not match other window areas"/>
    <s v="Value font size is larger than the field label font size. The value should match the font size."/>
    <m/>
    <d v="2026-05-08T00:00:00"/>
    <s v="Pass"/>
    <s v="4/21: Defect still exists"/>
    <s v="4/23 SM - targeted the body element to set size to 13px globally."/>
  </r>
  <r>
    <n v="21"/>
    <d v="2026-04-15T00:00:00"/>
    <s v="Both"/>
    <x v="1"/>
    <x v="2"/>
    <x v="0"/>
    <s v="Print Feature"/>
    <s v="Printing is enabled"/>
    <s v="Ctrl + P short key works for blazor window. Previous decision was to remove the print functionality."/>
    <m/>
    <d v="2026-05-08T00:00:00"/>
    <s v="Pass"/>
    <s v="4/15: Print was enabled in all windows to test print functionality. Devs will remove this in the next QA iteration._x000a_4/21: Ctrl + P is not disabled in latest QA version"/>
    <s v="4/23 SM - used stopImmediatePropogation to prevent javascript default event from triggering default print. Need to reload JS to fix"/>
  </r>
  <r>
    <n v="22"/>
    <d v="2026-04-15T00:00:00"/>
    <s v="Both"/>
    <x v="0"/>
    <x v="2"/>
    <x v="0"/>
    <s v="Save button"/>
    <s v="Save button is selectable on window open"/>
    <s v="Save button is selectable on window open. Save button should not be selectable until the Courtroom option is selected"/>
    <s v="This definition was not clear in Defect ID 5. BSA error."/>
    <d v="2026-04-21T00:00:00"/>
    <s v="Pass"/>
    <m/>
    <s v="4/16 SM - saving button becomes interactable after initial courtroom selection"/>
  </r>
  <r>
    <n v="23"/>
    <d v="2026-04-15T00:00:00"/>
    <s v="Both"/>
    <x v="0"/>
    <x v="1"/>
    <x v="1"/>
    <s v="All field and search values"/>
    <s v="Bottom right shift"/>
    <s v="All field values and search values are bottom aligned. These should be middle aligned"/>
    <s v="This issue occurs across blazor windows, including windows in production."/>
    <m/>
    <m/>
    <s v="4/15: Alignment will remain as is"/>
    <s v="4/16 SM - leave as is"/>
  </r>
  <r>
    <n v="24"/>
    <d v="2026-04-15T00:00:00"/>
    <s v="Both"/>
    <x v="1"/>
    <x v="2"/>
    <x v="0"/>
    <s v="F3 Refresh"/>
    <s v="F3 Refresh Courtroom field - no pending changes"/>
    <s v="F3 refresh does not work if Courtroom is selected, and there are no pending changes."/>
    <m/>
    <d v="2026-04-21T00:00:00"/>
    <s v="Pass"/>
    <m/>
    <s v="4/16 SM - refresh F3 now works when courtroom is/is not selected and when there is/is not pending changes"/>
  </r>
  <r>
    <n v="25"/>
    <d v="2026-04-15T00:00:00"/>
    <s v="Both"/>
    <x v="0"/>
    <x v="0"/>
    <x v="0"/>
    <s v="Updated Field"/>
    <s v="Updated field label alignment"/>
    <s v="Updated field label should be aligned with the other labels. By field can be moved right if needed."/>
    <m/>
    <d v="2026-04-21T00:00:00"/>
    <s v="Pass"/>
    <m/>
    <s v="4/16 SM - update label has been vertically aligned with other labels"/>
  </r>
  <r>
    <n v="26"/>
    <d v="2026-04-21T00:00:00"/>
    <s v="Both"/>
    <x v="1"/>
    <x v="1"/>
    <x v="0"/>
    <s v="Courtroom field"/>
    <s v="Dropdown Options remain after search"/>
    <s v="1. Click Courtroom Field_x000a_2. Type Search criteria like 'Z1'_x000a_3. Press Enter - Courtroom Field is empty_x000a_4. Click Courtroom Field again - Dropdown only displays results related to 'Z1'."/>
    <m/>
    <d v="2026-05-08T00:00:00"/>
    <s v="Pass"/>
    <s v="4/23: Syncfusion issue. Previously addressed in Event Codes_x000a_4/27: Syncfusion ticket #830463 expected rollout for 5/5/26"/>
    <s v="4/23 SM - removed Syncfusion workaround for ticket #828779 "/>
  </r>
  <r>
    <n v="27"/>
    <d v="2026-05-08T00:00:00"/>
    <s v="Both"/>
    <x v="1"/>
    <x v="1"/>
    <x v="0"/>
    <s v="Multiple Fields"/>
    <s v="Unit Codes updates"/>
    <s v="1. Add unit code for clerk, judicial officer, etc. _x000a_2. Open Courtroom Setup, and select applicable dropdown - newly added staff appears_x000a_3. Remove unit code for applicable staff_x000a_4. Refresh Courtroom Setup, or reopen courtroom setup - staff appears until cache is cleared"/>
    <s v="PB window shows updates after closing and reopening the window since refresh is not available"/>
    <d v="2026-05-13T00:00:00"/>
    <s v="Pass"/>
    <m/>
    <s v="5/8/26 SM - has been addressed"/>
  </r>
  <r>
    <n v="28"/>
    <d v="2026-05-08T00:00:00"/>
    <s v="Both"/>
    <x v="0"/>
    <x v="0"/>
    <x v="0"/>
    <s v="Courtroom field"/>
    <s v="Courtroom field and label alignment"/>
    <s v="Courtroom field and label should be middle aligned with the section. Currently, the field label and field are slightly towards the top of the section"/>
    <m/>
    <d v="2026-05-13T00:00:00"/>
    <s v="Pass"/>
    <m/>
    <s v="5/8/26 SM - has been addressed, removed bottom margin."/>
  </r>
  <r>
    <n v="29"/>
    <d v="2026-05-13T00:00:00"/>
    <s v="Both"/>
    <x v="0"/>
    <x v="0"/>
    <x v="0"/>
    <s v="Fields with Names"/>
    <s v="Full name flashes before applicable format"/>
    <s v="1. Open Courtroom Setup_x000a_2. Select a courtroom with clerk or bailiff - Courtroom flashes after the loading wheel dissapears "/>
    <s v="Expected result is the correct format appears when the loading wheel disappears"/>
    <d v="2026-05-15T00:00:00"/>
    <s v="Pass"/>
    <s v="5/14: Upcoming QA fix for this issue results in the dropdowns appearing in the disabled fields. See Screenshots tab ID 29 - before fix, and 29 - after fix"/>
    <s v="5/14/26 SM - has been addressed"/>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
    <d v="2026-02-26T00:00:00"/>
    <s v="Both"/>
    <x v="0"/>
    <x v="0"/>
    <x v="0"/>
    <s v="Window"/>
    <s v="White bar on top of window"/>
    <s v="Gradient background begins at the blue border. Expected result is the gradient background appears at the top of the window"/>
    <s v="Appears when Blazor courtroom is not the first window opened for the day. This white space is not visible, and the blue border is at the top of the window during the first open."/>
  </r>
  <r>
    <n v="2"/>
    <d v="2026-02-26T00:00:00"/>
    <s v="Both"/>
    <x v="0"/>
    <x v="0"/>
    <x v="0"/>
    <s v="Window"/>
    <s v="No space top of window"/>
    <s v="During first window open of the day, the blue border is at the top of the window."/>
    <s v="This behavior does not match ID 1 behavior. "/>
  </r>
  <r>
    <n v="3"/>
    <d v="2026-02-26T00:00:00"/>
    <s v="Both"/>
    <x v="0"/>
    <x v="0"/>
    <x v="1"/>
    <s v="Courtroom field"/>
    <s v="Dropdown Order"/>
    <s v="Dropdown order is alphabetic"/>
    <s v="Dropdown order is alphabetic by capital letters, then lowercase letters. For example, CJC displays before Central"/>
  </r>
  <r>
    <n v="4"/>
    <d v="2026-02-26T00:00:00"/>
    <s v="Both"/>
    <x v="1"/>
    <x v="0"/>
    <x v="0"/>
    <s v="Reporter field"/>
    <s v="Blank display"/>
    <s v="If reporter field displays the person_nbr in database, the new window displays blank. See Collections - Newport Beach in QA"/>
    <s v="The old window displays the person_nbr instead of the reporter name. This issue may occur for other fields if the number is retrieved instead of the name. This behavior should not occur often"/>
  </r>
  <r>
    <n v="5"/>
    <d v="2026-02-26T00:00:00"/>
    <s v="Both"/>
    <x v="0"/>
    <x v="0"/>
    <x v="0"/>
    <s v="Save button"/>
    <s v="Save button selectable"/>
    <s v="When Courtroom field is selected, Save button is selectable"/>
    <s v="Save button becomes selectable once a change is made. "/>
  </r>
  <r>
    <n v="6"/>
    <d v="2026-02-26T00:00:00"/>
    <s v="Both"/>
    <x v="0"/>
    <x v="0"/>
    <x v="0"/>
    <s v="Cause Type"/>
    <s v="Cause Type blank option"/>
    <s v="Cause type has a blank option field available"/>
    <s v="PB window has the 3 cause types only"/>
  </r>
  <r>
    <n v="7"/>
    <d v="2026-02-26T00:00:00"/>
    <s v="Both"/>
    <x v="0"/>
    <x v="0"/>
    <x v="0"/>
    <s v="Window"/>
    <s v="Field Height"/>
    <s v="Field height for Clerk and Bailiff does not match other fields"/>
    <s v="May relate to Defect 15. Field height appears to increase once courtroom field is selected"/>
  </r>
  <r>
    <n v="8"/>
    <d v="2026-03-02T00:00:00"/>
    <s v="Both"/>
    <x v="1"/>
    <x v="1"/>
    <x v="0"/>
    <s v="Print Button"/>
    <s v="Print Button does not work"/>
    <s v="Print button and File &gt; Print in web version do not print"/>
    <m/>
  </r>
  <r>
    <n v="9"/>
    <d v="2026-03-02T00:00:00"/>
    <s v="Web Only"/>
    <x v="0"/>
    <x v="0"/>
    <x v="0"/>
    <s v="Ctrl + P Layout"/>
    <s v="Layout excludes fields"/>
    <s v="The left hand menu bar, along with some but not all of the Courtroom Setup fields display in 1 page of the print preview."/>
    <m/>
  </r>
  <r>
    <n v="10"/>
    <d v="2026-03-02T00:00:00"/>
    <s v="PB Only"/>
    <x v="0"/>
    <x v="1"/>
    <x v="0"/>
    <s v="Ctrl + P Layout"/>
    <s v="Layout excludes fields"/>
    <s v="Some but not all fields display in the print preview."/>
    <s v="View appears to be a zoomed in Version of the NG window rather than the view from Vision."/>
  </r>
  <r>
    <n v="11"/>
    <d v="2026-03-02T00:00:00"/>
    <s v="Both"/>
    <x v="0"/>
    <x v="1"/>
    <x v="0"/>
    <s v="Print Button and Ctrl + P"/>
    <s v="Watermark is missing"/>
    <s v="After printing with Print button or Ctrl + P, watermark is missing."/>
    <s v="Watermark will appear if WMPRINT court control is 'Y'. This value is 'Y' in all regions except production."/>
  </r>
  <r>
    <n v="12"/>
    <d v="2026-03-02T00:00:00"/>
    <s v="Both"/>
    <x v="0"/>
    <x v="0"/>
    <x v="0"/>
    <s v="Window"/>
    <s v="Read only field visibility"/>
    <s v="Grey read only fields are hard to differentiate with the lighter gradient in the background"/>
    <s v="May be helpful to add more space between each field, or a slightly darker grey border around the fields"/>
  </r>
  <r>
    <n v="13"/>
    <d v="2026-03-02T00:00:00"/>
    <s v="Both"/>
    <x v="0"/>
    <x v="1"/>
    <x v="0"/>
    <s v="Window"/>
    <s v="Resizing window causes field alignment issues"/>
    <s v="Minimizing vision window and adjust width or height causes sections to overlap"/>
    <m/>
  </r>
  <r>
    <n v="14"/>
    <d v="2026-03-06T00:00:00"/>
    <s v="Both"/>
    <x v="0"/>
    <x v="0"/>
    <x v="0"/>
    <s v="F3 Refresh"/>
    <s v="F3 Refresh Courtroom field"/>
    <s v="F3 refresh does not clear the Courtroom field"/>
    <m/>
  </r>
  <r>
    <n v="15"/>
    <d v="2026-03-06T00:00:00"/>
    <s v="Both"/>
    <x v="0"/>
    <x v="0"/>
    <x v="0"/>
    <s v="Courtroom field"/>
    <s v="Grid expands"/>
    <s v="When Courtroom field is selected, the bottom edge of the form expands"/>
    <s v="This may relate to Defect 7. These two fields match the height of other fields before courtroom is selected"/>
  </r>
  <r>
    <n v="16"/>
    <d v="2026-03-06T00:00:00"/>
    <s v="Both"/>
    <x v="0"/>
    <x v="0"/>
    <x v="0"/>
    <s v="Field Labels"/>
    <s v="Field labels have inconsistent alignment with field"/>
    <s v="Field labels should be middle aligned with the field per UI Guideline 88"/>
    <s v="UI Guideline 88 was added after template was created/ updated."/>
  </r>
  <r>
    <n v="17"/>
    <d v="2026-03-17T00:00:00"/>
    <s v="Both"/>
    <x v="0"/>
    <x v="0"/>
    <x v="0"/>
    <s v="Button"/>
    <s v="Button type"/>
    <s v="Button type should be Primary button type - Blue with white text"/>
    <s v="UI Guideline 7"/>
  </r>
  <r>
    <n v="18"/>
    <d v="2026-03-18T00:00:00"/>
    <s v="Both"/>
    <x v="0"/>
    <x v="0"/>
    <x v="0"/>
    <s v="Window border"/>
    <s v="Window border thickness does not match other windows"/>
    <s v="Window border height/ width should match the smaller sections, and other window sections"/>
    <s v="UI Guideline 90 was added after issue was identified"/>
  </r>
  <r>
    <n v="19"/>
    <d v="2026-04-15T00:00:00"/>
    <s v="Both"/>
    <x v="1"/>
    <x v="0"/>
    <x v="0"/>
    <s v="Window"/>
    <s v="Data loads at different times"/>
    <s v="The 'Courtroom' field selection updates before the rest of the fields. This causes the data to temporarily mismatch if a courtroom was selected."/>
    <m/>
  </r>
  <r>
    <n v="20"/>
    <d v="2026-04-15T00:00:00"/>
    <s v="PB Only"/>
    <x v="0"/>
    <x v="0"/>
    <x v="0"/>
    <s v="Updated and By fields"/>
    <s v="Text size does not match other window areas"/>
    <s v="Value font size is larger than the field label font size. The value should match the font size."/>
    <m/>
  </r>
  <r>
    <n v="21"/>
    <d v="2026-04-15T00:00:00"/>
    <s v="Both"/>
    <x v="1"/>
    <x v="2"/>
    <x v="0"/>
    <s v="Print Feature"/>
    <s v="Printing is enabled"/>
    <s v="Ctrl + P short key works for blazor window. Previous decision was to remove the print functionality."/>
    <m/>
  </r>
  <r>
    <n v="22"/>
    <d v="2026-04-15T00:00:00"/>
    <s v="Both"/>
    <x v="0"/>
    <x v="2"/>
    <x v="0"/>
    <s v="Save button"/>
    <s v="Save button is selectable on window open"/>
    <s v="Save button is selectable on window open. Save button should not be selectable until the Courtroom option is selected"/>
    <s v="This definition was not clear in Defect ID 5. BSA error."/>
  </r>
  <r>
    <n v="23"/>
    <d v="2026-04-15T00:00:00"/>
    <s v="Both"/>
    <x v="0"/>
    <x v="1"/>
    <x v="1"/>
    <s v="All field and search values"/>
    <s v="Bottom right shift"/>
    <s v="All field values and search values are bottom aligned. These should be middle aligned"/>
    <s v="This issue occurs across blazor windows, including windows in production."/>
  </r>
  <r>
    <n v="24"/>
    <d v="2026-04-15T00:00:00"/>
    <s v="Both"/>
    <x v="1"/>
    <x v="2"/>
    <x v="0"/>
    <s v="F3 Refresh"/>
    <s v="F3 Refresh Courtroom field - no pending changes"/>
    <s v="F3 refresh does not work if Courtroom is selected, and there are no pending changes."/>
    <m/>
  </r>
  <r>
    <n v="25"/>
    <d v="2026-04-15T00:00:00"/>
    <s v="Both"/>
    <x v="0"/>
    <x v="0"/>
    <x v="0"/>
    <s v="Updated Field"/>
    <s v="Updated field label alignment"/>
    <s v="Updated field label should be aligned with the other labels. By field can be moved right if needed."/>
    <m/>
  </r>
  <r>
    <n v="26"/>
    <d v="2026-04-21T00:00:00"/>
    <s v="Both"/>
    <x v="1"/>
    <x v="1"/>
    <x v="0"/>
    <s v="Courtroom field"/>
    <s v="Dropdown Options remain after search"/>
    <s v="1. Click Courtroom Field_x000a_2. Type Search criteria like 'Z1'_x000a_3. Press Enter - Courtroom Field is empty_x000a_4. Click Courtroom Field again - Dropdown only displays results related to 'Z1'."/>
    <m/>
  </r>
  <r>
    <n v="27"/>
    <d v="2026-05-08T00:00:00"/>
    <s v="Both"/>
    <x v="1"/>
    <x v="1"/>
    <x v="0"/>
    <s v="Multiple Fields"/>
    <s v="Unit Codes updates"/>
    <s v="1. Add unit code for clerk, judicial officer, etc. _x000a_2. Open Courtroom Setup, and select applicable dropdown - newly added staff appears_x000a_3. Remove unit code for applicable staff_x000a_4. Refresh Courtroom Setup, or reopen courtroom setup - staff appears until cache is cleared"/>
    <s v="PB window shows updates after closing and reopening the window since refresh is not available"/>
  </r>
  <r>
    <n v="28"/>
    <d v="2026-05-08T00:00:00"/>
    <s v="Both"/>
    <x v="0"/>
    <x v="0"/>
    <x v="0"/>
    <s v="Courtroom field"/>
    <s v="Courtroom field and label alignment"/>
    <s v="Courtroom field and label should be middle aligned with the section. Currently, the field label and field are slightly towards the top of the section"/>
    <m/>
  </r>
  <r>
    <n v="29"/>
    <d v="2026-05-13T00:00:00"/>
    <s v="Both"/>
    <x v="0"/>
    <x v="0"/>
    <x v="0"/>
    <s v="Fields with Names"/>
    <s v="Full name flashes before applicable format"/>
    <s v="1. Open Courtroom Setup_x000a_2. Select a courtroom with clerk or bailiff - Courtroom flashes after the loading wheel dissapears "/>
    <s v="Expected result is the correct format appears when the loading wheel disappears"/>
  </r>
  <r>
    <n v="30"/>
    <d v="2026-06-29T00:00:00"/>
    <s v="Both"/>
    <x v="0"/>
    <x v="0"/>
    <x v="0"/>
    <s v="Various Fields"/>
    <s v="Courtroom name updates before child record"/>
    <s v="When a user changes the courtroom by typing and selecting it from the search field, only the courtroom name updates while the remaining courtroom details continue to display information from the previously selected courtroom. This issue does not occur when the courtroom is selected by scrolling through the list."/>
    <m/>
  </r>
  <r>
    <n v="31"/>
    <d v="2026-07-02T00:00:00"/>
    <s v="Both"/>
    <x v="0"/>
    <x v="0"/>
    <x v="0"/>
    <s v="Various Fields"/>
    <s v="Incorrect dropdown value appears"/>
    <s v="When selecting a field, such as &quot;Judicial Officer&quot; or &quot;Clerk,&quot; the initial attempt does not update the selection, resulting in a blank field. However, on the second attempt, the field updates correctly after being left blank."/>
    <m/>
  </r>
  <r>
    <n v="32"/>
    <d v="2026-07-07T00:00:00"/>
    <s v="Both"/>
    <x v="0"/>
    <x v="2"/>
    <x v="0"/>
    <s v="Courtroom field"/>
    <s v="Starts with search"/>
    <s v="Courtroom field uses &quot;contains&quot; search instead of &quot;Starts with&quot; updates from VisionDropdownList"/>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32EE1A-5664-4756-9588-3344F59207AC}" name="PivotTable7" cacheId="8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8:E86" firstHeaderRow="1" firstDataRow="2" firstDataCol="2"/>
  <pivotFields count="10">
    <pivotField compact="0" outline="0" showAll="0"/>
    <pivotField compact="0" outline="0" showAll="0"/>
    <pivotField compact="0" outline="0" showAll="0"/>
    <pivotField axis="axisRow" compact="0" outline="0" showAll="0" defaultSubtotal="0">
      <items count="2">
        <item x="1"/>
        <item x="0"/>
      </items>
    </pivotField>
    <pivotField axis="axisRow" compact="0" outline="0" showAll="0" defaultSubtotal="0">
      <items count="3">
        <item x="1"/>
        <item x="0"/>
        <item x="2"/>
      </items>
    </pivotField>
    <pivotField axis="axisCol" dataField="1" compact="0" outline="0" showAll="0">
      <items count="4">
        <item m="1" x="2"/>
        <item x="1"/>
        <item x="0"/>
        <item t="default"/>
      </items>
    </pivotField>
    <pivotField compact="0" outline="0" showAll="0"/>
    <pivotField compact="0" outline="0" showAll="0"/>
    <pivotField compact="0" outline="0" showAll="0"/>
    <pivotField compact="0" outline="0" showAll="0"/>
  </pivotFields>
  <rowFields count="2">
    <field x="3"/>
    <field x="4"/>
  </rowFields>
  <rowItems count="7">
    <i>
      <x/>
      <x/>
    </i>
    <i r="1">
      <x v="1"/>
    </i>
    <i r="1">
      <x v="2"/>
    </i>
    <i>
      <x v="1"/>
      <x/>
    </i>
    <i r="1">
      <x v="1"/>
    </i>
    <i r="1">
      <x v="2"/>
    </i>
    <i t="grand">
      <x/>
    </i>
  </rowItems>
  <colFields count="1">
    <field x="5"/>
  </colFields>
  <colItems count="3">
    <i>
      <x v="1"/>
    </i>
    <i>
      <x v="2"/>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8E404A-0260-4A73-A8C0-928A4706905A}" name="PivotTable2" cacheId="86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8:F26" firstHeaderRow="1" firstDataRow="2" firstDataCol="2"/>
  <pivotFields count="14">
    <pivotField compact="0" outline="0" showAll="0"/>
    <pivotField compact="0" outline="0" showAll="0"/>
    <pivotField compact="0" outline="0" showAll="0"/>
    <pivotField axis="axisRow" compact="0" outline="0" showAll="0" defaultSubtotal="0">
      <items count="3">
        <item x="1"/>
        <item x="0"/>
        <item h="1" x="2"/>
      </items>
    </pivotField>
    <pivotField axis="axisRow" compact="0" outline="0" subtotalTop="0" showAll="0" defaultSubtotal="0">
      <items count="4">
        <item x="1"/>
        <item x="0"/>
        <item x="2"/>
        <item x="3"/>
      </items>
    </pivotField>
    <pivotField axis="axisCol" dataField="1" compact="0" outline="0" showAll="0">
      <items count="6">
        <item x="2"/>
        <item x="1"/>
        <item x="0"/>
        <item x="3"/>
        <item m="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4"/>
  </rowFields>
  <rowItems count="7">
    <i>
      <x/>
      <x/>
    </i>
    <i r="1">
      <x v="1"/>
    </i>
    <i r="1">
      <x v="2"/>
    </i>
    <i>
      <x v="1"/>
      <x/>
    </i>
    <i r="1">
      <x v="1"/>
    </i>
    <i r="1">
      <x v="2"/>
    </i>
    <i t="grand">
      <x/>
    </i>
  </rowItems>
  <colFields count="1">
    <field x="5"/>
  </colFields>
  <colItems count="4">
    <i>
      <x/>
    </i>
    <i>
      <x v="1"/>
    </i>
    <i>
      <x v="2"/>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5A31B-4B21-4506-B0A9-77D0EF99AA36}" name="PivotTable3" cacheId="86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F38" firstHeaderRow="1" firstDataRow="2" firstDataCol="2"/>
  <pivotFields count="14">
    <pivotField compact="0" outline="0" showAll="0"/>
    <pivotField showAll="0"/>
    <pivotField showAll="0"/>
    <pivotField axis="axisRow" compact="0" outline="0" showAll="0" defaultSubtotal="0">
      <items count="3">
        <item x="1"/>
        <item x="0"/>
        <item h="1" x="2"/>
      </items>
    </pivotField>
    <pivotField axis="axisRow" compact="0" outline="0" showAll="0" defaultSubtotal="0">
      <items count="4">
        <item x="1"/>
        <item x="0"/>
        <item x="2"/>
        <item x="3"/>
      </items>
    </pivotField>
    <pivotField axis="axisCol" dataField="1" compact="0" outline="0" showAll="0">
      <items count="6">
        <item x="2"/>
        <item x="1"/>
        <item x="0"/>
        <item m="1" x="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4"/>
  </rowFields>
  <rowItems count="7">
    <i>
      <x/>
      <x/>
    </i>
    <i r="1">
      <x v="1"/>
    </i>
    <i r="1">
      <x v="2"/>
    </i>
    <i>
      <x v="1"/>
      <x/>
    </i>
    <i r="1">
      <x v="1"/>
    </i>
    <i r="1">
      <x v="2"/>
    </i>
    <i t="grand">
      <x/>
    </i>
  </rowItems>
  <colFields count="1">
    <field x="5"/>
  </colFields>
  <colItems count="4">
    <i>
      <x/>
    </i>
    <i>
      <x v="1"/>
    </i>
    <i>
      <x v="2"/>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17A820-B40E-4B61-800C-4DF55AF93AB6}" name="PivotTable5" cacheId="8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4:E62" firstHeaderRow="1" firstDataRow="2" firstDataCol="2"/>
  <pivotFields count="14">
    <pivotField compact="0" outline="0" showAll="0"/>
    <pivotField compact="0" outline="0" showAll="0"/>
    <pivotField compact="0" outline="0" showAll="0"/>
    <pivotField axis="axisRow" compact="0" outline="0" showAll="0" defaultSubtotal="0">
      <items count="2">
        <item x="1"/>
        <item x="0"/>
      </items>
    </pivotField>
    <pivotField axis="axisRow" compact="0" outline="0" showAll="0">
      <items count="4">
        <item x="1"/>
        <item x="0"/>
        <item x="2"/>
        <item t="default"/>
      </items>
    </pivotField>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4"/>
  </rowFields>
  <rowItems count="7">
    <i>
      <x/>
      <x/>
    </i>
    <i r="1">
      <x v="1"/>
    </i>
    <i r="1">
      <x v="2"/>
    </i>
    <i>
      <x v="1"/>
      <x/>
    </i>
    <i r="1">
      <x v="1"/>
    </i>
    <i r="1">
      <x v="2"/>
    </i>
    <i t="grand">
      <x/>
    </i>
  </rowItems>
  <colFields count="1">
    <field x="5"/>
  </colFields>
  <colItems count="3">
    <i>
      <x/>
    </i>
    <i>
      <x v="1"/>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DE16F7-F6F1-4D2C-9A15-51898B815A0E}" name="PivotTable1" cacheId="8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E14" firstHeaderRow="1" firstDataRow="2" firstDataCol="2" rowPageCount="1" colPageCount="1"/>
  <pivotFields count="10">
    <pivotField compact="0" outline="0" showAll="0"/>
    <pivotField axis="axisPage" compact="0" numFmtId="164" outline="0" showAll="0">
      <items count="6">
        <item x="0"/>
        <item x="1"/>
        <item x="2"/>
        <item x="3"/>
        <item x="4"/>
        <item t="default"/>
      </items>
    </pivotField>
    <pivotField compact="0" outline="0" showAll="0"/>
    <pivotField axis="axisRow" compact="0" outline="0" showAll="0">
      <items count="3">
        <item x="1"/>
        <item x="0"/>
        <item t="default"/>
      </items>
    </pivotField>
    <pivotField axis="axisRow" compact="0" outline="0" showAll="0">
      <items count="3">
        <item x="1"/>
        <item x="0"/>
        <item t="default"/>
      </items>
    </pivotField>
    <pivotField axis="axisCol" dataField="1" compact="0" outline="0" showAll="0">
      <items count="3">
        <item x="0"/>
        <item x="1"/>
        <item t="default"/>
      </items>
    </pivotField>
    <pivotField compact="0" outline="0" showAll="0"/>
    <pivotField compact="0" outline="0" showAll="0"/>
    <pivotField compact="0" outline="0" showAll="0"/>
    <pivotField compact="0" outline="0" showAll="0"/>
  </pivotFields>
  <rowFields count="2">
    <field x="3"/>
    <field x="4"/>
  </rowFields>
  <rowItems count="7">
    <i>
      <x/>
      <x/>
    </i>
    <i r="1">
      <x v="1"/>
    </i>
    <i t="default">
      <x/>
    </i>
    <i>
      <x v="1"/>
      <x/>
    </i>
    <i r="1">
      <x v="1"/>
    </i>
    <i t="default">
      <x v="1"/>
    </i>
    <i t="grand">
      <x/>
    </i>
  </rowItems>
  <colFields count="1">
    <field x="5"/>
  </colFields>
  <colItems count="3">
    <i>
      <x/>
    </i>
    <i>
      <x v="1"/>
    </i>
    <i t="grand">
      <x/>
    </i>
  </colItems>
  <pageFields count="1">
    <pageField fld="1" hier="-1"/>
  </pageField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255EF4-1995-4388-A85D-402E9DA7DC75}" name="PivotTable4" cacheId="86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2:F50" firstHeaderRow="1" firstDataRow="2" firstDataCol="2"/>
  <pivotFields count="14">
    <pivotField compact="0" outline="0" showAll="0"/>
    <pivotField compact="0" outline="0" showAll="0"/>
    <pivotField compact="0" outline="0" showAll="0"/>
    <pivotField axis="axisRow" compact="0" outline="0" showAll="0" defaultSubtotal="0">
      <items count="3">
        <item x="1"/>
        <item x="0"/>
        <item x="2"/>
      </items>
    </pivotField>
    <pivotField axis="axisRow" compact="0" outline="0" showAll="0">
      <items count="5">
        <item x="1"/>
        <item x="0"/>
        <item x="2"/>
        <item x="3"/>
        <item t="default"/>
      </items>
    </pivotField>
    <pivotField axis="axisCol" dataField="1" compact="0" outline="0" showAll="0">
      <items count="6">
        <item x="2"/>
        <item x="1"/>
        <item x="0"/>
        <item m="1" x="4"/>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4"/>
  </rowFields>
  <rowItems count="7">
    <i>
      <x/>
      <x/>
    </i>
    <i r="1">
      <x v="1"/>
    </i>
    <i r="1">
      <x v="2"/>
    </i>
    <i>
      <x v="1"/>
      <x/>
    </i>
    <i r="1">
      <x v="1"/>
    </i>
    <i r="1">
      <x v="2"/>
    </i>
    <i t="grand">
      <x/>
    </i>
  </rowItems>
  <colFields count="1">
    <field x="5"/>
  </colFields>
  <colItems count="4">
    <i>
      <x/>
    </i>
    <i>
      <x v="1"/>
    </i>
    <i>
      <x v="2"/>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B14F07-A6A0-4994-8C90-023F31AE6B0A}" name="PivotTable6" cacheId="8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6:E74" firstHeaderRow="1" firstDataRow="2" firstDataCol="2"/>
  <pivotFields count="10">
    <pivotField compact="0" outline="0" showAll="0"/>
    <pivotField compact="0" outline="0" showAll="0"/>
    <pivotField compact="0" outline="0" showAll="0"/>
    <pivotField axis="axisRow" compact="0" outline="0" showAll="0" defaultSubtotal="0">
      <items count="2">
        <item x="1"/>
        <item x="0"/>
      </items>
    </pivotField>
    <pivotField axis="axisRow" compact="0" outline="0" showAll="0">
      <items count="4">
        <item x="1"/>
        <item x="0"/>
        <item x="2"/>
        <item t="default"/>
      </items>
    </pivotField>
    <pivotField axis="axisCol" dataField="1" compact="0" outline="0" showAll="0">
      <items count="4">
        <item m="1" x="2"/>
        <item x="1"/>
        <item x="0"/>
        <item t="default"/>
      </items>
    </pivotField>
    <pivotField compact="0" outline="0" showAll="0"/>
    <pivotField compact="0" outline="0" showAll="0"/>
    <pivotField compact="0" outline="0" showAll="0"/>
    <pivotField compact="0" outline="0" showAll="0"/>
  </pivotFields>
  <rowFields count="2">
    <field x="3"/>
    <field x="4"/>
  </rowFields>
  <rowItems count="7">
    <i>
      <x/>
      <x/>
    </i>
    <i r="1">
      <x v="1"/>
    </i>
    <i r="1">
      <x v="2"/>
    </i>
    <i>
      <x v="1"/>
      <x/>
    </i>
    <i r="1">
      <x v="1"/>
    </i>
    <i r="1">
      <x v="2"/>
    </i>
    <i t="grand">
      <x/>
    </i>
  </rowItems>
  <colFields count="1">
    <field x="5"/>
  </colFields>
  <colItems count="3">
    <i>
      <x v="1"/>
    </i>
    <i>
      <x v="2"/>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syncfusion.com/support/tickets/82877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O52"/>
  <sheetViews>
    <sheetView zoomScaleNormal="100" workbookViewId="0">
      <pane ySplit="1" topLeftCell="A2" activePane="bottomLeft" state="frozen"/>
      <selection pane="bottomLeft" activeCell="J33" sqref="A1:J33"/>
      <selection activeCell="E2" sqref="A2:F1048576"/>
    </sheetView>
  </sheetViews>
  <sheetFormatPr defaultRowHeight="15"/>
  <cols>
    <col min="1" max="1" width="3" style="18" bestFit="1" customWidth="1"/>
    <col min="2" max="3" width="10.7109375" style="18" customWidth="1"/>
    <col min="4" max="4" width="12.5703125" style="18" bestFit="1" customWidth="1"/>
    <col min="5" max="5" width="10.7109375" style="18" bestFit="1" customWidth="1"/>
    <col min="6" max="6" width="17" style="18" bestFit="1" customWidth="1"/>
    <col min="7" max="7" width="14" style="3" bestFit="1" customWidth="1"/>
    <col min="8" max="8" width="20.7109375" style="3" customWidth="1"/>
    <col min="9" max="10" width="60.7109375" style="18" customWidth="1"/>
    <col min="11" max="11" width="10.7109375" style="19" customWidth="1"/>
    <col min="12" max="12" width="19.42578125" style="18" customWidth="1"/>
    <col min="13" max="13" width="50.7109375" style="3" customWidth="1"/>
    <col min="14" max="14" width="60.7109375" style="18" customWidth="1"/>
    <col min="15" max="16384" width="9.140625" style="18"/>
  </cols>
  <sheetData>
    <row r="1" spans="1:15" s="1" customFormat="1" ht="30.75">
      <c r="A1" s="4" t="s">
        <v>0</v>
      </c>
      <c r="B1" s="5" t="s">
        <v>1</v>
      </c>
      <c r="C1" s="5" t="s">
        <v>2</v>
      </c>
      <c r="D1" s="5" t="s">
        <v>3</v>
      </c>
      <c r="E1" s="4" t="s">
        <v>4</v>
      </c>
      <c r="F1" s="5" t="s">
        <v>5</v>
      </c>
      <c r="G1" s="5" t="s">
        <v>6</v>
      </c>
      <c r="H1" s="4" t="s">
        <v>7</v>
      </c>
      <c r="I1" s="5" t="s">
        <v>8</v>
      </c>
      <c r="J1" s="4" t="s">
        <v>9</v>
      </c>
      <c r="K1" s="5" t="s">
        <v>10</v>
      </c>
      <c r="L1" s="5" t="s">
        <v>11</v>
      </c>
      <c r="M1" s="4" t="s">
        <v>12</v>
      </c>
      <c r="N1" s="4" t="s">
        <v>13</v>
      </c>
      <c r="O1" s="39"/>
    </row>
    <row r="2" spans="1:15" ht="45.75">
      <c r="A2" s="8">
        <f xml:space="preserve"> ROW() - 1</f>
        <v>1</v>
      </c>
      <c r="B2" s="9">
        <v>46079</v>
      </c>
      <c r="C2" s="9" t="s">
        <v>14</v>
      </c>
      <c r="D2" s="10" t="s">
        <v>15</v>
      </c>
      <c r="E2" s="10" t="s">
        <v>16</v>
      </c>
      <c r="F2" s="10" t="s">
        <v>17</v>
      </c>
      <c r="G2" s="10" t="s">
        <v>18</v>
      </c>
      <c r="H2" s="10" t="s">
        <v>19</v>
      </c>
      <c r="I2" s="10" t="s">
        <v>20</v>
      </c>
      <c r="J2" s="10" t="s">
        <v>21</v>
      </c>
      <c r="K2" s="15">
        <v>46127</v>
      </c>
      <c r="L2" s="10" t="s">
        <v>22</v>
      </c>
      <c r="M2" s="11"/>
      <c r="N2" s="10" t="s">
        <v>23</v>
      </c>
      <c r="O2" s="32"/>
    </row>
    <row r="3" spans="1:15" ht="30.75">
      <c r="A3" s="8">
        <f t="shared" ref="A3:A47" si="0" xml:space="preserve"> ROW() - 1</f>
        <v>2</v>
      </c>
      <c r="B3" s="9">
        <v>46079</v>
      </c>
      <c r="C3" s="9" t="s">
        <v>14</v>
      </c>
      <c r="D3" s="10" t="s">
        <v>15</v>
      </c>
      <c r="E3" s="10" t="s">
        <v>16</v>
      </c>
      <c r="F3" s="10" t="s">
        <v>17</v>
      </c>
      <c r="G3" s="10" t="s">
        <v>18</v>
      </c>
      <c r="H3" s="10" t="s">
        <v>24</v>
      </c>
      <c r="I3" s="10" t="s">
        <v>25</v>
      </c>
      <c r="J3" s="10" t="s">
        <v>26</v>
      </c>
      <c r="K3" s="15">
        <v>46127</v>
      </c>
      <c r="L3" s="10" t="s">
        <v>22</v>
      </c>
      <c r="M3" s="11"/>
      <c r="N3" s="10" t="s">
        <v>27</v>
      </c>
      <c r="O3" s="32"/>
    </row>
    <row r="4" spans="1:15" ht="30.75">
      <c r="A4" s="8">
        <f t="shared" si="0"/>
        <v>3</v>
      </c>
      <c r="B4" s="9">
        <v>46079</v>
      </c>
      <c r="C4" s="9" t="s">
        <v>14</v>
      </c>
      <c r="D4" s="10" t="s">
        <v>15</v>
      </c>
      <c r="E4" s="12" t="s">
        <v>16</v>
      </c>
      <c r="F4" s="10" t="s">
        <v>28</v>
      </c>
      <c r="G4" s="12" t="s">
        <v>29</v>
      </c>
      <c r="H4" s="12" t="s">
        <v>30</v>
      </c>
      <c r="I4" s="6" t="s">
        <v>31</v>
      </c>
      <c r="J4" s="12" t="s">
        <v>32</v>
      </c>
      <c r="K4" s="15"/>
      <c r="L4" s="10"/>
      <c r="M4" s="13" t="s">
        <v>33</v>
      </c>
      <c r="N4" s="12" t="s">
        <v>34</v>
      </c>
      <c r="O4" s="32"/>
    </row>
    <row r="5" spans="1:15" ht="45.75">
      <c r="A5" s="8">
        <f t="shared" si="0"/>
        <v>4</v>
      </c>
      <c r="B5" s="9">
        <v>46079</v>
      </c>
      <c r="C5" s="9" t="s">
        <v>14</v>
      </c>
      <c r="D5" s="10" t="s">
        <v>35</v>
      </c>
      <c r="E5" s="10" t="s">
        <v>16</v>
      </c>
      <c r="F5" s="10" t="s">
        <v>17</v>
      </c>
      <c r="G5" s="10" t="s">
        <v>36</v>
      </c>
      <c r="H5" s="10" t="s">
        <v>37</v>
      </c>
      <c r="I5" s="10" t="s">
        <v>38</v>
      </c>
      <c r="J5" s="10" t="s">
        <v>39</v>
      </c>
      <c r="K5" s="15">
        <v>46127</v>
      </c>
      <c r="L5" s="10" t="s">
        <v>22</v>
      </c>
      <c r="M5" s="20"/>
      <c r="N5" s="10" t="s">
        <v>40</v>
      </c>
      <c r="O5" s="32"/>
    </row>
    <row r="6" spans="1:15" ht="30.75">
      <c r="A6" s="8">
        <f t="shared" si="0"/>
        <v>5</v>
      </c>
      <c r="B6" s="9">
        <v>46079</v>
      </c>
      <c r="C6" s="9" t="s">
        <v>14</v>
      </c>
      <c r="D6" s="10" t="s">
        <v>15</v>
      </c>
      <c r="E6" s="10" t="s">
        <v>16</v>
      </c>
      <c r="F6" s="10" t="s">
        <v>17</v>
      </c>
      <c r="G6" s="10" t="s">
        <v>41</v>
      </c>
      <c r="H6" s="10" t="s">
        <v>42</v>
      </c>
      <c r="I6" s="10" t="s">
        <v>43</v>
      </c>
      <c r="J6" s="10" t="s">
        <v>44</v>
      </c>
      <c r="K6" s="15">
        <v>46127</v>
      </c>
      <c r="L6" s="10" t="s">
        <v>45</v>
      </c>
      <c r="M6" s="13" t="s">
        <v>46</v>
      </c>
      <c r="N6" s="10" t="s">
        <v>47</v>
      </c>
      <c r="O6" s="32"/>
    </row>
    <row r="7" spans="1:15" ht="30.75">
      <c r="A7" s="8">
        <f t="shared" si="0"/>
        <v>6</v>
      </c>
      <c r="B7" s="9">
        <v>46079</v>
      </c>
      <c r="C7" s="9" t="s">
        <v>14</v>
      </c>
      <c r="D7" s="10" t="s">
        <v>15</v>
      </c>
      <c r="E7" s="10" t="s">
        <v>16</v>
      </c>
      <c r="F7" s="10" t="s">
        <v>17</v>
      </c>
      <c r="G7" s="10" t="s">
        <v>48</v>
      </c>
      <c r="H7" s="10" t="s">
        <v>49</v>
      </c>
      <c r="I7" s="10" t="s">
        <v>50</v>
      </c>
      <c r="J7" s="10" t="s">
        <v>51</v>
      </c>
      <c r="K7" s="15">
        <v>46127</v>
      </c>
      <c r="L7" s="10" t="s">
        <v>22</v>
      </c>
      <c r="M7" s="20"/>
      <c r="N7" s="10" t="s">
        <v>52</v>
      </c>
      <c r="O7" s="32"/>
    </row>
    <row r="8" spans="1:15" s="2" customFormat="1" ht="30.75">
      <c r="A8" s="8">
        <f t="shared" si="0"/>
        <v>7</v>
      </c>
      <c r="B8" s="9">
        <v>46079</v>
      </c>
      <c r="C8" s="9" t="s">
        <v>14</v>
      </c>
      <c r="D8" s="10" t="s">
        <v>15</v>
      </c>
      <c r="E8" s="10" t="s">
        <v>16</v>
      </c>
      <c r="F8" s="10" t="s">
        <v>17</v>
      </c>
      <c r="G8" s="10" t="s">
        <v>18</v>
      </c>
      <c r="H8" s="10" t="s">
        <v>53</v>
      </c>
      <c r="I8" s="7" t="s">
        <v>54</v>
      </c>
      <c r="J8" s="10" t="s">
        <v>55</v>
      </c>
      <c r="K8" s="16">
        <v>46127</v>
      </c>
      <c r="L8" s="10" t="s">
        <v>22</v>
      </c>
      <c r="M8" s="10"/>
      <c r="N8" s="10" t="s">
        <v>56</v>
      </c>
      <c r="O8" s="40"/>
    </row>
    <row r="9" spans="1:15" s="2" customFormat="1" ht="30.75">
      <c r="A9" s="8">
        <f t="shared" si="0"/>
        <v>8</v>
      </c>
      <c r="B9" s="9">
        <v>46083</v>
      </c>
      <c r="C9" s="9" t="s">
        <v>14</v>
      </c>
      <c r="D9" s="10" t="s">
        <v>35</v>
      </c>
      <c r="E9" s="10" t="s">
        <v>57</v>
      </c>
      <c r="F9" s="10" t="s">
        <v>17</v>
      </c>
      <c r="G9" s="10" t="s">
        <v>58</v>
      </c>
      <c r="H9" s="10" t="s">
        <v>59</v>
      </c>
      <c r="I9" s="7" t="s">
        <v>60</v>
      </c>
      <c r="J9" s="10"/>
      <c r="K9" s="16">
        <v>46127</v>
      </c>
      <c r="L9" s="10" t="s">
        <v>22</v>
      </c>
      <c r="M9" s="21"/>
      <c r="N9" s="10" t="s">
        <v>61</v>
      </c>
      <c r="O9" s="40"/>
    </row>
    <row r="10" spans="1:15" ht="30.75">
      <c r="A10" s="8">
        <f t="shared" si="0"/>
        <v>9</v>
      </c>
      <c r="B10" s="9">
        <v>46083</v>
      </c>
      <c r="C10" s="9" t="s">
        <v>62</v>
      </c>
      <c r="D10" s="10" t="s">
        <v>15</v>
      </c>
      <c r="E10" s="10" t="s">
        <v>16</v>
      </c>
      <c r="F10" s="10" t="s">
        <v>17</v>
      </c>
      <c r="G10" s="7" t="s">
        <v>63</v>
      </c>
      <c r="H10" s="10" t="s">
        <v>64</v>
      </c>
      <c r="I10" s="7" t="s">
        <v>65</v>
      </c>
      <c r="J10" s="7"/>
      <c r="K10" s="17">
        <v>46127</v>
      </c>
      <c r="L10" s="10" t="s">
        <v>45</v>
      </c>
      <c r="M10" s="11" t="s">
        <v>66</v>
      </c>
      <c r="N10" s="7" t="s">
        <v>61</v>
      </c>
      <c r="O10" s="32"/>
    </row>
    <row r="11" spans="1:15" ht="30.75">
      <c r="A11" s="8">
        <f t="shared" si="0"/>
        <v>10</v>
      </c>
      <c r="B11" s="9">
        <v>46083</v>
      </c>
      <c r="C11" s="9" t="s">
        <v>67</v>
      </c>
      <c r="D11" s="10" t="s">
        <v>15</v>
      </c>
      <c r="E11" s="10" t="s">
        <v>57</v>
      </c>
      <c r="F11" s="10" t="s">
        <v>17</v>
      </c>
      <c r="G11" s="7" t="s">
        <v>63</v>
      </c>
      <c r="H11" s="10" t="s">
        <v>64</v>
      </c>
      <c r="I11" s="7" t="s">
        <v>68</v>
      </c>
      <c r="J11" s="7" t="s">
        <v>69</v>
      </c>
      <c r="K11" s="17">
        <v>46127</v>
      </c>
      <c r="L11" s="10" t="s">
        <v>45</v>
      </c>
      <c r="M11" s="11" t="s">
        <v>66</v>
      </c>
      <c r="N11" s="7" t="s">
        <v>61</v>
      </c>
      <c r="O11" s="32"/>
    </row>
    <row r="12" spans="1:15" ht="30.75">
      <c r="A12" s="8">
        <f t="shared" si="0"/>
        <v>11</v>
      </c>
      <c r="B12" s="9">
        <v>46083</v>
      </c>
      <c r="C12" s="9" t="s">
        <v>14</v>
      </c>
      <c r="D12" s="10" t="s">
        <v>15</v>
      </c>
      <c r="E12" s="10" t="s">
        <v>57</v>
      </c>
      <c r="F12" s="10" t="s">
        <v>17</v>
      </c>
      <c r="G12" s="7" t="s">
        <v>70</v>
      </c>
      <c r="H12" s="7" t="s">
        <v>71</v>
      </c>
      <c r="I12" s="7" t="s">
        <v>72</v>
      </c>
      <c r="J12" s="7" t="s">
        <v>73</v>
      </c>
      <c r="K12" s="17">
        <v>46127</v>
      </c>
      <c r="L12" s="10" t="s">
        <v>45</v>
      </c>
      <c r="M12" s="11" t="s">
        <v>66</v>
      </c>
      <c r="N12" s="7" t="s">
        <v>61</v>
      </c>
      <c r="O12" s="32"/>
    </row>
    <row r="13" spans="1:15" ht="30.75">
      <c r="A13" s="8">
        <f t="shared" si="0"/>
        <v>12</v>
      </c>
      <c r="B13" s="9">
        <v>46083</v>
      </c>
      <c r="C13" s="9" t="s">
        <v>14</v>
      </c>
      <c r="D13" s="10" t="s">
        <v>15</v>
      </c>
      <c r="E13" s="10" t="s">
        <v>16</v>
      </c>
      <c r="F13" s="10" t="s">
        <v>17</v>
      </c>
      <c r="G13" s="7" t="s">
        <v>18</v>
      </c>
      <c r="H13" s="7" t="s">
        <v>74</v>
      </c>
      <c r="I13" s="38" t="s">
        <v>75</v>
      </c>
      <c r="J13" s="7" t="s">
        <v>76</v>
      </c>
      <c r="K13" s="17">
        <v>46127</v>
      </c>
      <c r="L13" s="10" t="s">
        <v>22</v>
      </c>
      <c r="M13" s="20"/>
      <c r="N13" s="7" t="s">
        <v>77</v>
      </c>
      <c r="O13" s="32"/>
    </row>
    <row r="14" spans="1:15" ht="45.75">
      <c r="A14" s="8">
        <f t="shared" si="0"/>
        <v>13</v>
      </c>
      <c r="B14" s="9">
        <v>46083</v>
      </c>
      <c r="C14" s="9" t="s">
        <v>14</v>
      </c>
      <c r="D14" s="10" t="s">
        <v>15</v>
      </c>
      <c r="E14" s="10" t="s">
        <v>57</v>
      </c>
      <c r="F14" s="10" t="s">
        <v>17</v>
      </c>
      <c r="G14" s="7" t="s">
        <v>18</v>
      </c>
      <c r="H14" s="10" t="s">
        <v>78</v>
      </c>
      <c r="I14" s="7" t="s">
        <v>79</v>
      </c>
      <c r="J14" s="7"/>
      <c r="K14" s="17">
        <v>46127</v>
      </c>
      <c r="L14" s="10" t="s">
        <v>22</v>
      </c>
      <c r="M14" s="20"/>
      <c r="N14" s="7" t="s">
        <v>80</v>
      </c>
      <c r="O14" s="32"/>
    </row>
    <row r="15" spans="1:15" ht="30.75">
      <c r="A15" s="8">
        <f t="shared" si="0"/>
        <v>14</v>
      </c>
      <c r="B15" s="9">
        <v>46087</v>
      </c>
      <c r="C15" s="9" t="s">
        <v>14</v>
      </c>
      <c r="D15" s="10" t="s">
        <v>15</v>
      </c>
      <c r="E15" s="10" t="s">
        <v>16</v>
      </c>
      <c r="F15" s="10" t="s">
        <v>17</v>
      </c>
      <c r="G15" s="10" t="s">
        <v>81</v>
      </c>
      <c r="H15" s="10" t="s">
        <v>82</v>
      </c>
      <c r="I15" s="7" t="s">
        <v>83</v>
      </c>
      <c r="J15" s="10"/>
      <c r="K15" s="16">
        <v>46133</v>
      </c>
      <c r="L15" s="10" t="s">
        <v>22</v>
      </c>
      <c r="M15" s="11" t="s">
        <v>84</v>
      </c>
      <c r="N15" s="10" t="s">
        <v>85</v>
      </c>
      <c r="O15" s="32"/>
    </row>
    <row r="16" spans="1:15" ht="45.75">
      <c r="A16" s="8">
        <f t="shared" si="0"/>
        <v>15</v>
      </c>
      <c r="B16" s="9">
        <v>46087</v>
      </c>
      <c r="C16" s="9" t="s">
        <v>14</v>
      </c>
      <c r="D16" s="10" t="s">
        <v>15</v>
      </c>
      <c r="E16" s="10" t="s">
        <v>16</v>
      </c>
      <c r="F16" s="10" t="s">
        <v>17</v>
      </c>
      <c r="G16" s="10" t="s">
        <v>29</v>
      </c>
      <c r="H16" s="10" t="s">
        <v>86</v>
      </c>
      <c r="I16" s="7" t="s">
        <v>87</v>
      </c>
      <c r="J16" s="10" t="s">
        <v>88</v>
      </c>
      <c r="K16" s="16">
        <v>46127</v>
      </c>
      <c r="L16" s="10" t="s">
        <v>22</v>
      </c>
      <c r="M16" s="20"/>
      <c r="N16" s="10" t="s">
        <v>89</v>
      </c>
      <c r="O16" s="32"/>
    </row>
    <row r="17" spans="1:15" ht="45.75">
      <c r="A17" s="8">
        <f t="shared" si="0"/>
        <v>16</v>
      </c>
      <c r="B17" s="9">
        <v>46087</v>
      </c>
      <c r="C17" s="9" t="s">
        <v>14</v>
      </c>
      <c r="D17" s="10" t="s">
        <v>15</v>
      </c>
      <c r="E17" s="10" t="s">
        <v>16</v>
      </c>
      <c r="F17" s="10" t="s">
        <v>17</v>
      </c>
      <c r="G17" s="10" t="s">
        <v>90</v>
      </c>
      <c r="H17" s="10" t="s">
        <v>91</v>
      </c>
      <c r="I17" s="7" t="s">
        <v>92</v>
      </c>
      <c r="J17" s="14" t="s">
        <v>93</v>
      </c>
      <c r="K17" s="9">
        <v>46127</v>
      </c>
      <c r="L17" s="10" t="s">
        <v>22</v>
      </c>
      <c r="M17" s="20"/>
      <c r="N17" s="14" t="s">
        <v>94</v>
      </c>
      <c r="O17" s="32"/>
    </row>
    <row r="18" spans="1:15" ht="30.75">
      <c r="A18" s="8">
        <f t="shared" si="0"/>
        <v>17</v>
      </c>
      <c r="B18" s="9">
        <v>46098</v>
      </c>
      <c r="C18" s="9" t="s">
        <v>14</v>
      </c>
      <c r="D18" s="10" t="s">
        <v>15</v>
      </c>
      <c r="E18" s="10" t="s">
        <v>16</v>
      </c>
      <c r="F18" s="10" t="s">
        <v>17</v>
      </c>
      <c r="G18" s="10" t="s">
        <v>95</v>
      </c>
      <c r="H18" s="10" t="s">
        <v>96</v>
      </c>
      <c r="I18" s="7" t="s">
        <v>97</v>
      </c>
      <c r="J18" s="14" t="s">
        <v>98</v>
      </c>
      <c r="K18" s="9">
        <v>46127</v>
      </c>
      <c r="L18" s="10" t="s">
        <v>22</v>
      </c>
      <c r="M18" s="11"/>
      <c r="N18" s="11" t="s">
        <v>99</v>
      </c>
      <c r="O18" s="32"/>
    </row>
    <row r="19" spans="1:15" ht="45.75">
      <c r="A19" s="8">
        <f t="shared" si="0"/>
        <v>18</v>
      </c>
      <c r="B19" s="9">
        <v>46099</v>
      </c>
      <c r="C19" s="9" t="s">
        <v>14</v>
      </c>
      <c r="D19" s="10" t="s">
        <v>15</v>
      </c>
      <c r="E19" s="10" t="s">
        <v>16</v>
      </c>
      <c r="F19" s="10" t="s">
        <v>17</v>
      </c>
      <c r="G19" s="10" t="s">
        <v>100</v>
      </c>
      <c r="H19" s="10" t="s">
        <v>101</v>
      </c>
      <c r="I19" s="7" t="s">
        <v>102</v>
      </c>
      <c r="J19" s="14" t="s">
        <v>103</v>
      </c>
      <c r="K19" s="9">
        <v>46127</v>
      </c>
      <c r="L19" s="10" t="s">
        <v>22</v>
      </c>
      <c r="M19" s="20"/>
      <c r="N19" s="14" t="s">
        <v>27</v>
      </c>
      <c r="O19" s="32"/>
    </row>
    <row r="20" spans="1:15" ht="45.75">
      <c r="A20" s="8">
        <f t="shared" si="0"/>
        <v>19</v>
      </c>
      <c r="B20" s="9">
        <v>46127</v>
      </c>
      <c r="C20" s="9" t="s">
        <v>14</v>
      </c>
      <c r="D20" s="10" t="s">
        <v>35</v>
      </c>
      <c r="E20" s="10" t="s">
        <v>16</v>
      </c>
      <c r="F20" s="10" t="s">
        <v>17</v>
      </c>
      <c r="G20" s="11" t="s">
        <v>18</v>
      </c>
      <c r="H20" s="11" t="s">
        <v>104</v>
      </c>
      <c r="I20" s="11" t="s">
        <v>105</v>
      </c>
      <c r="J20" s="14"/>
      <c r="K20" s="9">
        <v>46135</v>
      </c>
      <c r="L20" s="10" t="s">
        <v>22</v>
      </c>
      <c r="M20" s="11" t="s">
        <v>106</v>
      </c>
      <c r="N20" s="11" t="s">
        <v>107</v>
      </c>
      <c r="O20" s="32"/>
    </row>
    <row r="21" spans="1:15" ht="45.75">
      <c r="A21" s="8">
        <f t="shared" si="0"/>
        <v>20</v>
      </c>
      <c r="B21" s="9">
        <v>46127</v>
      </c>
      <c r="C21" s="9" t="s">
        <v>67</v>
      </c>
      <c r="D21" s="10" t="s">
        <v>15</v>
      </c>
      <c r="E21" s="10" t="s">
        <v>16</v>
      </c>
      <c r="F21" s="10" t="s">
        <v>17</v>
      </c>
      <c r="G21" s="11" t="s">
        <v>108</v>
      </c>
      <c r="H21" s="11" t="s">
        <v>109</v>
      </c>
      <c r="I21" s="11" t="s">
        <v>110</v>
      </c>
      <c r="J21" s="14"/>
      <c r="K21" s="9">
        <v>46150</v>
      </c>
      <c r="L21" s="10" t="s">
        <v>22</v>
      </c>
      <c r="M21" s="49" t="s">
        <v>111</v>
      </c>
      <c r="N21" s="14" t="s">
        <v>112</v>
      </c>
      <c r="O21" s="32"/>
    </row>
    <row r="22" spans="1:15" ht="60.75">
      <c r="A22" s="8">
        <f t="shared" si="0"/>
        <v>21</v>
      </c>
      <c r="B22" s="9">
        <v>46127</v>
      </c>
      <c r="C22" s="9" t="s">
        <v>14</v>
      </c>
      <c r="D22" s="10" t="s">
        <v>35</v>
      </c>
      <c r="E22" s="12" t="s">
        <v>113</v>
      </c>
      <c r="F22" s="10" t="s">
        <v>17</v>
      </c>
      <c r="G22" s="12" t="s">
        <v>114</v>
      </c>
      <c r="H22" s="12" t="s">
        <v>115</v>
      </c>
      <c r="I22" s="6" t="s">
        <v>116</v>
      </c>
      <c r="J22" s="12"/>
      <c r="K22" s="9">
        <v>46150</v>
      </c>
      <c r="L22" s="10" t="s">
        <v>22</v>
      </c>
      <c r="M22" s="50" t="s">
        <v>117</v>
      </c>
      <c r="N22" s="12" t="s">
        <v>118</v>
      </c>
      <c r="O22" s="32"/>
    </row>
    <row r="23" spans="1:15" ht="45.75">
      <c r="A23" s="8">
        <f t="shared" si="0"/>
        <v>22</v>
      </c>
      <c r="B23" s="9">
        <v>46127</v>
      </c>
      <c r="C23" s="9" t="s">
        <v>14</v>
      </c>
      <c r="D23" s="10" t="s">
        <v>15</v>
      </c>
      <c r="E23" s="10" t="s">
        <v>113</v>
      </c>
      <c r="F23" s="10" t="s">
        <v>17</v>
      </c>
      <c r="G23" s="11" t="s">
        <v>41</v>
      </c>
      <c r="H23" s="11" t="s">
        <v>119</v>
      </c>
      <c r="I23" s="11" t="s">
        <v>120</v>
      </c>
      <c r="J23" s="14" t="s">
        <v>121</v>
      </c>
      <c r="K23" s="9">
        <v>46133</v>
      </c>
      <c r="L23" s="10" t="s">
        <v>22</v>
      </c>
      <c r="M23" s="11"/>
      <c r="N23" s="11" t="s">
        <v>122</v>
      </c>
      <c r="O23" s="32"/>
    </row>
    <row r="24" spans="1:15" ht="30.75">
      <c r="A24" s="8">
        <f t="shared" si="0"/>
        <v>23</v>
      </c>
      <c r="B24" s="9">
        <v>46127</v>
      </c>
      <c r="C24" s="9" t="s">
        <v>14</v>
      </c>
      <c r="D24" s="10" t="s">
        <v>15</v>
      </c>
      <c r="E24" s="10" t="s">
        <v>57</v>
      </c>
      <c r="F24" s="10" t="s">
        <v>123</v>
      </c>
      <c r="G24" s="11" t="s">
        <v>124</v>
      </c>
      <c r="H24" s="11" t="s">
        <v>125</v>
      </c>
      <c r="I24" s="11" t="s">
        <v>126</v>
      </c>
      <c r="J24" s="11" t="s">
        <v>127</v>
      </c>
      <c r="K24" s="9"/>
      <c r="L24" s="10"/>
      <c r="M24" s="11" t="s">
        <v>128</v>
      </c>
      <c r="N24" s="14" t="s">
        <v>129</v>
      </c>
      <c r="O24" s="32"/>
    </row>
    <row r="25" spans="1:15" ht="45.75">
      <c r="A25" s="8">
        <f t="shared" si="0"/>
        <v>24</v>
      </c>
      <c r="B25" s="9">
        <v>46127</v>
      </c>
      <c r="C25" s="9" t="s">
        <v>14</v>
      </c>
      <c r="D25" s="10" t="s">
        <v>35</v>
      </c>
      <c r="E25" s="10" t="s">
        <v>113</v>
      </c>
      <c r="F25" s="10" t="s">
        <v>17</v>
      </c>
      <c r="G25" s="11" t="s">
        <v>81</v>
      </c>
      <c r="H25" s="11" t="s">
        <v>130</v>
      </c>
      <c r="I25" s="11" t="s">
        <v>131</v>
      </c>
      <c r="J25" s="11"/>
      <c r="K25" s="9">
        <v>46133</v>
      </c>
      <c r="L25" s="10" t="s">
        <v>22</v>
      </c>
      <c r="M25" s="11"/>
      <c r="N25" s="11" t="s">
        <v>132</v>
      </c>
      <c r="O25" s="32"/>
    </row>
    <row r="26" spans="1:15" ht="30.75">
      <c r="A26" s="8">
        <f t="shared" si="0"/>
        <v>25</v>
      </c>
      <c r="B26" s="9">
        <v>46127</v>
      </c>
      <c r="C26" s="9" t="s">
        <v>14</v>
      </c>
      <c r="D26" s="10" t="s">
        <v>15</v>
      </c>
      <c r="E26" s="10" t="s">
        <v>16</v>
      </c>
      <c r="F26" s="10" t="s">
        <v>17</v>
      </c>
      <c r="G26" s="11" t="s">
        <v>133</v>
      </c>
      <c r="H26" s="11" t="s">
        <v>134</v>
      </c>
      <c r="I26" s="11" t="s">
        <v>135</v>
      </c>
      <c r="J26" s="11"/>
      <c r="K26" s="9">
        <v>46133</v>
      </c>
      <c r="L26" s="10" t="s">
        <v>22</v>
      </c>
      <c r="M26" s="11"/>
      <c r="N26" s="11" t="s">
        <v>136</v>
      </c>
      <c r="O26" s="32"/>
    </row>
    <row r="27" spans="1:15" ht="76.5">
      <c r="A27" s="8">
        <f t="shared" si="0"/>
        <v>26</v>
      </c>
      <c r="B27" s="9">
        <v>46133</v>
      </c>
      <c r="C27" s="9" t="s">
        <v>14</v>
      </c>
      <c r="D27" s="10" t="s">
        <v>35</v>
      </c>
      <c r="E27" s="10" t="s">
        <v>57</v>
      </c>
      <c r="F27" s="10" t="s">
        <v>17</v>
      </c>
      <c r="G27" s="11" t="s">
        <v>29</v>
      </c>
      <c r="H27" s="11" t="s">
        <v>137</v>
      </c>
      <c r="I27" s="11" t="s">
        <v>138</v>
      </c>
      <c r="J27" s="11"/>
      <c r="K27" s="9">
        <v>46150</v>
      </c>
      <c r="L27" s="10" t="s">
        <v>22</v>
      </c>
      <c r="M27" s="11" t="s">
        <v>139</v>
      </c>
      <c r="N27" s="11" t="s">
        <v>140</v>
      </c>
      <c r="O27" s="48" t="s">
        <v>141</v>
      </c>
    </row>
    <row r="28" spans="1:15" ht="91.5">
      <c r="A28" s="8">
        <f t="shared" si="0"/>
        <v>27</v>
      </c>
      <c r="B28" s="9">
        <v>46150</v>
      </c>
      <c r="C28" s="9" t="s">
        <v>14</v>
      </c>
      <c r="D28" s="10" t="s">
        <v>35</v>
      </c>
      <c r="E28" s="10" t="s">
        <v>57</v>
      </c>
      <c r="F28" s="10" t="s">
        <v>17</v>
      </c>
      <c r="G28" s="11" t="s">
        <v>142</v>
      </c>
      <c r="H28" s="11" t="s">
        <v>143</v>
      </c>
      <c r="I28" s="11" t="s">
        <v>144</v>
      </c>
      <c r="J28" s="11" t="s">
        <v>145</v>
      </c>
      <c r="K28" s="9">
        <v>46155</v>
      </c>
      <c r="L28" s="10" t="s">
        <v>22</v>
      </c>
      <c r="M28" s="11"/>
      <c r="N28" s="14" t="s">
        <v>146</v>
      </c>
      <c r="O28" s="32"/>
    </row>
    <row r="29" spans="1:15" ht="45.75">
      <c r="A29" s="8">
        <f t="shared" si="0"/>
        <v>28</v>
      </c>
      <c r="B29" s="9">
        <v>46150</v>
      </c>
      <c r="C29" s="9" t="s">
        <v>14</v>
      </c>
      <c r="D29" s="10" t="s">
        <v>15</v>
      </c>
      <c r="E29" s="10" t="s">
        <v>16</v>
      </c>
      <c r="F29" s="10" t="s">
        <v>17</v>
      </c>
      <c r="G29" s="11" t="s">
        <v>29</v>
      </c>
      <c r="H29" s="11" t="s">
        <v>147</v>
      </c>
      <c r="I29" s="11" t="s">
        <v>148</v>
      </c>
      <c r="J29" s="14"/>
      <c r="K29" s="9">
        <v>46155</v>
      </c>
      <c r="L29" s="10" t="s">
        <v>22</v>
      </c>
      <c r="M29" s="11"/>
      <c r="N29" s="14" t="s">
        <v>149</v>
      </c>
      <c r="O29" s="32"/>
    </row>
    <row r="30" spans="1:15" ht="45.75">
      <c r="A30" s="8">
        <f t="shared" si="0"/>
        <v>29</v>
      </c>
      <c r="B30" s="51">
        <v>46155</v>
      </c>
      <c r="C30" s="9" t="s">
        <v>14</v>
      </c>
      <c r="D30" s="10" t="s">
        <v>15</v>
      </c>
      <c r="E30" s="10" t="s">
        <v>16</v>
      </c>
      <c r="F30" s="10" t="s">
        <v>17</v>
      </c>
      <c r="G30" s="11" t="s">
        <v>150</v>
      </c>
      <c r="H30" s="11" t="s">
        <v>151</v>
      </c>
      <c r="I30" s="11" t="s">
        <v>152</v>
      </c>
      <c r="J30" s="11" t="s">
        <v>153</v>
      </c>
      <c r="K30" s="9">
        <v>46157</v>
      </c>
      <c r="L30" s="10" t="s">
        <v>22</v>
      </c>
      <c r="M30" s="11" t="s">
        <v>154</v>
      </c>
      <c r="N30" s="14" t="s">
        <v>155</v>
      </c>
      <c r="O30" s="32"/>
    </row>
    <row r="31" spans="1:15" ht="76.5">
      <c r="A31" s="8">
        <f t="shared" si="0"/>
        <v>30</v>
      </c>
      <c r="B31" s="51">
        <v>46202</v>
      </c>
      <c r="C31" s="9" t="s">
        <v>14</v>
      </c>
      <c r="D31" s="10" t="s">
        <v>15</v>
      </c>
      <c r="E31" s="10" t="s">
        <v>16</v>
      </c>
      <c r="F31" s="10" t="s">
        <v>17</v>
      </c>
      <c r="G31" s="11" t="s">
        <v>156</v>
      </c>
      <c r="H31" s="11" t="s">
        <v>157</v>
      </c>
      <c r="I31" s="11" t="s">
        <v>158</v>
      </c>
      <c r="J31" s="14"/>
      <c r="K31" s="9">
        <v>46210</v>
      </c>
      <c r="L31" s="10" t="s">
        <v>22</v>
      </c>
      <c r="M31" s="11" t="s">
        <v>159</v>
      </c>
      <c r="N31" s="14"/>
      <c r="O31" s="32"/>
    </row>
    <row r="32" spans="1:15" ht="60.75">
      <c r="A32" s="8">
        <f t="shared" si="0"/>
        <v>31</v>
      </c>
      <c r="B32" s="51">
        <v>46205</v>
      </c>
      <c r="C32" s="9" t="s">
        <v>14</v>
      </c>
      <c r="D32" s="10" t="s">
        <v>15</v>
      </c>
      <c r="E32" s="10" t="s">
        <v>16</v>
      </c>
      <c r="F32" s="10" t="s">
        <v>17</v>
      </c>
      <c r="G32" s="11" t="s">
        <v>156</v>
      </c>
      <c r="H32" s="11" t="s">
        <v>160</v>
      </c>
      <c r="I32" s="11" t="s">
        <v>161</v>
      </c>
      <c r="J32" s="14"/>
      <c r="K32" s="9">
        <v>46210</v>
      </c>
      <c r="L32" s="10" t="s">
        <v>22</v>
      </c>
      <c r="M32" s="11" t="s">
        <v>159</v>
      </c>
      <c r="N32" s="14"/>
      <c r="O32" s="32"/>
    </row>
    <row r="33" spans="1:15" ht="30.75">
      <c r="A33" s="8">
        <f t="shared" si="0"/>
        <v>32</v>
      </c>
      <c r="B33" s="51">
        <v>46210</v>
      </c>
      <c r="C33" s="9" t="s">
        <v>14</v>
      </c>
      <c r="D33" s="10" t="s">
        <v>15</v>
      </c>
      <c r="E33" s="10" t="s">
        <v>113</v>
      </c>
      <c r="F33" s="10" t="s">
        <v>17</v>
      </c>
      <c r="G33" s="11" t="s">
        <v>29</v>
      </c>
      <c r="H33" s="11" t="s">
        <v>162</v>
      </c>
      <c r="I33" s="11" t="s">
        <v>163</v>
      </c>
      <c r="J33" s="14"/>
      <c r="K33" s="9">
        <v>46212</v>
      </c>
      <c r="L33" s="10" t="s">
        <v>22</v>
      </c>
      <c r="M33" s="11"/>
      <c r="N33" s="14"/>
      <c r="O33" s="32"/>
    </row>
    <row r="34" spans="1:15">
      <c r="A34" s="8">
        <f t="shared" si="0"/>
        <v>33</v>
      </c>
      <c r="B34" s="14"/>
      <c r="C34" s="9"/>
      <c r="D34" s="10"/>
      <c r="E34" s="10"/>
      <c r="F34" s="10"/>
      <c r="G34" s="11"/>
      <c r="H34" s="11"/>
      <c r="I34" s="14"/>
      <c r="J34" s="14"/>
      <c r="K34" s="9"/>
      <c r="L34" s="10"/>
      <c r="M34" s="11"/>
      <c r="N34" s="14"/>
      <c r="O34" s="32"/>
    </row>
    <row r="35" spans="1:15">
      <c r="A35" s="8">
        <f t="shared" si="0"/>
        <v>34</v>
      </c>
      <c r="B35" s="14"/>
      <c r="C35" s="9"/>
      <c r="D35" s="10"/>
      <c r="E35" s="10"/>
      <c r="F35" s="10"/>
      <c r="G35" s="11"/>
      <c r="H35" s="11"/>
      <c r="I35" s="14"/>
      <c r="J35" s="14"/>
      <c r="K35" s="9"/>
      <c r="L35" s="10"/>
      <c r="M35" s="11"/>
      <c r="N35" s="14"/>
      <c r="O35" s="32"/>
    </row>
    <row r="36" spans="1:15">
      <c r="A36" s="8">
        <f t="shared" si="0"/>
        <v>35</v>
      </c>
      <c r="B36" s="14"/>
      <c r="C36" s="9"/>
      <c r="D36" s="10"/>
      <c r="E36" s="10"/>
      <c r="F36" s="10"/>
      <c r="G36" s="11"/>
      <c r="H36" s="11"/>
      <c r="I36" s="14"/>
      <c r="J36" s="14"/>
      <c r="K36" s="9"/>
      <c r="L36" s="10"/>
      <c r="M36" s="11"/>
      <c r="N36" s="14"/>
      <c r="O36" s="32"/>
    </row>
    <row r="37" spans="1:15">
      <c r="A37" s="8">
        <f t="shared" si="0"/>
        <v>36</v>
      </c>
      <c r="B37" s="14"/>
      <c r="C37" s="9"/>
      <c r="D37" s="10"/>
      <c r="E37" s="10"/>
      <c r="F37" s="10"/>
      <c r="G37" s="11"/>
      <c r="H37" s="11"/>
      <c r="I37" s="14"/>
      <c r="J37" s="14"/>
      <c r="K37" s="9"/>
      <c r="L37" s="10"/>
      <c r="M37" s="11"/>
      <c r="N37" s="14"/>
      <c r="O37" s="32"/>
    </row>
    <row r="38" spans="1:15">
      <c r="A38" s="8">
        <f t="shared" si="0"/>
        <v>37</v>
      </c>
      <c r="B38" s="14"/>
      <c r="C38" s="9"/>
      <c r="D38" s="10"/>
      <c r="E38" s="10"/>
      <c r="F38" s="10"/>
      <c r="G38" s="11"/>
      <c r="H38" s="11"/>
      <c r="I38" s="14"/>
      <c r="J38" s="14"/>
      <c r="K38" s="9"/>
      <c r="L38" s="10"/>
      <c r="M38" s="11"/>
      <c r="N38" s="14"/>
      <c r="O38" s="32"/>
    </row>
    <row r="39" spans="1:15">
      <c r="A39" s="8">
        <f t="shared" si="0"/>
        <v>38</v>
      </c>
      <c r="B39" s="14"/>
      <c r="C39" s="9"/>
      <c r="D39" s="10"/>
      <c r="E39" s="10"/>
      <c r="F39" s="10"/>
      <c r="G39" s="11"/>
      <c r="H39" s="11"/>
      <c r="I39" s="14"/>
      <c r="J39" s="14"/>
      <c r="K39" s="9"/>
      <c r="L39" s="10"/>
      <c r="M39" s="11"/>
      <c r="N39" s="14"/>
      <c r="O39" s="32"/>
    </row>
    <row r="40" spans="1:15">
      <c r="A40" s="8">
        <f t="shared" si="0"/>
        <v>39</v>
      </c>
      <c r="B40" s="14"/>
      <c r="C40" s="9"/>
      <c r="D40" s="10"/>
      <c r="E40" s="10"/>
      <c r="F40" s="10"/>
      <c r="G40" s="11"/>
      <c r="H40" s="11"/>
      <c r="I40" s="14"/>
      <c r="J40" s="14"/>
      <c r="K40" s="9"/>
      <c r="L40" s="10"/>
      <c r="M40" s="11"/>
      <c r="N40" s="14"/>
      <c r="O40" s="32"/>
    </row>
    <row r="41" spans="1:15">
      <c r="A41" s="8">
        <f t="shared" si="0"/>
        <v>40</v>
      </c>
      <c r="B41" s="14"/>
      <c r="C41" s="9"/>
      <c r="D41" s="10"/>
      <c r="E41" s="10"/>
      <c r="F41" s="10"/>
      <c r="G41" s="11"/>
      <c r="H41" s="11"/>
      <c r="I41" s="14"/>
      <c r="J41" s="14"/>
      <c r="K41" s="9"/>
      <c r="L41" s="10"/>
      <c r="M41" s="11"/>
      <c r="N41" s="14"/>
      <c r="O41" s="32"/>
    </row>
    <row r="42" spans="1:15">
      <c r="A42" s="8">
        <f t="shared" si="0"/>
        <v>41</v>
      </c>
      <c r="B42" s="14"/>
      <c r="C42" s="9"/>
      <c r="D42" s="10"/>
      <c r="E42" s="10"/>
      <c r="F42" s="10"/>
      <c r="G42" s="11"/>
      <c r="H42" s="11"/>
      <c r="I42" s="14"/>
      <c r="J42" s="14"/>
      <c r="K42" s="9"/>
      <c r="L42" s="10"/>
      <c r="M42" s="11"/>
      <c r="N42" s="14"/>
      <c r="O42" s="32"/>
    </row>
    <row r="43" spans="1:15">
      <c r="A43" s="8">
        <f t="shared" si="0"/>
        <v>42</v>
      </c>
      <c r="B43" s="14"/>
      <c r="C43" s="9"/>
      <c r="D43" s="10"/>
      <c r="E43" s="10"/>
      <c r="F43" s="10"/>
      <c r="G43" s="11"/>
      <c r="H43" s="11"/>
      <c r="I43" s="14"/>
      <c r="J43" s="14"/>
      <c r="K43" s="9"/>
      <c r="L43" s="10"/>
      <c r="M43" s="11"/>
      <c r="N43" s="14"/>
      <c r="O43" s="32"/>
    </row>
    <row r="44" spans="1:15">
      <c r="A44" s="8">
        <f t="shared" si="0"/>
        <v>43</v>
      </c>
      <c r="B44" s="14"/>
      <c r="C44" s="9"/>
      <c r="D44" s="10"/>
      <c r="E44" s="10"/>
      <c r="F44" s="10"/>
      <c r="G44" s="11"/>
      <c r="H44" s="11"/>
      <c r="I44" s="14"/>
      <c r="J44" s="14"/>
      <c r="K44" s="9"/>
      <c r="L44" s="10"/>
      <c r="M44" s="11"/>
      <c r="N44" s="14"/>
      <c r="O44" s="32"/>
    </row>
    <row r="45" spans="1:15">
      <c r="A45" s="8">
        <f t="shared" si="0"/>
        <v>44</v>
      </c>
      <c r="B45" s="14"/>
      <c r="C45" s="9"/>
      <c r="D45" s="10"/>
      <c r="E45" s="10"/>
      <c r="F45" s="10"/>
      <c r="G45" s="11"/>
      <c r="H45" s="11"/>
      <c r="I45" s="14"/>
      <c r="J45" s="14"/>
      <c r="K45" s="9"/>
      <c r="L45" s="10"/>
      <c r="M45" s="11"/>
      <c r="N45" s="14"/>
      <c r="O45" s="32"/>
    </row>
    <row r="46" spans="1:15">
      <c r="A46" s="8">
        <f t="shared" si="0"/>
        <v>45</v>
      </c>
      <c r="B46" s="14"/>
      <c r="C46" s="9"/>
      <c r="D46" s="10"/>
      <c r="E46" s="10"/>
      <c r="F46" s="10"/>
      <c r="G46" s="11"/>
      <c r="H46" s="11"/>
      <c r="I46" s="14"/>
      <c r="J46" s="14"/>
      <c r="K46" s="9"/>
      <c r="L46" s="10"/>
      <c r="M46" s="11"/>
      <c r="N46" s="14"/>
      <c r="O46" s="32"/>
    </row>
    <row r="47" spans="1:15">
      <c r="A47" s="8">
        <f t="shared" si="0"/>
        <v>46</v>
      </c>
      <c r="B47" s="14"/>
      <c r="C47" s="9"/>
      <c r="D47" s="10"/>
      <c r="E47" s="10"/>
      <c r="F47" s="10"/>
      <c r="G47" s="11"/>
      <c r="H47" s="11"/>
      <c r="I47" s="14"/>
      <c r="J47" s="14"/>
      <c r="K47" s="9"/>
      <c r="L47" s="10"/>
      <c r="M47" s="11"/>
      <c r="N47" s="14"/>
      <c r="O47" s="32"/>
    </row>
    <row r="48" spans="1:15">
      <c r="A48" s="32"/>
      <c r="B48" s="32"/>
      <c r="C48" s="32"/>
      <c r="D48" s="32"/>
      <c r="E48" s="32"/>
      <c r="F48" s="32"/>
      <c r="G48" s="33"/>
      <c r="H48" s="33"/>
      <c r="I48" s="32"/>
      <c r="J48" s="32"/>
      <c r="K48" s="34"/>
      <c r="L48" s="32"/>
      <c r="M48" s="33"/>
      <c r="N48" s="32"/>
      <c r="O48" s="32"/>
    </row>
    <row r="49" spans="1:15">
      <c r="A49" s="32"/>
      <c r="B49" s="32"/>
      <c r="C49" s="32"/>
      <c r="D49" s="32"/>
      <c r="E49" s="32"/>
      <c r="F49" s="32"/>
      <c r="G49" s="33"/>
      <c r="H49" s="33"/>
      <c r="I49" s="32"/>
      <c r="J49" s="32"/>
      <c r="K49" s="34"/>
      <c r="L49" s="32"/>
      <c r="M49" s="33"/>
      <c r="N49" s="32"/>
      <c r="O49" s="32"/>
    </row>
    <row r="50" spans="1:15">
      <c r="A50" s="32"/>
      <c r="B50" s="32"/>
      <c r="C50" s="32"/>
      <c r="D50" s="32"/>
      <c r="E50" s="32"/>
      <c r="F50" s="32"/>
      <c r="G50" s="33"/>
      <c r="H50" s="33"/>
      <c r="I50" s="32"/>
      <c r="J50" s="32"/>
      <c r="K50" s="34"/>
      <c r="L50" s="32"/>
      <c r="M50" s="33"/>
      <c r="N50" s="32"/>
      <c r="O50" s="32"/>
    </row>
    <row r="51" spans="1:15">
      <c r="A51" s="32"/>
      <c r="B51" s="32"/>
      <c r="C51" s="32"/>
      <c r="D51" s="32"/>
      <c r="E51" s="32"/>
      <c r="F51" s="32"/>
      <c r="G51" s="33"/>
      <c r="H51" s="33"/>
      <c r="I51" s="32"/>
      <c r="J51" s="32"/>
      <c r="K51" s="34"/>
      <c r="L51" s="32"/>
      <c r="M51" s="33"/>
      <c r="N51" s="32"/>
      <c r="O51" s="32"/>
    </row>
    <row r="52" spans="1:15">
      <c r="A52" s="32"/>
      <c r="B52" s="32"/>
      <c r="C52" s="32"/>
      <c r="D52" s="32"/>
      <c r="E52" s="32"/>
      <c r="F52" s="32"/>
      <c r="G52" s="33"/>
      <c r="H52" s="33"/>
      <c r="I52" s="32"/>
      <c r="J52" s="32"/>
      <c r="K52" s="34"/>
      <c r="L52" s="32"/>
      <c r="M52" s="33"/>
      <c r="N52" s="32"/>
      <c r="O52" s="32"/>
    </row>
  </sheetData>
  <conditionalFormatting sqref="F1:F1048576">
    <cfRule type="containsText" dxfId="10" priority="4" operator="containsText" text="Resolved">
      <formula>NOT(ISERROR(SEARCH("Resolved",F1)))</formula>
    </cfRule>
  </conditionalFormatting>
  <conditionalFormatting sqref="F2:F1048576">
    <cfRule type="containsText" dxfId="9" priority="1" operator="containsText" text="No Action">
      <formula>NOT(ISERROR(SEARCH("No Action",F2)))</formula>
    </cfRule>
    <cfRule type="containsText" dxfId="8" priority="2" operator="containsText" text="New">
      <formula>NOT(ISERROR(SEARCH("New",F2)))</formula>
    </cfRule>
    <cfRule type="containsText" dxfId="7" priority="3" operator="containsText" text="Retest In Progress">
      <formula>NOT(ISERROR(SEARCH("Retest In Progress",F2)))</formula>
    </cfRule>
    <cfRule type="containsText" dxfId="6" priority="5" operator="containsText" text="Return to Dev">
      <formula>NOT(ISERROR(SEARCH("Return to Dev",F2)))</formula>
    </cfRule>
  </conditionalFormatting>
  <conditionalFormatting sqref="L2:L1048576">
    <cfRule type="containsText" dxfId="5" priority="10" operator="containsText" text="Pass with Comments">
      <formula>NOT(ISERROR(SEARCH("Pass with Comments",L2)))</formula>
    </cfRule>
    <cfRule type="containsText" dxfId="4" priority="11" operator="containsText" text="Fail">
      <formula>NOT(ISERROR(SEARCH("Fail",L2)))</formula>
    </cfRule>
    <cfRule type="containsText" dxfId="3" priority="12" operator="containsText" text="Pass">
      <formula>NOT(ISERROR(SEARCH("Pass",L2)))</formula>
    </cfRule>
  </conditionalFormatting>
  <dataValidations count="1">
    <dataValidation type="list" allowBlank="1" showInputMessage="1" showErrorMessage="1" sqref="C2:C47" xr:uid="{A0E44C65-F303-4B81-90E6-640E3027D3BB}">
      <formula1>"Both,Web Only,PB Only"</formula1>
    </dataValidation>
  </dataValidations>
  <hyperlinks>
    <hyperlink ref="O27" r:id="rId1" xr:uid="{8C002E91-8D9D-4BAC-9A1A-4BA628D909A0}"/>
  </hyperlinks>
  <pageMargins left="0.7" right="0.7" top="0.75" bottom="0.75" header="0.3" footer="0.3"/>
  <pageSetup orientation="landscape" r:id="rId2"/>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L2:L47</xm:sqref>
        </x14:dataValidation>
        <x14:dataValidation type="list" allowBlank="1" showInputMessage="1" showErrorMessage="1" xr:uid="{3906557F-AEE2-41CE-81DC-5F122F965822}">
          <x14:formula1>
            <xm:f>Sheet2!$H$1:$H$2</xm:f>
          </x14:formula1>
          <xm:sqref>D2:D47</xm:sqref>
        </x14:dataValidation>
        <x14:dataValidation type="list" allowBlank="1" showInputMessage="1" showErrorMessage="1" xr:uid="{13D3BE25-BF98-4733-B1E7-AA4DB88ADC41}">
          <x14:formula1>
            <xm:f>Sheet2!$C$2:$C$6</xm:f>
          </x14:formula1>
          <xm:sqref>F2:F1048576</xm:sqref>
        </x14:dataValidation>
        <x14:dataValidation type="list" allowBlank="1" showInputMessage="1" showErrorMessage="1" xr:uid="{E7C9154B-8A5C-4F27-AF31-58E8AF26A163}">
          <x14:formula1>
            <xm:f>Sheet2!$F$1:$F$3</xm:f>
          </x14:formula1>
          <xm:sqref>E2:E1048576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7A7A9-64BE-48A0-87AD-9BF3449C43AD}">
  <dimension ref="A1:B28"/>
  <sheetViews>
    <sheetView topLeftCell="A21" workbookViewId="0">
      <selection activeCell="S27" sqref="S27"/>
    </sheetView>
  </sheetViews>
  <sheetFormatPr defaultRowHeight="15"/>
  <cols>
    <col min="1" max="1" width="12.5703125" bestFit="1" customWidth="1"/>
  </cols>
  <sheetData>
    <row r="1" spans="1:2">
      <c r="A1" t="s">
        <v>164</v>
      </c>
      <c r="B1" t="s">
        <v>165</v>
      </c>
    </row>
    <row r="2" spans="1:2">
      <c r="A2" t="s">
        <v>166</v>
      </c>
    </row>
    <row r="28" spans="1:1">
      <c r="A28" t="s">
        <v>167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442F6-DD89-4007-890F-17E774CE7C9D}">
  <dimension ref="A1:G64"/>
  <sheetViews>
    <sheetView topLeftCell="A34" workbookViewId="0">
      <selection activeCell="C42" sqref="C42"/>
    </sheetView>
  </sheetViews>
  <sheetFormatPr defaultRowHeight="15"/>
  <cols>
    <col min="2" max="2" width="12.28515625" bestFit="1" customWidth="1"/>
    <col min="3" max="4" width="80.28515625" customWidth="1"/>
    <col min="5" max="5" width="15.140625" customWidth="1"/>
    <col min="6" max="6" width="19.42578125" bestFit="1" customWidth="1"/>
    <col min="7" max="7" width="62.42578125" customWidth="1"/>
  </cols>
  <sheetData>
    <row r="1" spans="1:7">
      <c r="A1" s="22" t="s">
        <v>0</v>
      </c>
      <c r="B1" s="23" t="s">
        <v>168</v>
      </c>
      <c r="C1" s="23" t="s">
        <v>169</v>
      </c>
      <c r="D1" s="23" t="s">
        <v>170</v>
      </c>
      <c r="E1" s="23" t="s">
        <v>171</v>
      </c>
      <c r="F1" s="23" t="s">
        <v>172</v>
      </c>
      <c r="G1" s="23" t="s">
        <v>173</v>
      </c>
    </row>
    <row r="2" spans="1:7">
      <c r="A2" s="8">
        <f>ROW() - 1</f>
        <v>1</v>
      </c>
      <c r="B2" s="24" t="s">
        <v>35</v>
      </c>
      <c r="C2" s="24" t="s">
        <v>174</v>
      </c>
      <c r="D2" s="24"/>
      <c r="E2" s="25">
        <v>46079</v>
      </c>
      <c r="F2" s="24" t="s">
        <v>22</v>
      </c>
      <c r="G2" s="24"/>
    </row>
    <row r="3" spans="1:7">
      <c r="A3" s="8">
        <f t="shared" ref="A3:A64" si="0">ROW() - 1</f>
        <v>2</v>
      </c>
      <c r="B3" s="24" t="s">
        <v>15</v>
      </c>
      <c r="C3" s="24" t="s">
        <v>175</v>
      </c>
      <c r="D3" s="24"/>
      <c r="E3" s="25">
        <v>46079</v>
      </c>
      <c r="F3" s="24" t="s">
        <v>22</v>
      </c>
      <c r="G3" s="24"/>
    </row>
    <row r="4" spans="1:7">
      <c r="A4" s="8">
        <f t="shared" si="0"/>
        <v>3</v>
      </c>
      <c r="B4" s="24" t="s">
        <v>15</v>
      </c>
      <c r="C4" s="24" t="s">
        <v>176</v>
      </c>
      <c r="D4" s="24"/>
      <c r="E4" s="25">
        <v>46079</v>
      </c>
      <c r="F4" s="24" t="s">
        <v>22</v>
      </c>
      <c r="G4" s="24"/>
    </row>
    <row r="5" spans="1:7">
      <c r="A5" s="8">
        <f t="shared" si="0"/>
        <v>4</v>
      </c>
      <c r="B5" s="24" t="s">
        <v>15</v>
      </c>
      <c r="C5" s="24" t="s">
        <v>177</v>
      </c>
      <c r="D5" s="24"/>
      <c r="E5" s="25">
        <v>46079</v>
      </c>
      <c r="F5" s="24" t="s">
        <v>22</v>
      </c>
      <c r="G5" s="24"/>
    </row>
    <row r="6" spans="1:7">
      <c r="A6" s="8">
        <f t="shared" si="0"/>
        <v>5</v>
      </c>
      <c r="B6" s="24" t="s">
        <v>15</v>
      </c>
      <c r="C6" s="24" t="s">
        <v>178</v>
      </c>
      <c r="D6" s="24"/>
      <c r="E6" s="25">
        <v>46079</v>
      </c>
      <c r="F6" s="24" t="s">
        <v>22</v>
      </c>
      <c r="G6" s="24"/>
    </row>
    <row r="7" spans="1:7">
      <c r="A7" s="8">
        <f t="shared" si="0"/>
        <v>6</v>
      </c>
      <c r="B7" s="24" t="s">
        <v>15</v>
      </c>
      <c r="C7" s="24" t="s">
        <v>179</v>
      </c>
      <c r="D7" s="24"/>
      <c r="E7" s="25">
        <v>46079</v>
      </c>
      <c r="F7" s="24" t="s">
        <v>22</v>
      </c>
      <c r="G7" s="24"/>
    </row>
    <row r="8" spans="1:7">
      <c r="A8" s="8">
        <f t="shared" si="0"/>
        <v>7</v>
      </c>
      <c r="B8" s="24" t="s">
        <v>35</v>
      </c>
      <c r="C8" s="24" t="s">
        <v>180</v>
      </c>
      <c r="D8" s="24"/>
      <c r="E8" s="25">
        <v>46079</v>
      </c>
      <c r="F8" s="24" t="s">
        <v>22</v>
      </c>
      <c r="G8" s="24"/>
    </row>
    <row r="9" spans="1:7">
      <c r="A9" s="8">
        <f t="shared" si="0"/>
        <v>8</v>
      </c>
      <c r="B9" s="24" t="s">
        <v>35</v>
      </c>
      <c r="C9" s="24" t="s">
        <v>181</v>
      </c>
      <c r="D9" s="24"/>
      <c r="E9" s="25">
        <v>46079</v>
      </c>
      <c r="F9" s="24" t="s">
        <v>22</v>
      </c>
      <c r="G9" s="24"/>
    </row>
    <row r="10" spans="1:7">
      <c r="A10" s="8">
        <f t="shared" si="0"/>
        <v>9</v>
      </c>
      <c r="B10" s="24" t="s">
        <v>35</v>
      </c>
      <c r="C10" s="44" t="s">
        <v>182</v>
      </c>
      <c r="D10" s="24"/>
      <c r="E10" s="25">
        <v>46127</v>
      </c>
      <c r="F10" s="24" t="s">
        <v>22</v>
      </c>
      <c r="G10" s="24" t="s">
        <v>183</v>
      </c>
    </row>
    <row r="11" spans="1:7">
      <c r="A11" s="8">
        <f t="shared" si="0"/>
        <v>10</v>
      </c>
      <c r="B11" s="24" t="s">
        <v>35</v>
      </c>
      <c r="C11" s="24" t="s">
        <v>184</v>
      </c>
      <c r="D11" s="24"/>
      <c r="E11" s="25">
        <v>46079</v>
      </c>
      <c r="F11" s="24" t="s">
        <v>22</v>
      </c>
      <c r="G11" s="24"/>
    </row>
    <row r="12" spans="1:7">
      <c r="A12" s="8">
        <f t="shared" si="0"/>
        <v>11</v>
      </c>
      <c r="B12" s="24" t="s">
        <v>15</v>
      </c>
      <c r="C12" s="24" t="s">
        <v>185</v>
      </c>
      <c r="D12" s="24"/>
      <c r="E12" s="25">
        <v>46079</v>
      </c>
      <c r="F12" s="24" t="s">
        <v>22</v>
      </c>
      <c r="G12" s="24"/>
    </row>
    <row r="13" spans="1:7">
      <c r="A13" s="8">
        <f t="shared" si="0"/>
        <v>12</v>
      </c>
      <c r="B13" s="24" t="s">
        <v>15</v>
      </c>
      <c r="C13" s="24" t="s">
        <v>186</v>
      </c>
      <c r="D13" s="29"/>
      <c r="E13" s="25">
        <v>46079</v>
      </c>
      <c r="F13" s="24" t="s">
        <v>22</v>
      </c>
      <c r="G13" s="24"/>
    </row>
    <row r="14" spans="1:7">
      <c r="A14" s="8">
        <f t="shared" si="0"/>
        <v>13</v>
      </c>
      <c r="B14" s="24" t="s">
        <v>35</v>
      </c>
      <c r="C14" s="27" t="s">
        <v>187</v>
      </c>
      <c r="D14" s="24"/>
      <c r="E14" s="28">
        <v>46079</v>
      </c>
      <c r="F14" s="24" t="s">
        <v>45</v>
      </c>
      <c r="G14" s="24" t="s">
        <v>188</v>
      </c>
    </row>
    <row r="15" spans="1:7">
      <c r="A15" s="8">
        <f t="shared" si="0"/>
        <v>14</v>
      </c>
      <c r="B15" s="24" t="s">
        <v>35</v>
      </c>
      <c r="C15" s="27" t="s">
        <v>189</v>
      </c>
      <c r="D15" s="26" t="s">
        <v>190</v>
      </c>
      <c r="E15" s="28">
        <v>46127</v>
      </c>
      <c r="F15" s="24" t="s">
        <v>22</v>
      </c>
      <c r="G15" s="24"/>
    </row>
    <row r="16" spans="1:7">
      <c r="A16" s="8">
        <f t="shared" si="0"/>
        <v>15</v>
      </c>
      <c r="B16" s="24" t="s">
        <v>35</v>
      </c>
      <c r="C16" s="27" t="s">
        <v>189</v>
      </c>
      <c r="D16" s="24" t="s">
        <v>191</v>
      </c>
      <c r="E16" s="28">
        <v>46127</v>
      </c>
      <c r="F16" s="24" t="s">
        <v>22</v>
      </c>
      <c r="G16" s="24"/>
    </row>
    <row r="17" spans="1:7">
      <c r="A17" s="8">
        <f t="shared" si="0"/>
        <v>16</v>
      </c>
      <c r="B17" s="24" t="s">
        <v>35</v>
      </c>
      <c r="C17" s="27" t="s">
        <v>189</v>
      </c>
      <c r="D17" s="26" t="s">
        <v>192</v>
      </c>
      <c r="E17" s="28">
        <v>46127</v>
      </c>
      <c r="F17" s="24" t="s">
        <v>22</v>
      </c>
      <c r="G17" s="24"/>
    </row>
    <row r="18" spans="1:7">
      <c r="A18" s="8">
        <f t="shared" si="0"/>
        <v>17</v>
      </c>
      <c r="B18" s="24" t="s">
        <v>35</v>
      </c>
      <c r="C18" s="27" t="s">
        <v>189</v>
      </c>
      <c r="D18" s="26" t="s">
        <v>193</v>
      </c>
      <c r="E18" s="28">
        <v>46127</v>
      </c>
      <c r="F18" s="24" t="s">
        <v>22</v>
      </c>
      <c r="G18" s="24" t="s">
        <v>194</v>
      </c>
    </row>
    <row r="19" spans="1:7">
      <c r="A19" s="8">
        <f t="shared" si="0"/>
        <v>18</v>
      </c>
      <c r="B19" s="24" t="s">
        <v>35</v>
      </c>
      <c r="C19" s="27" t="s">
        <v>189</v>
      </c>
      <c r="D19" s="26" t="s">
        <v>195</v>
      </c>
      <c r="E19" s="28">
        <v>46127</v>
      </c>
      <c r="F19" s="24" t="s">
        <v>22</v>
      </c>
      <c r="G19" s="24"/>
    </row>
    <row r="20" spans="1:7">
      <c r="A20" s="8">
        <f t="shared" si="0"/>
        <v>19</v>
      </c>
      <c r="B20" s="24" t="s">
        <v>35</v>
      </c>
      <c r="C20" s="27" t="s">
        <v>189</v>
      </c>
      <c r="D20" s="26" t="s">
        <v>196</v>
      </c>
      <c r="E20" s="28">
        <v>46127</v>
      </c>
      <c r="F20" s="24" t="s">
        <v>22</v>
      </c>
      <c r="G20" s="24"/>
    </row>
    <row r="21" spans="1:7">
      <c r="A21" s="8">
        <f t="shared" si="0"/>
        <v>20</v>
      </c>
      <c r="B21" s="24" t="s">
        <v>35</v>
      </c>
      <c r="C21" s="27" t="s">
        <v>189</v>
      </c>
      <c r="D21" s="26" t="s">
        <v>197</v>
      </c>
      <c r="E21" s="28">
        <v>46127</v>
      </c>
      <c r="F21" s="24" t="s">
        <v>22</v>
      </c>
      <c r="G21" s="24"/>
    </row>
    <row r="22" spans="1:7">
      <c r="A22" s="8">
        <f t="shared" si="0"/>
        <v>21</v>
      </c>
      <c r="B22" s="24" t="s">
        <v>35</v>
      </c>
      <c r="C22" s="27" t="s">
        <v>189</v>
      </c>
      <c r="D22" s="26" t="s">
        <v>198</v>
      </c>
      <c r="E22" s="28">
        <v>46127</v>
      </c>
      <c r="F22" s="24" t="s">
        <v>22</v>
      </c>
      <c r="G22" s="24"/>
    </row>
    <row r="23" spans="1:7">
      <c r="A23" s="8">
        <f t="shared" si="0"/>
        <v>22</v>
      </c>
      <c r="B23" s="24" t="s">
        <v>35</v>
      </c>
      <c r="C23" s="27" t="s">
        <v>189</v>
      </c>
      <c r="D23" s="26" t="s">
        <v>199</v>
      </c>
      <c r="E23" s="28">
        <v>46127</v>
      </c>
      <c r="F23" s="24" t="s">
        <v>22</v>
      </c>
      <c r="G23" s="24"/>
    </row>
    <row r="24" spans="1:7">
      <c r="A24" s="8">
        <f t="shared" si="0"/>
        <v>23</v>
      </c>
      <c r="B24" s="24" t="s">
        <v>35</v>
      </c>
      <c r="C24" s="27" t="s">
        <v>189</v>
      </c>
      <c r="D24" s="26" t="s">
        <v>200</v>
      </c>
      <c r="E24" s="28">
        <v>46127</v>
      </c>
      <c r="F24" s="24" t="s">
        <v>22</v>
      </c>
      <c r="G24" s="24"/>
    </row>
    <row r="25" spans="1:7">
      <c r="A25" s="8">
        <f t="shared" si="0"/>
        <v>24</v>
      </c>
      <c r="B25" s="24" t="s">
        <v>15</v>
      </c>
      <c r="C25" s="27" t="s">
        <v>189</v>
      </c>
      <c r="D25" s="26" t="s">
        <v>201</v>
      </c>
      <c r="E25" s="28">
        <v>46127</v>
      </c>
      <c r="F25" s="24" t="s">
        <v>202</v>
      </c>
      <c r="G25" s="44" t="s">
        <v>203</v>
      </c>
    </row>
    <row r="26" spans="1:7">
      <c r="A26" s="8">
        <f t="shared" si="0"/>
        <v>25</v>
      </c>
      <c r="B26" s="24" t="s">
        <v>15</v>
      </c>
      <c r="C26" s="27" t="s">
        <v>204</v>
      </c>
      <c r="D26" s="24"/>
      <c r="E26" s="28">
        <v>46127</v>
      </c>
      <c r="F26" s="24" t="s">
        <v>22</v>
      </c>
      <c r="G26" s="24"/>
    </row>
    <row r="27" spans="1:7">
      <c r="A27" s="8">
        <f t="shared" si="0"/>
        <v>26</v>
      </c>
      <c r="B27" s="24" t="s">
        <v>15</v>
      </c>
      <c r="C27" s="27" t="s">
        <v>205</v>
      </c>
      <c r="D27" s="24"/>
      <c r="E27" s="28">
        <v>46127</v>
      </c>
      <c r="F27" s="24" t="s">
        <v>22</v>
      </c>
      <c r="G27" s="24"/>
    </row>
    <row r="28" spans="1:7">
      <c r="A28" s="8">
        <f t="shared" si="0"/>
        <v>27</v>
      </c>
      <c r="B28" s="24" t="s">
        <v>15</v>
      </c>
      <c r="C28" s="27" t="s">
        <v>206</v>
      </c>
      <c r="D28" s="24"/>
      <c r="E28" s="28">
        <v>46127</v>
      </c>
      <c r="F28" s="24" t="s">
        <v>22</v>
      </c>
      <c r="G28" s="24"/>
    </row>
    <row r="29" spans="1:7">
      <c r="A29" s="8">
        <f t="shared" si="0"/>
        <v>28</v>
      </c>
      <c r="B29" s="24" t="s">
        <v>15</v>
      </c>
      <c r="C29" s="24" t="s">
        <v>207</v>
      </c>
      <c r="D29" s="30"/>
      <c r="E29" s="28">
        <v>46127</v>
      </c>
      <c r="F29" s="24" t="s">
        <v>22</v>
      </c>
      <c r="G29" s="24"/>
    </row>
    <row r="30" spans="1:7">
      <c r="A30" s="8">
        <f t="shared" si="0"/>
        <v>29</v>
      </c>
      <c r="B30" s="24" t="s">
        <v>15</v>
      </c>
      <c r="C30" s="24" t="s">
        <v>208</v>
      </c>
      <c r="D30" s="24"/>
      <c r="E30" s="28">
        <v>46127</v>
      </c>
      <c r="F30" s="24" t="s">
        <v>22</v>
      </c>
      <c r="G30" s="24"/>
    </row>
    <row r="31" spans="1:7">
      <c r="A31" s="8">
        <f t="shared" si="0"/>
        <v>30</v>
      </c>
      <c r="B31" s="24" t="s">
        <v>15</v>
      </c>
      <c r="C31" s="24" t="s">
        <v>209</v>
      </c>
      <c r="D31" s="24"/>
      <c r="E31" s="28">
        <v>46127</v>
      </c>
      <c r="F31" s="24" t="s">
        <v>22</v>
      </c>
      <c r="G31" s="24"/>
    </row>
    <row r="32" spans="1:7">
      <c r="A32" s="8">
        <f t="shared" si="0"/>
        <v>31</v>
      </c>
      <c r="B32" s="24" t="s">
        <v>15</v>
      </c>
      <c r="C32" s="24" t="s">
        <v>210</v>
      </c>
      <c r="D32" s="24"/>
      <c r="E32" s="28">
        <v>46127</v>
      </c>
      <c r="F32" s="24" t="s">
        <v>22</v>
      </c>
      <c r="G32" s="24"/>
    </row>
    <row r="33" spans="1:7">
      <c r="A33" s="8">
        <f t="shared" si="0"/>
        <v>32</v>
      </c>
      <c r="B33" s="24" t="s">
        <v>15</v>
      </c>
      <c r="C33" s="24" t="s">
        <v>211</v>
      </c>
      <c r="D33" s="24"/>
      <c r="E33" s="28">
        <v>46127</v>
      </c>
      <c r="F33" s="24" t="s">
        <v>22</v>
      </c>
      <c r="G33" s="24"/>
    </row>
    <row r="34" spans="1:7">
      <c r="A34" s="8">
        <f t="shared" si="0"/>
        <v>33</v>
      </c>
      <c r="B34" s="24" t="s">
        <v>35</v>
      </c>
      <c r="C34" s="24" t="s">
        <v>212</v>
      </c>
      <c r="D34" s="24"/>
      <c r="E34" s="25">
        <v>46127</v>
      </c>
      <c r="F34" s="24" t="s">
        <v>22</v>
      </c>
      <c r="G34" s="45" t="s">
        <v>213</v>
      </c>
    </row>
    <row r="35" spans="1:7">
      <c r="A35" s="8">
        <f t="shared" si="0"/>
        <v>34</v>
      </c>
      <c r="B35" s="24" t="s">
        <v>35</v>
      </c>
      <c r="C35" s="24" t="s">
        <v>214</v>
      </c>
      <c r="D35" s="24" t="s">
        <v>215</v>
      </c>
      <c r="E35" s="25">
        <v>46079</v>
      </c>
      <c r="F35" s="24" t="s">
        <v>22</v>
      </c>
      <c r="G35" s="24"/>
    </row>
    <row r="36" spans="1:7">
      <c r="A36" s="8">
        <f t="shared" si="0"/>
        <v>35</v>
      </c>
      <c r="B36" s="24" t="s">
        <v>35</v>
      </c>
      <c r="C36" s="24" t="s">
        <v>216</v>
      </c>
      <c r="D36" s="24" t="s">
        <v>217</v>
      </c>
      <c r="E36" s="25">
        <v>46079</v>
      </c>
      <c r="F36" s="24" t="s">
        <v>22</v>
      </c>
      <c r="G36" s="24"/>
    </row>
    <row r="37" spans="1:7">
      <c r="A37" s="41">
        <f t="shared" si="0"/>
        <v>36</v>
      </c>
      <c r="B37" s="42" t="s">
        <v>35</v>
      </c>
      <c r="C37" s="42" t="s">
        <v>218</v>
      </c>
      <c r="D37" s="42" t="s">
        <v>219</v>
      </c>
      <c r="E37" s="43">
        <v>46083</v>
      </c>
      <c r="F37" s="42" t="s">
        <v>202</v>
      </c>
      <c r="G37" s="42" t="s">
        <v>220</v>
      </c>
    </row>
    <row r="38" spans="1:7">
      <c r="A38" s="41">
        <f t="shared" si="0"/>
        <v>37</v>
      </c>
      <c r="B38" s="42" t="s">
        <v>35</v>
      </c>
      <c r="C38" s="42" t="s">
        <v>221</v>
      </c>
      <c r="D38" s="42" t="s">
        <v>219</v>
      </c>
      <c r="E38" s="43">
        <v>46083</v>
      </c>
      <c r="F38" s="42" t="s">
        <v>22</v>
      </c>
      <c r="G38" s="42"/>
    </row>
    <row r="39" spans="1:7">
      <c r="A39" s="41">
        <f t="shared" si="0"/>
        <v>38</v>
      </c>
      <c r="B39" s="42" t="s">
        <v>15</v>
      </c>
      <c r="C39" s="42" t="s">
        <v>222</v>
      </c>
      <c r="D39" s="42"/>
      <c r="E39" s="43">
        <v>46083</v>
      </c>
      <c r="F39" s="42" t="s">
        <v>202</v>
      </c>
      <c r="G39" s="42" t="s">
        <v>223</v>
      </c>
    </row>
    <row r="40" spans="1:7">
      <c r="A40" s="41">
        <f t="shared" si="0"/>
        <v>39</v>
      </c>
      <c r="B40" s="42" t="s">
        <v>15</v>
      </c>
      <c r="C40" s="42" t="s">
        <v>224</v>
      </c>
      <c r="D40" s="42" t="s">
        <v>225</v>
      </c>
      <c r="E40" s="43">
        <v>46083</v>
      </c>
      <c r="F40" s="42" t="s">
        <v>202</v>
      </c>
      <c r="G40" s="42" t="s">
        <v>226</v>
      </c>
    </row>
    <row r="41" spans="1:7">
      <c r="A41" s="8">
        <f t="shared" si="0"/>
        <v>40</v>
      </c>
      <c r="B41" s="24" t="s">
        <v>15</v>
      </c>
      <c r="C41" s="24" t="s">
        <v>227</v>
      </c>
      <c r="D41" s="24"/>
      <c r="E41" s="25">
        <v>46083</v>
      </c>
      <c r="F41" s="24" t="s">
        <v>22</v>
      </c>
      <c r="G41" s="24"/>
    </row>
    <row r="42" spans="1:7">
      <c r="A42" s="8">
        <f t="shared" si="0"/>
        <v>41</v>
      </c>
      <c r="B42" s="24" t="s">
        <v>35</v>
      </c>
      <c r="C42" s="24" t="s">
        <v>228</v>
      </c>
      <c r="D42" s="24" t="s">
        <v>229</v>
      </c>
      <c r="E42" s="25">
        <v>46083</v>
      </c>
      <c r="F42" s="24" t="s">
        <v>22</v>
      </c>
      <c r="G42" s="24"/>
    </row>
    <row r="43" spans="1:7">
      <c r="A43" s="8">
        <f t="shared" si="0"/>
        <v>42</v>
      </c>
      <c r="B43" s="24" t="s">
        <v>35</v>
      </c>
      <c r="C43" s="24" t="s">
        <v>230</v>
      </c>
      <c r="D43" s="24" t="s">
        <v>231</v>
      </c>
      <c r="E43" s="25">
        <v>46083</v>
      </c>
      <c r="F43" s="24" t="s">
        <v>22</v>
      </c>
      <c r="G43" s="24"/>
    </row>
    <row r="44" spans="1:7" ht="29.25">
      <c r="A44" s="8">
        <f t="shared" si="0"/>
        <v>43</v>
      </c>
      <c r="B44" s="24" t="s">
        <v>35</v>
      </c>
      <c r="C44" s="24" t="s">
        <v>232</v>
      </c>
      <c r="D44" s="31" t="s">
        <v>233</v>
      </c>
      <c r="E44" s="25">
        <v>46083</v>
      </c>
      <c r="F44" s="24" t="s">
        <v>22</v>
      </c>
      <c r="G44" s="24"/>
    </row>
    <row r="45" spans="1:7">
      <c r="A45" s="8">
        <f t="shared" si="0"/>
        <v>44</v>
      </c>
      <c r="B45" s="24" t="s">
        <v>15</v>
      </c>
      <c r="C45" s="24" t="s">
        <v>234</v>
      </c>
      <c r="D45" s="24"/>
      <c r="E45" s="25">
        <v>46084</v>
      </c>
      <c r="F45" s="24" t="s">
        <v>22</v>
      </c>
      <c r="G45" s="24"/>
    </row>
    <row r="46" spans="1:7">
      <c r="A46" s="8">
        <f t="shared" si="0"/>
        <v>45</v>
      </c>
      <c r="B46" s="24" t="s">
        <v>15</v>
      </c>
      <c r="C46" s="24" t="s">
        <v>235</v>
      </c>
      <c r="D46" s="24"/>
      <c r="E46" s="25">
        <v>46127</v>
      </c>
      <c r="F46" s="24" t="s">
        <v>22</v>
      </c>
      <c r="G46" s="45" t="s">
        <v>236</v>
      </c>
    </row>
    <row r="47" spans="1:7">
      <c r="A47" s="8">
        <f t="shared" si="0"/>
        <v>46</v>
      </c>
      <c r="B47" s="24" t="s">
        <v>35</v>
      </c>
      <c r="C47" s="24" t="s">
        <v>237</v>
      </c>
      <c r="D47" s="24"/>
      <c r="E47" s="25">
        <v>46087</v>
      </c>
      <c r="F47" s="24" t="s">
        <v>22</v>
      </c>
      <c r="G47" s="24"/>
    </row>
    <row r="48" spans="1:7">
      <c r="A48" s="8">
        <f t="shared" si="0"/>
        <v>47</v>
      </c>
      <c r="B48" s="24" t="s">
        <v>35</v>
      </c>
      <c r="C48" s="24" t="s">
        <v>238</v>
      </c>
      <c r="D48" s="24" t="s">
        <v>239</v>
      </c>
      <c r="E48" s="25">
        <v>46087</v>
      </c>
      <c r="F48" s="24" t="s">
        <v>202</v>
      </c>
      <c r="G48" s="24" t="s">
        <v>240</v>
      </c>
    </row>
    <row r="49" spans="1:7">
      <c r="A49" s="8">
        <f t="shared" si="0"/>
        <v>48</v>
      </c>
      <c r="B49" s="24" t="s">
        <v>35</v>
      </c>
      <c r="C49" s="24" t="s">
        <v>241</v>
      </c>
      <c r="D49" s="24" t="s">
        <v>242</v>
      </c>
      <c r="E49" s="25">
        <v>46087</v>
      </c>
      <c r="F49" s="24" t="s">
        <v>22</v>
      </c>
      <c r="G49" s="24"/>
    </row>
    <row r="50" spans="1:7" ht="29.25">
      <c r="A50" s="8">
        <f t="shared" si="0"/>
        <v>49</v>
      </c>
      <c r="B50" s="24" t="s">
        <v>35</v>
      </c>
      <c r="C50" s="35" t="s">
        <v>243</v>
      </c>
      <c r="D50" s="31" t="s">
        <v>244</v>
      </c>
      <c r="E50" s="25">
        <v>46087</v>
      </c>
      <c r="F50" s="24" t="s">
        <v>22</v>
      </c>
      <c r="G50" s="24"/>
    </row>
    <row r="51" spans="1:7">
      <c r="A51" s="8">
        <f t="shared" si="0"/>
        <v>50</v>
      </c>
      <c r="B51" s="24" t="s">
        <v>35</v>
      </c>
      <c r="C51" s="24" t="s">
        <v>245</v>
      </c>
      <c r="D51" s="24" t="s">
        <v>246</v>
      </c>
      <c r="E51" s="25">
        <v>46087</v>
      </c>
      <c r="F51" s="24" t="s">
        <v>22</v>
      </c>
      <c r="G51" s="24"/>
    </row>
    <row r="52" spans="1:7">
      <c r="A52" s="8">
        <f t="shared" si="0"/>
        <v>51</v>
      </c>
      <c r="B52" s="24" t="s">
        <v>35</v>
      </c>
      <c r="C52" s="24" t="s">
        <v>247</v>
      </c>
      <c r="D52" s="24" t="s">
        <v>248</v>
      </c>
      <c r="E52" s="25">
        <v>46087</v>
      </c>
      <c r="F52" s="24" t="s">
        <v>22</v>
      </c>
      <c r="G52" s="24"/>
    </row>
    <row r="53" spans="1:7">
      <c r="A53" s="8">
        <f t="shared" si="0"/>
        <v>52</v>
      </c>
      <c r="B53" s="24" t="s">
        <v>35</v>
      </c>
      <c r="C53" s="24" t="s">
        <v>249</v>
      </c>
      <c r="D53" s="24" t="s">
        <v>250</v>
      </c>
      <c r="E53" s="25">
        <v>46090</v>
      </c>
      <c r="F53" s="24" t="s">
        <v>22</v>
      </c>
      <c r="G53" s="24"/>
    </row>
    <row r="54" spans="1:7">
      <c r="A54" s="8">
        <f t="shared" si="0"/>
        <v>53</v>
      </c>
      <c r="B54" s="24" t="s">
        <v>251</v>
      </c>
      <c r="C54" s="24" t="s">
        <v>252</v>
      </c>
      <c r="D54" s="24"/>
      <c r="E54" s="25"/>
      <c r="F54" s="24"/>
      <c r="G54" s="24"/>
    </row>
    <row r="55" spans="1:7">
      <c r="A55" s="8">
        <f t="shared" si="0"/>
        <v>54</v>
      </c>
      <c r="B55" s="24"/>
      <c r="C55" s="24"/>
      <c r="D55" s="24"/>
      <c r="E55" s="25"/>
      <c r="F55" s="24"/>
      <c r="G55" s="24"/>
    </row>
    <row r="56" spans="1:7">
      <c r="A56" s="8">
        <f t="shared" si="0"/>
        <v>55</v>
      </c>
      <c r="B56" s="24"/>
      <c r="C56" s="24"/>
      <c r="D56" s="24"/>
      <c r="E56" s="25"/>
      <c r="F56" s="24"/>
      <c r="G56" s="24"/>
    </row>
    <row r="57" spans="1:7">
      <c r="A57" s="8">
        <f t="shared" si="0"/>
        <v>56</v>
      </c>
      <c r="B57" s="24"/>
      <c r="C57" s="24"/>
      <c r="D57" s="24"/>
      <c r="E57" s="25"/>
      <c r="F57" s="24"/>
      <c r="G57" s="24"/>
    </row>
    <row r="58" spans="1:7">
      <c r="A58" s="8">
        <f t="shared" si="0"/>
        <v>57</v>
      </c>
      <c r="B58" s="24"/>
      <c r="C58" s="24"/>
      <c r="D58" s="24"/>
      <c r="E58" s="25"/>
      <c r="F58" s="24"/>
      <c r="G58" s="24"/>
    </row>
    <row r="59" spans="1:7">
      <c r="A59" s="8">
        <f t="shared" si="0"/>
        <v>58</v>
      </c>
      <c r="B59" s="24"/>
      <c r="C59" s="24"/>
      <c r="D59" s="24"/>
      <c r="E59" s="25"/>
      <c r="F59" s="24"/>
      <c r="G59" s="24"/>
    </row>
    <row r="60" spans="1:7">
      <c r="A60" s="8">
        <f t="shared" si="0"/>
        <v>59</v>
      </c>
      <c r="B60" s="24"/>
      <c r="C60" s="24"/>
      <c r="D60" s="24"/>
      <c r="E60" s="25"/>
      <c r="F60" s="24"/>
      <c r="G60" s="24"/>
    </row>
    <row r="61" spans="1:7">
      <c r="A61" s="8">
        <f t="shared" si="0"/>
        <v>60</v>
      </c>
      <c r="B61" s="24"/>
      <c r="C61" s="24"/>
      <c r="D61" s="24"/>
      <c r="E61" s="25"/>
      <c r="F61" s="24"/>
      <c r="G61" s="24"/>
    </row>
    <row r="62" spans="1:7">
      <c r="A62" s="8">
        <f t="shared" si="0"/>
        <v>61</v>
      </c>
      <c r="B62" s="24"/>
      <c r="C62" s="24"/>
      <c r="D62" s="24"/>
      <c r="E62" s="25"/>
      <c r="F62" s="24"/>
      <c r="G62" s="24"/>
    </row>
    <row r="63" spans="1:7">
      <c r="A63" s="8">
        <f t="shared" si="0"/>
        <v>62</v>
      </c>
      <c r="B63" s="24"/>
      <c r="C63" s="24"/>
      <c r="D63" s="24"/>
      <c r="E63" s="25"/>
      <c r="F63" s="24"/>
      <c r="G63" s="24"/>
    </row>
    <row r="64" spans="1:7">
      <c r="A64" s="8">
        <f t="shared" si="0"/>
        <v>63</v>
      </c>
      <c r="B64" s="24"/>
      <c r="C64" s="24"/>
      <c r="D64" s="24"/>
      <c r="E64" s="25"/>
      <c r="F64" s="24"/>
      <c r="G64" s="24"/>
    </row>
  </sheetData>
  <conditionalFormatting sqref="F1:F1048576">
    <cfRule type="cellIs" dxfId="2" priority="3" operator="equal">
      <formula>"Pass"</formula>
    </cfRule>
  </conditionalFormatting>
  <conditionalFormatting sqref="F1:F1048576">
    <cfRule type="cellIs" dxfId="1" priority="2" operator="equal">
      <formula>"Fail"</formula>
    </cfRule>
  </conditionalFormatting>
  <conditionalFormatting sqref="F1:F1048576">
    <cfRule type="cellIs" dxfId="0" priority="1" operator="equal">
      <formula>"Pass with Comments"</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F2B4FB5-872C-4BD4-B732-F3B78843AA19}">
          <x14:formula1>
            <xm:f>Sheet2!$A$1:$A$3</xm:f>
          </x14:formula1>
          <xm:sqref>F2:F64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73662-D934-4C0B-BF68-F1EAB2DAA633}">
  <dimension ref="A2:N86"/>
  <sheetViews>
    <sheetView tabSelected="1" topLeftCell="A64" workbookViewId="0">
      <selection activeCell="A80" sqref="A78:XFD80"/>
    </sheetView>
  </sheetViews>
  <sheetFormatPr defaultRowHeight="15"/>
  <cols>
    <col min="1" max="1" width="16.85546875" bestFit="1" customWidth="1"/>
    <col min="2" max="2" width="12.140625" bestFit="1" customWidth="1"/>
    <col min="3" max="3" width="10" bestFit="1" customWidth="1"/>
    <col min="4" max="4" width="9.28515625" bestFit="1" customWidth="1"/>
    <col min="5" max="9" width="11.42578125" bestFit="1" customWidth="1"/>
    <col min="10" max="10" width="11.7109375" customWidth="1"/>
  </cols>
  <sheetData>
    <row r="2" spans="1:8" ht="15" customHeight="1">
      <c r="A2" s="52" t="s">
        <v>253</v>
      </c>
      <c r="B2" s="52"/>
      <c r="C2" s="52"/>
      <c r="D2" s="52"/>
      <c r="E2" s="52"/>
      <c r="F2" s="52"/>
    </row>
    <row r="3" spans="1:8" ht="15" customHeight="1">
      <c r="A3" s="52"/>
      <c r="B3" s="52"/>
      <c r="C3" s="52"/>
      <c r="D3" s="52"/>
      <c r="E3" s="52"/>
      <c r="F3" s="52"/>
    </row>
    <row r="4" spans="1:8" hidden="1">
      <c r="A4" s="36" t="s">
        <v>1</v>
      </c>
      <c r="B4" t="s">
        <v>254</v>
      </c>
    </row>
    <row r="5" spans="1:8" hidden="1"/>
    <row r="6" spans="1:8">
      <c r="A6" s="36" t="s">
        <v>255</v>
      </c>
      <c r="C6" s="36" t="s">
        <v>5</v>
      </c>
    </row>
    <row r="7" spans="1:8">
      <c r="A7" s="36" t="s">
        <v>3</v>
      </c>
      <c r="B7" s="36" t="s">
        <v>4</v>
      </c>
      <c r="C7" t="s">
        <v>256</v>
      </c>
      <c r="D7" t="s">
        <v>28</v>
      </c>
      <c r="E7" t="s">
        <v>257</v>
      </c>
    </row>
    <row r="8" spans="1:8">
      <c r="A8" t="s">
        <v>35</v>
      </c>
      <c r="B8" t="s">
        <v>57</v>
      </c>
      <c r="C8" s="37">
        <v>1</v>
      </c>
      <c r="D8" s="37"/>
      <c r="E8" s="37">
        <v>1</v>
      </c>
    </row>
    <row r="9" spans="1:8">
      <c r="B9" t="s">
        <v>16</v>
      </c>
      <c r="C9" s="37">
        <v>1</v>
      </c>
      <c r="D9" s="37"/>
      <c r="E9" s="37">
        <v>1</v>
      </c>
    </row>
    <row r="10" spans="1:8" hidden="1">
      <c r="A10" t="s">
        <v>258</v>
      </c>
      <c r="C10" s="37">
        <v>2</v>
      </c>
      <c r="D10" s="37"/>
      <c r="E10" s="37">
        <v>2</v>
      </c>
    </row>
    <row r="11" spans="1:8">
      <c r="A11" t="s">
        <v>15</v>
      </c>
      <c r="B11" t="s">
        <v>57</v>
      </c>
      <c r="C11" s="37">
        <v>3</v>
      </c>
      <c r="D11" s="37"/>
      <c r="E11" s="37">
        <v>3</v>
      </c>
    </row>
    <row r="12" spans="1:8">
      <c r="B12" t="s">
        <v>16</v>
      </c>
      <c r="C12" s="37">
        <v>12</v>
      </c>
      <c r="D12" s="37">
        <v>1</v>
      </c>
      <c r="E12" s="37">
        <v>13</v>
      </c>
    </row>
    <row r="13" spans="1:8" hidden="1">
      <c r="A13" t="s">
        <v>259</v>
      </c>
      <c r="C13" s="37">
        <v>15</v>
      </c>
      <c r="D13" s="37">
        <v>1</v>
      </c>
      <c r="E13" s="37">
        <v>16</v>
      </c>
    </row>
    <row r="14" spans="1:8">
      <c r="A14" t="s">
        <v>257</v>
      </c>
      <c r="C14" s="37">
        <v>17</v>
      </c>
      <c r="D14" s="37">
        <v>1</v>
      </c>
      <c r="E14" s="37">
        <v>18</v>
      </c>
    </row>
    <row r="16" spans="1:8" ht="15" customHeight="1">
      <c r="A16" s="52" t="s">
        <v>260</v>
      </c>
      <c r="B16" s="52"/>
      <c r="C16" s="52"/>
      <c r="D16" s="52"/>
      <c r="E16" s="52"/>
      <c r="F16" s="52"/>
      <c r="H16" t="s">
        <v>261</v>
      </c>
    </row>
    <row r="17" spans="1:14" ht="15" customHeight="1">
      <c r="A17" s="52"/>
      <c r="B17" s="52"/>
      <c r="C17" s="52"/>
      <c r="D17" s="52"/>
      <c r="E17" s="52"/>
      <c r="F17" s="52"/>
    </row>
    <row r="18" spans="1:14" ht="45.75">
      <c r="A18" s="36" t="s">
        <v>255</v>
      </c>
      <c r="C18" s="36" t="s">
        <v>5</v>
      </c>
      <c r="H18" s="47" t="s">
        <v>262</v>
      </c>
      <c r="I18" s="47" t="s">
        <v>263</v>
      </c>
      <c r="J18" s="47" t="s">
        <v>264</v>
      </c>
      <c r="K18" s="47" t="s">
        <v>265</v>
      </c>
      <c r="L18" s="47" t="s">
        <v>266</v>
      </c>
      <c r="M18" s="47" t="s">
        <v>267</v>
      </c>
      <c r="N18" s="47" t="s">
        <v>268</v>
      </c>
    </row>
    <row r="19" spans="1:14">
      <c r="A19" s="36" t="s">
        <v>3</v>
      </c>
      <c r="B19" s="36" t="s">
        <v>4</v>
      </c>
      <c r="C19" t="s">
        <v>256</v>
      </c>
      <c r="D19" t="s">
        <v>28</v>
      </c>
      <c r="E19" t="s">
        <v>17</v>
      </c>
      <c r="F19" t="s">
        <v>257</v>
      </c>
      <c r="H19" s="46">
        <v>5</v>
      </c>
      <c r="I19" s="46">
        <v>17</v>
      </c>
      <c r="J19" s="46">
        <v>3</v>
      </c>
      <c r="K19" s="46">
        <v>2</v>
      </c>
      <c r="L19" s="46">
        <v>8</v>
      </c>
      <c r="M19" s="46">
        <v>1</v>
      </c>
      <c r="N19" s="46">
        <v>16</v>
      </c>
    </row>
    <row r="20" spans="1:14">
      <c r="A20" t="s">
        <v>35</v>
      </c>
      <c r="B20" t="s">
        <v>57</v>
      </c>
      <c r="C20" s="37">
        <v>1</v>
      </c>
      <c r="D20" s="37"/>
      <c r="E20" s="37">
        <v>2</v>
      </c>
      <c r="F20" s="37">
        <v>3</v>
      </c>
    </row>
    <row r="21" spans="1:14">
      <c r="B21" t="s">
        <v>16</v>
      </c>
      <c r="C21" s="37"/>
      <c r="D21" s="37"/>
      <c r="E21" s="37">
        <v>2</v>
      </c>
      <c r="F21" s="37">
        <v>2</v>
      </c>
    </row>
    <row r="22" spans="1:14">
      <c r="B22" t="s">
        <v>113</v>
      </c>
      <c r="C22" s="37"/>
      <c r="D22" s="37"/>
      <c r="E22" s="37">
        <v>2</v>
      </c>
      <c r="F22" s="37">
        <v>2</v>
      </c>
    </row>
    <row r="23" spans="1:14">
      <c r="A23" t="s">
        <v>15</v>
      </c>
      <c r="B23" t="s">
        <v>57</v>
      </c>
      <c r="C23" s="37"/>
      <c r="D23" s="37">
        <v>1</v>
      </c>
      <c r="E23" s="37">
        <v>3</v>
      </c>
      <c r="F23" s="37">
        <v>4</v>
      </c>
    </row>
    <row r="24" spans="1:14">
      <c r="B24" t="s">
        <v>16</v>
      </c>
      <c r="C24" s="37">
        <v>1</v>
      </c>
      <c r="D24" s="37">
        <v>1</v>
      </c>
      <c r="E24" s="37">
        <v>14</v>
      </c>
      <c r="F24" s="37">
        <v>16</v>
      </c>
    </row>
    <row r="25" spans="1:14">
      <c r="B25" t="s">
        <v>113</v>
      </c>
      <c r="C25" s="37"/>
      <c r="D25" s="37"/>
      <c r="E25" s="37">
        <v>1</v>
      </c>
      <c r="F25" s="37">
        <v>1</v>
      </c>
    </row>
    <row r="26" spans="1:14">
      <c r="A26" t="s">
        <v>257</v>
      </c>
      <c r="C26" s="37">
        <v>2</v>
      </c>
      <c r="D26" s="37">
        <v>2</v>
      </c>
      <c r="E26" s="37">
        <v>24</v>
      </c>
      <c r="F26" s="37">
        <v>28</v>
      </c>
    </row>
    <row r="28" spans="1:14">
      <c r="A28" s="52" t="s">
        <v>269</v>
      </c>
      <c r="B28" s="52"/>
      <c r="C28" s="52"/>
      <c r="D28" s="52"/>
      <c r="E28" s="52"/>
      <c r="F28" s="52"/>
      <c r="H28" t="s">
        <v>270</v>
      </c>
    </row>
    <row r="29" spans="1:14">
      <c r="A29" s="52"/>
      <c r="B29" s="52"/>
      <c r="C29" s="52"/>
      <c r="D29" s="52"/>
      <c r="E29" s="52"/>
      <c r="F29" s="52"/>
    </row>
    <row r="30" spans="1:14" ht="45.75">
      <c r="A30" s="36" t="s">
        <v>255</v>
      </c>
      <c r="C30" s="36" t="s">
        <v>271</v>
      </c>
      <c r="H30" s="47" t="s">
        <v>262</v>
      </c>
      <c r="I30" s="47" t="s">
        <v>263</v>
      </c>
      <c r="J30" s="47" t="s">
        <v>264</v>
      </c>
      <c r="K30" s="47" t="s">
        <v>265</v>
      </c>
      <c r="L30" s="47" t="s">
        <v>266</v>
      </c>
      <c r="M30" s="47" t="s">
        <v>267</v>
      </c>
      <c r="N30" s="47" t="s">
        <v>268</v>
      </c>
    </row>
    <row r="31" spans="1:14">
      <c r="A31" s="36" t="s">
        <v>272</v>
      </c>
      <c r="B31" s="36" t="s">
        <v>4</v>
      </c>
      <c r="C31" t="s">
        <v>256</v>
      </c>
      <c r="D31" t="s">
        <v>28</v>
      </c>
      <c r="E31" t="s">
        <v>17</v>
      </c>
      <c r="F31" t="s">
        <v>257</v>
      </c>
      <c r="H31" s="46">
        <v>6</v>
      </c>
      <c r="I31" s="46">
        <v>17</v>
      </c>
      <c r="J31" s="46">
        <v>3</v>
      </c>
      <c r="K31" s="46">
        <v>3</v>
      </c>
      <c r="L31" s="46">
        <v>3</v>
      </c>
      <c r="M31" s="46">
        <v>2</v>
      </c>
      <c r="N31" s="46">
        <v>21</v>
      </c>
    </row>
    <row r="32" spans="1:14">
      <c r="A32" t="s">
        <v>35</v>
      </c>
      <c r="B32" t="s">
        <v>57</v>
      </c>
      <c r="C32" s="37">
        <v>1</v>
      </c>
      <c r="D32" s="37"/>
      <c r="E32" s="37">
        <v>2</v>
      </c>
      <c r="F32" s="37">
        <v>3</v>
      </c>
    </row>
    <row r="33" spans="1:6">
      <c r="B33" t="s">
        <v>16</v>
      </c>
      <c r="C33" s="37"/>
      <c r="D33" s="37"/>
      <c r="E33" s="37">
        <v>2</v>
      </c>
      <c r="F33" s="37">
        <v>2</v>
      </c>
    </row>
    <row r="34" spans="1:6">
      <c r="B34" t="s">
        <v>113</v>
      </c>
      <c r="C34" s="37"/>
      <c r="D34" s="37"/>
      <c r="E34" s="37">
        <v>2</v>
      </c>
      <c r="F34" s="37">
        <v>2</v>
      </c>
    </row>
    <row r="35" spans="1:6">
      <c r="A35" t="s">
        <v>15</v>
      </c>
      <c r="B35" t="s">
        <v>57</v>
      </c>
      <c r="C35" s="37"/>
      <c r="D35" s="37">
        <v>1</v>
      </c>
      <c r="E35" s="37">
        <v>3</v>
      </c>
      <c r="F35" s="37">
        <v>4</v>
      </c>
    </row>
    <row r="36" spans="1:6">
      <c r="B36" t="s">
        <v>16</v>
      </c>
      <c r="C36" s="37">
        <v>1</v>
      </c>
      <c r="D36" s="37">
        <v>1</v>
      </c>
      <c r="E36" s="37">
        <v>14</v>
      </c>
      <c r="F36" s="37">
        <v>16</v>
      </c>
    </row>
    <row r="37" spans="1:6">
      <c r="B37" t="s">
        <v>113</v>
      </c>
      <c r="C37" s="37"/>
      <c r="D37" s="37"/>
      <c r="E37" s="37">
        <v>1</v>
      </c>
      <c r="F37" s="37">
        <v>1</v>
      </c>
    </row>
    <row r="38" spans="1:6">
      <c r="A38" t="s">
        <v>257</v>
      </c>
      <c r="C38" s="37">
        <v>2</v>
      </c>
      <c r="D38" s="37">
        <v>2</v>
      </c>
      <c r="E38" s="37">
        <v>24</v>
      </c>
      <c r="F38" s="37">
        <v>28</v>
      </c>
    </row>
    <row r="40" spans="1:6">
      <c r="A40" s="52" t="s">
        <v>273</v>
      </c>
      <c r="B40" s="52"/>
      <c r="C40" s="52"/>
      <c r="D40" s="52"/>
      <c r="E40" s="52"/>
      <c r="F40" s="52"/>
    </row>
    <row r="41" spans="1:6">
      <c r="A41" s="52"/>
      <c r="B41" s="52"/>
      <c r="C41" s="52"/>
      <c r="D41" s="52"/>
      <c r="E41" s="52"/>
      <c r="F41" s="52"/>
    </row>
    <row r="42" spans="1:6">
      <c r="A42" s="36" t="s">
        <v>255</v>
      </c>
      <c r="C42" s="36" t="s">
        <v>5</v>
      </c>
    </row>
    <row r="43" spans="1:6">
      <c r="A43" s="36" t="s">
        <v>3</v>
      </c>
      <c r="B43" s="36" t="s">
        <v>4</v>
      </c>
      <c r="C43" t="s">
        <v>256</v>
      </c>
      <c r="D43" t="s">
        <v>28</v>
      </c>
      <c r="E43" t="s">
        <v>17</v>
      </c>
      <c r="F43" t="s">
        <v>257</v>
      </c>
    </row>
    <row r="44" spans="1:6">
      <c r="A44" t="s">
        <v>35</v>
      </c>
      <c r="B44" t="s">
        <v>57</v>
      </c>
      <c r="C44" s="37">
        <v>1</v>
      </c>
      <c r="D44" s="37"/>
      <c r="E44" s="37">
        <v>2</v>
      </c>
      <c r="F44" s="37">
        <v>3</v>
      </c>
    </row>
    <row r="45" spans="1:6">
      <c r="B45" t="s">
        <v>16</v>
      </c>
      <c r="C45" s="37"/>
      <c r="D45" s="37"/>
      <c r="E45" s="37">
        <v>2</v>
      </c>
      <c r="F45" s="37">
        <v>2</v>
      </c>
    </row>
    <row r="46" spans="1:6">
      <c r="B46" t="s">
        <v>113</v>
      </c>
      <c r="C46" s="37"/>
      <c r="D46" s="37"/>
      <c r="E46" s="37">
        <v>2</v>
      </c>
      <c r="F46" s="37">
        <v>2</v>
      </c>
    </row>
    <row r="47" spans="1:6">
      <c r="A47" t="s">
        <v>15</v>
      </c>
      <c r="B47" t="s">
        <v>57</v>
      </c>
      <c r="C47" s="37"/>
      <c r="D47" s="37">
        <v>1</v>
      </c>
      <c r="E47" s="37">
        <v>3</v>
      </c>
      <c r="F47" s="37">
        <v>4</v>
      </c>
    </row>
    <row r="48" spans="1:6">
      <c r="B48" t="s">
        <v>16</v>
      </c>
      <c r="C48" s="37">
        <v>1</v>
      </c>
      <c r="D48" s="37">
        <v>1</v>
      </c>
      <c r="E48" s="37">
        <v>14</v>
      </c>
      <c r="F48" s="37">
        <v>16</v>
      </c>
    </row>
    <row r="49" spans="1:6">
      <c r="B49" t="s">
        <v>113</v>
      </c>
      <c r="C49" s="37"/>
      <c r="D49" s="37"/>
      <c r="E49" s="37">
        <v>1</v>
      </c>
      <c r="F49" s="37">
        <v>1</v>
      </c>
    </row>
    <row r="50" spans="1:6">
      <c r="A50" t="s">
        <v>257</v>
      </c>
      <c r="C50" s="37">
        <v>2</v>
      </c>
      <c r="D50" s="37">
        <v>2</v>
      </c>
      <c r="E50" s="37">
        <v>24</v>
      </c>
      <c r="F50" s="37">
        <v>28</v>
      </c>
    </row>
    <row r="52" spans="1:6">
      <c r="A52" s="52" t="s">
        <v>274</v>
      </c>
      <c r="B52" s="52"/>
      <c r="C52" s="52"/>
      <c r="D52" s="52"/>
      <c r="E52" s="52"/>
      <c r="F52" s="52"/>
    </row>
    <row r="53" spans="1:6">
      <c r="A53" s="52"/>
      <c r="B53" s="52"/>
      <c r="C53" s="52"/>
      <c r="D53" s="52"/>
      <c r="E53" s="52"/>
      <c r="F53" s="52"/>
    </row>
    <row r="54" spans="1:6">
      <c r="A54" s="36" t="s">
        <v>255</v>
      </c>
      <c r="C54" s="36" t="s">
        <v>5</v>
      </c>
    </row>
    <row r="55" spans="1:6">
      <c r="A55" s="36" t="s">
        <v>3</v>
      </c>
      <c r="B55" s="36" t="s">
        <v>4</v>
      </c>
      <c r="C55" t="s">
        <v>28</v>
      </c>
      <c r="D55" t="s">
        <v>17</v>
      </c>
      <c r="E55" t="s">
        <v>257</v>
      </c>
    </row>
    <row r="56" spans="1:6">
      <c r="A56" t="s">
        <v>35</v>
      </c>
      <c r="B56" t="s">
        <v>57</v>
      </c>
      <c r="C56" s="37"/>
      <c r="D56" s="37">
        <v>3</v>
      </c>
      <c r="E56" s="37">
        <v>3</v>
      </c>
    </row>
    <row r="57" spans="1:6">
      <c r="B57" t="s">
        <v>16</v>
      </c>
      <c r="C57" s="37"/>
      <c r="D57" s="37">
        <v>2</v>
      </c>
      <c r="E57" s="37">
        <v>2</v>
      </c>
    </row>
    <row r="58" spans="1:6">
      <c r="B58" t="s">
        <v>113</v>
      </c>
      <c r="C58" s="37"/>
      <c r="D58" s="37">
        <v>2</v>
      </c>
      <c r="E58" s="37">
        <v>2</v>
      </c>
    </row>
    <row r="59" spans="1:6">
      <c r="A59" t="s">
        <v>15</v>
      </c>
      <c r="B59" t="s">
        <v>57</v>
      </c>
      <c r="C59" s="37">
        <v>1</v>
      </c>
      <c r="D59" s="37">
        <v>3</v>
      </c>
      <c r="E59" s="37">
        <v>4</v>
      </c>
    </row>
    <row r="60" spans="1:6">
      <c r="B60" t="s">
        <v>16</v>
      </c>
      <c r="C60" s="37">
        <v>1</v>
      </c>
      <c r="D60" s="37">
        <v>16</v>
      </c>
      <c r="E60" s="37">
        <v>17</v>
      </c>
    </row>
    <row r="61" spans="1:6">
      <c r="B61" t="s">
        <v>113</v>
      </c>
      <c r="C61" s="37"/>
      <c r="D61" s="37">
        <v>1</v>
      </c>
      <c r="E61" s="37">
        <v>1</v>
      </c>
    </row>
    <row r="62" spans="1:6">
      <c r="A62" t="s">
        <v>257</v>
      </c>
      <c r="C62" s="37">
        <v>2</v>
      </c>
      <c r="D62" s="37">
        <v>27</v>
      </c>
      <c r="E62" s="37">
        <v>29</v>
      </c>
    </row>
    <row r="64" spans="1:6">
      <c r="A64" s="52" t="s">
        <v>275</v>
      </c>
      <c r="B64" s="52"/>
      <c r="C64" s="52"/>
      <c r="D64" s="52"/>
      <c r="E64" s="52"/>
      <c r="F64" s="52"/>
    </row>
    <row r="65" spans="1:6">
      <c r="A65" s="52"/>
      <c r="B65" s="52"/>
      <c r="C65" s="52"/>
      <c r="D65" s="52"/>
      <c r="E65" s="52"/>
      <c r="F65" s="52"/>
    </row>
    <row r="66" spans="1:6">
      <c r="A66" s="36" t="s">
        <v>255</v>
      </c>
      <c r="C66" s="36" t="s">
        <v>5</v>
      </c>
    </row>
    <row r="67" spans="1:6">
      <c r="A67" s="36" t="s">
        <v>3</v>
      </c>
      <c r="B67" s="36" t="s">
        <v>4</v>
      </c>
      <c r="C67" t="s">
        <v>28</v>
      </c>
      <c r="D67" t="s">
        <v>17</v>
      </c>
      <c r="E67" t="s">
        <v>257</v>
      </c>
    </row>
    <row r="68" spans="1:6">
      <c r="A68" t="s">
        <v>35</v>
      </c>
      <c r="B68" t="s">
        <v>57</v>
      </c>
      <c r="C68" s="37"/>
      <c r="D68" s="37">
        <v>3</v>
      </c>
      <c r="E68" s="37">
        <v>3</v>
      </c>
    </row>
    <row r="69" spans="1:6">
      <c r="B69" t="s">
        <v>16</v>
      </c>
      <c r="C69" s="37"/>
      <c r="D69" s="37">
        <v>2</v>
      </c>
      <c r="E69" s="37">
        <v>2</v>
      </c>
    </row>
    <row r="70" spans="1:6">
      <c r="B70" t="s">
        <v>113</v>
      </c>
      <c r="C70" s="37"/>
      <c r="D70" s="37">
        <v>2</v>
      </c>
      <c r="E70" s="37">
        <v>2</v>
      </c>
    </row>
    <row r="71" spans="1:6">
      <c r="A71" t="s">
        <v>15</v>
      </c>
      <c r="B71" t="s">
        <v>57</v>
      </c>
      <c r="C71" s="37">
        <v>1</v>
      </c>
      <c r="D71" s="37">
        <v>3</v>
      </c>
      <c r="E71" s="37">
        <v>4</v>
      </c>
    </row>
    <row r="72" spans="1:6">
      <c r="B72" t="s">
        <v>16</v>
      </c>
      <c r="C72" s="37">
        <v>1</v>
      </c>
      <c r="D72" s="37">
        <v>18</v>
      </c>
      <c r="E72" s="37">
        <v>19</v>
      </c>
    </row>
    <row r="73" spans="1:6">
      <c r="B73" t="s">
        <v>113</v>
      </c>
      <c r="C73" s="37"/>
      <c r="D73" s="37">
        <v>2</v>
      </c>
      <c r="E73" s="37">
        <v>2</v>
      </c>
    </row>
    <row r="74" spans="1:6">
      <c r="A74" t="s">
        <v>257</v>
      </c>
      <c r="C74" s="37">
        <v>2</v>
      </c>
      <c r="D74" s="37">
        <v>30</v>
      </c>
      <c r="E74" s="37">
        <v>32</v>
      </c>
    </row>
    <row r="76" spans="1:6">
      <c r="A76" s="52" t="s">
        <v>275</v>
      </c>
      <c r="B76" s="52"/>
      <c r="C76" s="52"/>
      <c r="D76" s="52"/>
      <c r="E76" s="52"/>
      <c r="F76" s="52"/>
    </row>
    <row r="77" spans="1:6">
      <c r="A77" s="52"/>
      <c r="B77" s="52"/>
      <c r="C77" s="52"/>
      <c r="D77" s="52"/>
      <c r="E77" s="52"/>
      <c r="F77" s="52"/>
    </row>
    <row r="78" spans="1:6">
      <c r="A78" s="36" t="s">
        <v>255</v>
      </c>
      <c r="C78" s="36" t="s">
        <v>5</v>
      </c>
    </row>
    <row r="79" spans="1:6">
      <c r="A79" s="36" t="s">
        <v>3</v>
      </c>
      <c r="B79" s="36" t="s">
        <v>4</v>
      </c>
      <c r="C79" t="s">
        <v>28</v>
      </c>
      <c r="D79" t="s">
        <v>17</v>
      </c>
      <c r="E79" t="s">
        <v>257</v>
      </c>
    </row>
    <row r="80" spans="1:6">
      <c r="A80" t="s">
        <v>35</v>
      </c>
      <c r="B80" t="s">
        <v>57</v>
      </c>
      <c r="C80" s="37"/>
      <c r="D80" s="37">
        <v>3</v>
      </c>
      <c r="E80" s="37">
        <v>3</v>
      </c>
    </row>
    <row r="81" spans="1:5">
      <c r="B81" t="s">
        <v>16</v>
      </c>
      <c r="C81" s="37"/>
      <c r="D81" s="37">
        <v>2</v>
      </c>
      <c r="E81" s="37">
        <v>2</v>
      </c>
    </row>
    <row r="82" spans="1:5">
      <c r="B82" t="s">
        <v>113</v>
      </c>
      <c r="C82" s="37"/>
      <c r="D82" s="37">
        <v>2</v>
      </c>
      <c r="E82" s="37">
        <v>2</v>
      </c>
    </row>
    <row r="83" spans="1:5">
      <c r="A83" t="s">
        <v>15</v>
      </c>
      <c r="B83" t="s">
        <v>57</v>
      </c>
      <c r="C83" s="37">
        <v>1</v>
      </c>
      <c r="D83" s="37">
        <v>3</v>
      </c>
      <c r="E83" s="37">
        <v>4</v>
      </c>
    </row>
    <row r="84" spans="1:5">
      <c r="B84" t="s">
        <v>16</v>
      </c>
      <c r="C84" s="37">
        <v>1</v>
      </c>
      <c r="D84" s="37">
        <v>18</v>
      </c>
      <c r="E84" s="37">
        <v>19</v>
      </c>
    </row>
    <row r="85" spans="1:5">
      <c r="B85" t="s">
        <v>113</v>
      </c>
      <c r="C85" s="37"/>
      <c r="D85" s="37">
        <v>2</v>
      </c>
      <c r="E85" s="37">
        <v>2</v>
      </c>
    </row>
    <row r="86" spans="1:5">
      <c r="A86" t="s">
        <v>257</v>
      </c>
      <c r="C86" s="37">
        <v>2</v>
      </c>
      <c r="D86" s="37">
        <v>30</v>
      </c>
      <c r="E86" s="37">
        <v>32</v>
      </c>
    </row>
  </sheetData>
  <mergeCells count="7">
    <mergeCell ref="A76:F77"/>
    <mergeCell ref="A64:F65"/>
    <mergeCell ref="A16:F17"/>
    <mergeCell ref="A2:F3"/>
    <mergeCell ref="A28:F29"/>
    <mergeCell ref="A40:F41"/>
    <mergeCell ref="A52:F5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cols>
    <col min="1" max="1" width="19.5703125" bestFit="1" customWidth="1"/>
  </cols>
  <sheetData>
    <row r="1" spans="1:8">
      <c r="A1" t="s">
        <v>22</v>
      </c>
      <c r="F1" t="s">
        <v>113</v>
      </c>
      <c r="H1" t="s">
        <v>35</v>
      </c>
    </row>
    <row r="2" spans="1:8">
      <c r="A2" t="s">
        <v>202</v>
      </c>
      <c r="C2" t="s">
        <v>276</v>
      </c>
      <c r="F2" t="s">
        <v>57</v>
      </c>
      <c r="H2" t="s">
        <v>15</v>
      </c>
    </row>
    <row r="3" spans="1:8">
      <c r="A3" t="s">
        <v>45</v>
      </c>
      <c r="C3" t="s">
        <v>277</v>
      </c>
      <c r="F3" t="s">
        <v>16</v>
      </c>
    </row>
    <row r="4" spans="1:8">
      <c r="C4" t="s">
        <v>17</v>
      </c>
    </row>
    <row r="5" spans="1:8">
      <c r="C5" t="s">
        <v>256</v>
      </c>
    </row>
    <row r="6" spans="1:8">
      <c r="C6" t="s">
        <v>123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9</xvqq>
    <Notes xmlns="3d05c41d-42c7-4345-8236-8005f0c89855">Dev: SM | BSA: BY</Notes>
    <lcf76f155ced4ddcb4097134ff3c332f xmlns="3d05c41d-42c7-4345-8236-8005f0c898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5146E5-CF4E-4085-BE9F-ED12D10E8B13}"/>
</file>

<file path=customXml/itemProps2.xml><?xml version="1.0" encoding="utf-8"?>
<ds:datastoreItem xmlns:ds="http://schemas.openxmlformats.org/officeDocument/2006/customXml" ds:itemID="{2B22809B-AC9C-4D38-A25A-BC2CB13AE1D1}"/>
</file>

<file path=customXml/itemProps3.xml><?xml version="1.0" encoding="utf-8"?>
<ds:datastoreItem xmlns:ds="http://schemas.openxmlformats.org/officeDocument/2006/customXml" ds:itemID="{704EED5A-6E5F-40C5-9AEF-0B62B473C06D}"/>
</file>

<file path=docProps/app.xml><?xml version="1.0" encoding="utf-8"?>
<Properties xmlns="http://schemas.openxmlformats.org/officeDocument/2006/extended-properties" xmlns:vt="http://schemas.openxmlformats.org/officeDocument/2006/docPropsVTypes">
  <Application>Microsoft Excel Online</Application>
  <Manager/>
  <Company>Orange County Superior Court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Brooke Yale</cp:lastModifiedBy>
  <cp:revision/>
  <dcterms:created xsi:type="dcterms:W3CDTF">2025-10-01T18:45:47Z</dcterms:created>
  <dcterms:modified xsi:type="dcterms:W3CDTF">2026-07-09T23:09:26Z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