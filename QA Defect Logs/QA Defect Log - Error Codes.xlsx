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2456" documentId="8_{5241F905-3D5D-4E86-BFBF-B5267456506A}" xr6:coauthVersionLast="47" xr6:coauthVersionMax="47" xr10:uidLastSave="{26E46635-0524-4FEE-9309-9FB9ADA6B2D3}"/>
  <bookViews>
    <workbookView xWindow="30795" yWindow="-1035" windowWidth="29010" windowHeight="15345" activeTab="1" xr2:uid="{7496AAB9-9610-4154-B91D-ED1C66077D08}"/>
  </bookViews>
  <sheets>
    <sheet name="DEFECTS" sheetId="1" r:id="rId1"/>
    <sheet name="SUMMARY" sheetId="9" r:id="rId2"/>
    <sheet name="52" sheetId="10" r:id="rId3"/>
    <sheet name="Sheet2" sheetId="3" state="hidden" r:id="rId4"/>
  </sheets>
  <definedNames>
    <definedName name="_xlnm._FilterDatabase" localSheetId="0" hidden="1">DEFECTS!$A$1:$M$51</definedName>
    <definedName name="_xlnm._FilterDatabase" localSheetId="1" hidden="1">SUMMARY!#REF!</definedName>
  </definedNames>
  <calcPr calcId="191028"/>
  <pivotCaches>
    <pivotCache cacheId="14" r:id="rId5"/>
    <pivotCache cacheId="15"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8" i="1" l="1"/>
  <c r="A47" i="1"/>
</calcChain>
</file>

<file path=xl/sharedStrings.xml><?xml version="1.0" encoding="utf-8"?>
<sst xmlns="http://schemas.openxmlformats.org/spreadsheetml/2006/main" count="766" uniqueCount="317">
  <si>
    <t>ID</t>
  </si>
  <si>
    <t>Date Tested</t>
  </si>
  <si>
    <t>Interface</t>
  </si>
  <si>
    <t>Scenario Type</t>
  </si>
  <si>
    <t>Bug Type</t>
  </si>
  <si>
    <t>Status</t>
  </si>
  <si>
    <t>Window
Column(s)</t>
  </si>
  <si>
    <t>Summary</t>
  </si>
  <si>
    <t>NG Display/Scenario</t>
  </si>
  <si>
    <t>Testing Comments</t>
  </si>
  <si>
    <t>Date
Retest</t>
  </si>
  <si>
    <t>Retest
Pass/Fail</t>
  </si>
  <si>
    <t>BSA Comments</t>
  </si>
  <si>
    <t>Dev Comments</t>
  </si>
  <si>
    <t>Both</t>
  </si>
  <si>
    <t>Functionality</t>
  </si>
  <si>
    <t>Major</t>
  </si>
  <si>
    <t>Resolved</t>
  </si>
  <si>
    <t>Window</t>
  </si>
  <si>
    <t>Initial loading time</t>
  </si>
  <si>
    <t>NG window takes about 5 seconds to load</t>
  </si>
  <si>
    <t>Current window is immediate</t>
  </si>
  <si>
    <t>Pass</t>
  </si>
  <si>
    <r>
      <rPr>
        <b/>
        <sz val="11"/>
        <color theme="0" tint="-0.34998626667073579"/>
        <rFont val="Calibri"/>
        <family val="2"/>
      </rPr>
      <t xml:space="preserve">10/03: </t>
    </r>
    <r>
      <rPr>
        <sz val="11"/>
        <color theme="0" tint="-0.34998626667073579"/>
        <rFont val="Calibri"/>
        <family val="2"/>
      </rPr>
      <t xml:space="preserve">ST NG - immediate; QA NG - delay
</t>
    </r>
    <r>
      <rPr>
        <b/>
        <sz val="11"/>
        <color theme="0" tint="-0.34998626667073579"/>
        <rFont val="Calibri"/>
        <family val="2"/>
      </rPr>
      <t>10/21:</t>
    </r>
    <r>
      <rPr>
        <sz val="11"/>
        <color theme="0" tint="-0.34998626667073579"/>
        <rFont val="Calibri"/>
        <family val="2"/>
      </rPr>
      <t xml:space="preserve"> Still a delay in CRMD/CRMQ (~5 seconds)
10/29: in progress
</t>
    </r>
    <r>
      <rPr>
        <b/>
        <sz val="11"/>
        <color theme="0" tint="-0.34998626667073579"/>
        <rFont val="Calibri"/>
        <family val="2"/>
      </rPr>
      <t>11/18:</t>
    </r>
    <r>
      <rPr>
        <sz val="11"/>
        <color theme="0" tint="-0.34998626667073579"/>
        <rFont val="Calibri"/>
        <family val="2"/>
      </rPr>
      <t xml:space="preserve"> Still a delay in CRMD/CRMQ (~4 seconds)
</t>
    </r>
    <r>
      <rPr>
        <b/>
        <sz val="11"/>
        <color theme="0" tint="-0.34998626667073579"/>
        <rFont val="Calibri"/>
        <family val="2"/>
      </rPr>
      <t xml:space="preserve">11/24: </t>
    </r>
    <r>
      <rPr>
        <sz val="11"/>
        <color theme="0" tint="-0.34998626667073579"/>
        <rFont val="Calibri"/>
        <family val="2"/>
      </rPr>
      <t xml:space="preserve">ok as is
</t>
    </r>
    <r>
      <rPr>
        <b/>
        <sz val="11"/>
        <color theme="0" tint="-0.34998626667073579"/>
        <rFont val="Calibri"/>
        <family val="2"/>
      </rPr>
      <t>12/04:</t>
    </r>
    <r>
      <rPr>
        <sz val="11"/>
        <color theme="0" tint="-0.34998626667073579"/>
        <rFont val="Calibri"/>
        <family val="2"/>
      </rPr>
      <t xml:space="preserve"> still ok as is; noting that web version is faster than Vision app when loading</t>
    </r>
  </si>
  <si>
    <t>Minor</t>
  </si>
  <si>
    <t>Highlighted rows</t>
  </si>
  <si>
    <t>Blue highlight appears to be behind the cells for a selected row - more difficult to read</t>
  </si>
  <si>
    <t>Current window highlights entire row blue including cells</t>
  </si>
  <si>
    <r>
      <rPr>
        <b/>
        <sz val="11"/>
        <color theme="0" tint="-0.34998626667073579"/>
        <rFont val="Calibri"/>
        <family val="2"/>
      </rPr>
      <t>10/03:</t>
    </r>
    <r>
      <rPr>
        <sz val="11"/>
        <color theme="0" tint="-0.34998626667073579"/>
        <rFont val="Calibri"/>
        <family val="2"/>
      </rPr>
      <t xml:space="preserve"> Follow-up
</t>
    </r>
    <r>
      <rPr>
        <b/>
        <sz val="11"/>
        <color theme="0" tint="-0.34998626667073579"/>
        <rFont val="Calibri"/>
        <family val="2"/>
      </rPr>
      <t xml:space="preserve">10/21: </t>
    </r>
    <r>
      <rPr>
        <sz val="11"/>
        <color theme="0" tint="-0.34998626667073579"/>
        <rFont val="Calibri"/>
        <family val="2"/>
      </rPr>
      <t>See ID #22</t>
    </r>
  </si>
  <si>
    <t>Error Nbr</t>
  </si>
  <si>
    <t>Entering value less than 40000</t>
  </si>
  <si>
    <r>
      <t xml:space="preserve">1. User enters </t>
    </r>
    <r>
      <rPr>
        <b/>
        <sz val="11"/>
        <color theme="1"/>
        <rFont val="Calibri"/>
        <family val="2"/>
      </rPr>
      <t xml:space="preserve">Error Nbr </t>
    </r>
    <r>
      <rPr>
        <sz val="11"/>
        <color theme="1"/>
        <rFont val="Calibri"/>
        <family val="2"/>
      </rPr>
      <t xml:space="preserve">value less than 40000 (e.g., 4001)
2. User tabs/clicks out of field to enter next element &gt; Error Nbr field resets to '0' &gt; Error Number window appears with "Please enter a number higher than 40000!"
3. User selects OK, returns to Error Codes window and fills out remaining elements allowing user to attempt a save
4. </t>
    </r>
    <r>
      <rPr>
        <sz val="11"/>
        <rFont val="Calibri"/>
        <family val="2"/>
      </rPr>
      <t>After attempt: Validation Error message window appears "One or more validation errors occurred: Error number is required"</t>
    </r>
  </si>
  <si>
    <t>Current window prevents user from continuing until valid Error Nbr is entered; if value doesn't meet validations, data remains for user to correct (does not reset)</t>
  </si>
  <si>
    <r>
      <rPr>
        <b/>
        <sz val="11"/>
        <color theme="0" tint="-0.34998626667073579"/>
        <rFont val="Calibri"/>
        <family val="2"/>
      </rPr>
      <t>10/03:</t>
    </r>
    <r>
      <rPr>
        <sz val="11"/>
        <color theme="0" tint="-0.34998626667073579"/>
        <rFont val="Calibri"/>
        <family val="2"/>
      </rPr>
      <t xml:space="preserve"> Retain original value (tab out); highlight first row that is failing</t>
    </r>
  </si>
  <si>
    <t>Entering existing value</t>
  </si>
  <si>
    <t>1. User adds new row and uses existing Error Nbr value
2. User tabs/clicks out of field to enter next element &gt; Error Nbr field resets to '0' &gt; Error Number window appears with "Code exists. Please enter another value!"</t>
  </si>
  <si>
    <t>Current window does not reset Error Nbr value</t>
  </si>
  <si>
    <r>
      <rPr>
        <b/>
        <sz val="11"/>
        <color theme="0" tint="-0.34998626667073579"/>
        <rFont val="Calibri"/>
        <family val="2"/>
      </rPr>
      <t xml:space="preserve">10/03: </t>
    </r>
    <r>
      <rPr>
        <sz val="11"/>
        <color theme="0" tint="-0.34998626667073579"/>
        <rFont val="Calibri"/>
        <family val="2"/>
      </rPr>
      <t>Retain original value (tab out); highlight first row that is failing</t>
    </r>
  </si>
  <si>
    <t>Default value for newly added row</t>
  </si>
  <si>
    <r>
      <t>When adding new row, default value is</t>
    </r>
    <r>
      <rPr>
        <sz val="11"/>
        <color rgb="FFFF0000"/>
        <rFont val="Calibri"/>
        <family val="2"/>
      </rPr>
      <t xml:space="preserve"> </t>
    </r>
    <r>
      <rPr>
        <sz val="11"/>
        <rFont val="Calibri"/>
        <family val="2"/>
      </rPr>
      <t>"0"</t>
    </r>
  </si>
  <si>
    <t>Current window has NULL default value</t>
  </si>
  <si>
    <r>
      <rPr>
        <b/>
        <sz val="11"/>
        <color theme="0" tint="-0.34998626667073579"/>
        <rFont val="Calibri"/>
        <family val="2"/>
      </rPr>
      <t>10/03:</t>
    </r>
    <r>
      <rPr>
        <sz val="11"/>
        <color theme="0" tint="-0.34998626667073579"/>
        <rFont val="Calibri"/>
        <family val="2"/>
      </rPr>
      <t xml:space="preserve"> Fixed</t>
    </r>
  </si>
  <si>
    <t>No character limit, overridden values</t>
  </si>
  <si>
    <t>No character limit
Enter 12345678901234567890 (20 characters), tab out, value udpates with "92233782036854775807"</t>
  </si>
  <si>
    <t>Current window does not allow user to enter more than 8 numbers; if tab out of field, value remains and does not override with random numbers</t>
  </si>
  <si>
    <r>
      <rPr>
        <b/>
        <sz val="11"/>
        <color theme="0" tint="-0.34998626667073579"/>
        <rFont val="Calibri"/>
        <family val="2"/>
      </rPr>
      <t xml:space="preserve">10/03: </t>
    </r>
    <r>
      <rPr>
        <sz val="11"/>
        <color theme="0" tint="-0.34998626667073579"/>
        <rFont val="Calibri"/>
        <family val="2"/>
      </rPr>
      <t xml:space="preserve">Updated to 8 characters
</t>
    </r>
    <r>
      <rPr>
        <b/>
        <sz val="11"/>
        <color theme="0" tint="-0.34998626667073579"/>
        <rFont val="Calibri"/>
        <family val="2"/>
      </rPr>
      <t xml:space="preserve">10/21: </t>
    </r>
    <r>
      <rPr>
        <sz val="11"/>
        <color theme="0" tint="-0.34998626667073579"/>
        <rFont val="Calibri"/>
        <family val="2"/>
      </rPr>
      <t>See #23</t>
    </r>
  </si>
  <si>
    <t>Character Limit</t>
  </si>
  <si>
    <t>Able to save 19 numbers (92233782036854775807)</t>
  </si>
  <si>
    <t>After saving, existing Error Codes window fails</t>
  </si>
  <si>
    <r>
      <rPr>
        <b/>
        <sz val="11"/>
        <color theme="0" tint="-0.34998626667073579"/>
        <rFont val="Calibri"/>
        <family val="2"/>
      </rPr>
      <t xml:space="preserve">10/03: </t>
    </r>
    <r>
      <rPr>
        <sz val="11"/>
        <color theme="0" tint="-0.34998626667073579"/>
        <rFont val="Calibri"/>
        <family val="2"/>
      </rPr>
      <t>Updated to 8 characters</t>
    </r>
  </si>
  <si>
    <t>Msg Rsp Fmt
Error Type</t>
  </si>
  <si>
    <t>Sorting</t>
  </si>
  <si>
    <t>Sort ascending/descending order by clicking column header
Note: column has additional filter that has "Number Filters" even though data is displayed as the description</t>
  </si>
  <si>
    <t>Seems that these columns should have "Text Filters" instead of number filters</t>
  </si>
  <si>
    <r>
      <rPr>
        <b/>
        <sz val="11"/>
        <color theme="0" tint="-0.34998626667073579"/>
        <rFont val="Calibri"/>
        <family val="2"/>
      </rPr>
      <t xml:space="preserve">10/03: </t>
    </r>
    <r>
      <rPr>
        <sz val="11"/>
        <color theme="0" tint="-0.34998626667073579"/>
        <rFont val="Calibri"/>
        <family val="2"/>
      </rPr>
      <t xml:space="preserve">Remove filters, leave asc/descending if it cannot be fixed
</t>
    </r>
    <r>
      <rPr>
        <b/>
        <sz val="11"/>
        <color theme="0" tint="-0.34998626667073579"/>
        <rFont val="Calibri"/>
        <family val="2"/>
      </rPr>
      <t xml:space="preserve">10/21: </t>
    </r>
    <r>
      <rPr>
        <sz val="11"/>
        <color theme="0" tint="-0.34998626667073579"/>
        <rFont val="Calibri"/>
        <family val="2"/>
      </rPr>
      <t>Filters fixed; can apply across multiple columns</t>
    </r>
  </si>
  <si>
    <t>Drop-down menu options order</t>
  </si>
  <si>
    <r>
      <rPr>
        <b/>
        <sz val="11"/>
        <rFont val="Calibri"/>
        <family val="2"/>
      </rPr>
      <t xml:space="preserve">Msg Rsp Fmt: </t>
    </r>
    <r>
      <rPr>
        <sz val="11"/>
        <rFont val="Calibri"/>
        <family val="2"/>
      </rPr>
      <t xml:space="preserve">Drop-down list is in reverse alphabetical order
</t>
    </r>
    <r>
      <rPr>
        <b/>
        <sz val="11"/>
        <rFont val="Calibri"/>
        <family val="2"/>
      </rPr>
      <t xml:space="preserve">Error Type: </t>
    </r>
    <r>
      <rPr>
        <sz val="11"/>
        <rFont val="Calibri"/>
        <family val="2"/>
      </rPr>
      <t>Drop-down list is not in any order</t>
    </r>
  </si>
  <si>
    <t>Both drop-downs should be in alphabetical order by description</t>
  </si>
  <si>
    <r>
      <rPr>
        <b/>
        <sz val="11"/>
        <color theme="0" tint="-0.34998626667073579"/>
        <rFont val="Calibri"/>
        <family val="2"/>
      </rPr>
      <t>10/03:</t>
    </r>
    <r>
      <rPr>
        <sz val="11"/>
        <color theme="0" tint="-0.34998626667073579"/>
        <rFont val="Calibri"/>
        <family val="2"/>
      </rPr>
      <t xml:space="preserve"> Correct to alphabetical order</t>
    </r>
  </si>
  <si>
    <t>Msg Rsp Fmt</t>
  </si>
  <si>
    <t>Order of validation</t>
  </si>
  <si>
    <t>Validations appear to be out of order:
1. Enter Error Nbr &gt; Msg Rsp Fmt, Error Code, Error Message are NULL &gt; Save = Displays Error Code is required
2. Enter Error Code &gt; Msg Rsp Fmt, Error Message are NULL &gt; Save = Displays Error Message is required
3. Enter Error Message &gt; Msg Rsp Fmt is NULL &gt; Save = Displays Severity is required</t>
  </si>
  <si>
    <t>Current window seems to validate columns left to right; Vision NG seems to start with Error Nbr, skips to Error Code, Error Message, Error Type, then back to Msg Rsp Fmt</t>
  </si>
  <si>
    <r>
      <rPr>
        <b/>
        <sz val="11"/>
        <color theme="0" tint="-0.34998626667073579"/>
        <rFont val="Calibri"/>
        <family val="2"/>
      </rPr>
      <t xml:space="preserve">10/03: </t>
    </r>
    <r>
      <rPr>
        <sz val="11"/>
        <color theme="0" tint="-0.34998626667073579"/>
        <rFont val="Calibri"/>
        <family val="2"/>
      </rPr>
      <t xml:space="preserve">To be reviewed
</t>
    </r>
    <r>
      <rPr>
        <b/>
        <sz val="11"/>
        <color theme="0" tint="-0.34998626667073579"/>
        <rFont val="Calibri"/>
        <family val="2"/>
      </rPr>
      <t>10/21:</t>
    </r>
    <r>
      <rPr>
        <sz val="11"/>
        <color theme="0" tint="-0.34998626667073579"/>
        <rFont val="Calibri"/>
        <family val="2"/>
      </rPr>
      <t xml:space="preserve"> See #24</t>
    </r>
  </si>
  <si>
    <t>Default display</t>
  </si>
  <si>
    <r>
      <t xml:space="preserve">When adding a new row, default display shows </t>
    </r>
    <r>
      <rPr>
        <i/>
        <sz val="11"/>
        <rFont val="Calibri"/>
        <family val="2"/>
      </rPr>
      <t>Select Severity</t>
    </r>
  </si>
  <si>
    <t>Title and selection don't match; ok with leaving as-is as long as internal team understands what it means</t>
  </si>
  <si>
    <r>
      <rPr>
        <b/>
        <sz val="11"/>
        <color theme="0" tint="-0.34998626667073579"/>
        <rFont val="Calibri"/>
        <family val="2"/>
      </rPr>
      <t xml:space="preserve">10/03: </t>
    </r>
    <r>
      <rPr>
        <sz val="11"/>
        <color theme="0" tint="-0.34998626667073579"/>
        <rFont val="Calibri"/>
        <family val="2"/>
      </rPr>
      <t xml:space="preserve">Update to read </t>
    </r>
    <r>
      <rPr>
        <i/>
        <sz val="11"/>
        <color theme="0" tint="-0.34998626667073579"/>
        <rFont val="Calibri"/>
        <family val="2"/>
      </rPr>
      <t>Select Msg Rsp Fmt</t>
    </r>
  </si>
  <si>
    <t>Error Code
Error Message</t>
  </si>
  <si>
    <t>Column headers change color when sorting</t>
  </si>
  <si>
    <t>Column header changes from blue to gray when sorting is added</t>
  </si>
  <si>
    <t>Other columns do not change color</t>
  </si>
  <si>
    <t>Add New Row</t>
  </si>
  <si>
    <t>Placement of newly added rows</t>
  </si>
  <si>
    <t>New row added at top of window</t>
  </si>
  <si>
    <t>Current window adds to bottom of existing rows; believe NG window is placing them at the top due to the default "0" value</t>
  </si>
  <si>
    <r>
      <rPr>
        <b/>
        <sz val="11"/>
        <color theme="0" tint="-0.34998626667073579"/>
        <rFont val="Calibri"/>
        <family val="2"/>
      </rPr>
      <t>10/03:</t>
    </r>
    <r>
      <rPr>
        <sz val="11"/>
        <color theme="0" tint="-0.34998626667073579"/>
        <rFont val="Calibri"/>
        <family val="2"/>
      </rPr>
      <t xml:space="preserve"> Move to bottom</t>
    </r>
  </si>
  <si>
    <t>No Action</t>
  </si>
  <si>
    <t>Delete Row</t>
  </si>
  <si>
    <t>Deleting blank rows</t>
  </si>
  <si>
    <t>1. Add 3 blank rows
2. Right click and delete
3. Deletes all blank rows</t>
  </si>
  <si>
    <t>Only one row should be deleted (selected row)</t>
  </si>
  <si>
    <t>Pass with Comments</t>
  </si>
  <si>
    <r>
      <rPr>
        <b/>
        <sz val="11"/>
        <color theme="0" tint="-0.34998626667073579"/>
        <rFont val="Calibri"/>
        <family val="2"/>
      </rPr>
      <t>10/03:</t>
    </r>
    <r>
      <rPr>
        <sz val="11"/>
        <color theme="0" tint="-0.34998626667073579"/>
        <rFont val="Calibri"/>
        <family val="2"/>
      </rPr>
      <t xml:space="preserve"> Fixed
</t>
    </r>
    <r>
      <rPr>
        <b/>
        <sz val="11"/>
        <color theme="0" tint="-0.34998626667073579"/>
        <rFont val="Calibri"/>
        <family val="2"/>
      </rPr>
      <t>10/21:</t>
    </r>
    <r>
      <rPr>
        <sz val="11"/>
        <color theme="0" tint="-0.34998626667073579"/>
        <rFont val="Calibri"/>
        <family val="2"/>
      </rPr>
      <t xml:space="preserve"> Can only add 1 new row but should be able to add multiple
</t>
    </r>
    <r>
      <rPr>
        <b/>
        <sz val="11"/>
        <color theme="0" tint="-0.34998626667073579"/>
        <rFont val="Calibri"/>
        <family val="2"/>
      </rPr>
      <t>10/29:</t>
    </r>
    <r>
      <rPr>
        <sz val="11"/>
        <color theme="0" tint="-0.34998626667073579"/>
        <rFont val="Calibri"/>
        <family val="2"/>
      </rPr>
      <t xml:space="preserve"> for now, leave as-is (move to separate grouping to address later)
</t>
    </r>
    <r>
      <rPr>
        <b/>
        <sz val="11"/>
        <color theme="0" tint="-0.34998626667073579"/>
        <rFont val="Calibri"/>
        <family val="2"/>
      </rPr>
      <t>11/18</t>
    </r>
    <r>
      <rPr>
        <sz val="11"/>
        <color theme="0" tint="-0.34998626667073579"/>
        <rFont val="Calibri"/>
        <family val="2"/>
      </rPr>
      <t>: Moved to No Action. Removed ability to add multiple rows at once.</t>
    </r>
  </si>
  <si>
    <t>UI</t>
  </si>
  <si>
    <t>Display Border</t>
  </si>
  <si>
    <t>Missing Border</t>
  </si>
  <si>
    <t>Blue border is missing around data</t>
  </si>
  <si>
    <t>If possible, add blue border so window stands out; column headers in NG window blend into background</t>
  </si>
  <si>
    <r>
      <rPr>
        <b/>
        <sz val="11"/>
        <color theme="0" tint="-0.34998626667073579"/>
        <rFont val="Calibri"/>
        <family val="2"/>
      </rPr>
      <t xml:space="preserve">10/03: </t>
    </r>
    <r>
      <rPr>
        <sz val="11"/>
        <color theme="0" tint="-0.34998626667073579"/>
        <rFont val="Calibri"/>
        <family val="2"/>
      </rPr>
      <t>Fixed</t>
    </r>
  </si>
  <si>
    <t>All Columns</t>
  </si>
  <si>
    <t>Column header alignment</t>
  </si>
  <si>
    <t xml:space="preserve">Left justified </t>
  </si>
  <si>
    <t>Should be center justified</t>
  </si>
  <si>
    <t>10/03: Fixed</t>
  </si>
  <si>
    <t>Number of Rows displayed</t>
  </si>
  <si>
    <t>Displays 23 rows</t>
  </si>
  <si>
    <t>Current window displays 25 rows</t>
  </si>
  <si>
    <r>
      <rPr>
        <b/>
        <sz val="11"/>
        <color theme="0" tint="-0.34998626667073579"/>
        <rFont val="Calibri"/>
        <family val="2"/>
      </rPr>
      <t xml:space="preserve">10/03: </t>
    </r>
    <r>
      <rPr>
        <sz val="11"/>
        <color theme="0" tint="-0.34998626667073579"/>
        <rFont val="Calibri"/>
        <family val="2"/>
      </rPr>
      <t xml:space="preserve">Leave as-is; need to take in consideration for future windows
</t>
    </r>
    <r>
      <rPr>
        <b/>
        <sz val="11"/>
        <color theme="0" tint="-0.34998626667073579"/>
        <rFont val="Calibri"/>
        <family val="2"/>
      </rPr>
      <t>10/21:</t>
    </r>
    <r>
      <rPr>
        <sz val="11"/>
        <color theme="0" tint="-0.34998626667073579"/>
        <rFont val="Calibri"/>
        <family val="2"/>
      </rPr>
      <t xml:space="preserve"> NG now shows 27 rows</t>
    </r>
  </si>
  <si>
    <t>Data alignment</t>
  </si>
  <si>
    <t>Values are left justified</t>
  </si>
  <si>
    <t>Should be right justified</t>
  </si>
  <si>
    <t>Page Up/Down Keys vs. Scrolling</t>
  </si>
  <si>
    <t>Page Up / Page Down vs. scroll in window</t>
  </si>
  <si>
    <t>Added per 10/03 internal meeting</t>
  </si>
  <si>
    <r>
      <rPr>
        <b/>
        <sz val="11"/>
        <color rgb="FFA6A6A6"/>
        <rFont val="Calibri"/>
        <family val="2"/>
      </rPr>
      <t>10/03:</t>
    </r>
    <r>
      <rPr>
        <sz val="11"/>
        <color rgb="FFA6A6A6"/>
        <rFont val="Calibri"/>
        <family val="2"/>
      </rPr>
      <t xml:space="preserve"> address later
</t>
    </r>
    <r>
      <rPr>
        <b/>
        <sz val="11"/>
        <color theme="0" tint="-0.34998626667073579"/>
        <rFont val="Calibri"/>
        <family val="2"/>
      </rPr>
      <t xml:space="preserve">10/21: </t>
    </r>
    <r>
      <rPr>
        <sz val="11"/>
        <color theme="0" tint="-0.34998626667073579"/>
        <rFont val="Calibri"/>
        <family val="2"/>
      </rPr>
      <t>revisit at next meeting</t>
    </r>
    <r>
      <rPr>
        <sz val="11"/>
        <color rgb="FF000000"/>
        <rFont val="Calibri"/>
        <family val="2"/>
      </rPr>
      <t xml:space="preserve">
</t>
    </r>
    <r>
      <rPr>
        <b/>
        <sz val="11"/>
        <color theme="0" tint="-0.34998626667073579"/>
        <rFont val="Calibri"/>
        <family val="2"/>
      </rPr>
      <t>10/29:</t>
    </r>
    <r>
      <rPr>
        <sz val="11"/>
        <color theme="0" tint="-0.34998626667073579"/>
        <rFont val="Calibri"/>
        <family val="2"/>
      </rPr>
      <t xml:space="preserve"> First, Next, Last implemented; fixed</t>
    </r>
    <r>
      <rPr>
        <sz val="11"/>
        <color rgb="FF000000"/>
        <rFont val="Calibri"/>
        <family val="2"/>
      </rPr>
      <t xml:space="preserve">
</t>
    </r>
    <r>
      <rPr>
        <b/>
        <sz val="11"/>
        <color theme="0" tint="-0.34998626667073579"/>
        <rFont val="Calibri"/>
        <family val="2"/>
      </rPr>
      <t>11/18</t>
    </r>
    <r>
      <rPr>
        <sz val="11"/>
        <color theme="0" tint="-0.34998626667073579"/>
        <rFont val="Calibri"/>
        <family val="2"/>
      </rPr>
      <t xml:space="preserve">: Page Up has more lag than page down
</t>
    </r>
    <r>
      <rPr>
        <b/>
        <sz val="11"/>
        <color theme="0" tint="-0.34998626667073579"/>
        <rFont val="Calibri"/>
        <family val="2"/>
      </rPr>
      <t xml:space="preserve">12/04: </t>
    </r>
    <r>
      <rPr>
        <sz val="11"/>
        <color theme="0" tint="-0.34998626667073579"/>
        <rFont val="Calibri"/>
        <family val="2"/>
      </rPr>
      <t>Scroll removed as paging for grids that were virtualized was updated.</t>
    </r>
  </si>
  <si>
    <t>11/10 SM - page up/down added
11/25 SM - I believe this was passed during our 11/24 meeting. Please reach out if it was not</t>
  </si>
  <si>
    <t>Shortcut Keys</t>
  </si>
  <si>
    <t>Shortcut keys not working in Vision NG window; workin current Vision window</t>
  </si>
  <si>
    <r>
      <rPr>
        <b/>
        <sz val="11"/>
        <color theme="0" tint="-0.34998626667073579"/>
        <rFont val="Calibri"/>
        <family val="2"/>
      </rPr>
      <t>10/03:</t>
    </r>
    <r>
      <rPr>
        <sz val="11"/>
        <color theme="0" tint="-0.34998626667073579"/>
        <rFont val="Calibri"/>
        <family val="2"/>
      </rPr>
      <t xml:space="preserve"> Address now
</t>
    </r>
    <r>
      <rPr>
        <b/>
        <sz val="11"/>
        <color theme="0" tint="-0.34998626667073579"/>
        <rFont val="Calibri"/>
        <family val="2"/>
      </rPr>
      <t xml:space="preserve">10/21: </t>
    </r>
    <r>
      <rPr>
        <sz val="11"/>
        <color theme="0" tint="-0.34998626667073579"/>
        <rFont val="Calibri"/>
        <family val="2"/>
      </rPr>
      <t xml:space="preserve">Not working
</t>
    </r>
    <r>
      <rPr>
        <b/>
        <sz val="11"/>
        <color theme="0" tint="-0.34998626667073579"/>
        <rFont val="Calibri"/>
        <family val="2"/>
      </rPr>
      <t xml:space="preserve">10/29: </t>
    </r>
    <r>
      <rPr>
        <sz val="11"/>
        <color theme="0" tint="-0.34998626667073579"/>
        <rFont val="Calibri"/>
        <family val="2"/>
      </rPr>
      <t xml:space="preserve">in progress still
</t>
    </r>
    <r>
      <rPr>
        <b/>
        <sz val="11"/>
        <color theme="0" tint="-0.34998626667073579"/>
        <rFont val="Calibri"/>
        <family val="2"/>
      </rPr>
      <t>11/18</t>
    </r>
    <r>
      <rPr>
        <sz val="11"/>
        <color theme="0" tint="-0.34998626667073579"/>
        <rFont val="Calibri"/>
        <family val="2"/>
      </rPr>
      <t>: Changes work. However, these short keys are not present in Code Entries table. Should this functionality remain or be removed?</t>
    </r>
  </si>
  <si>
    <t>11/10 SM - Save, Close, F7, F8, F10, F11, CTRL+S,Shift+F6, Shift+F7, F3 working
11/24 SM - also added ctrl+shift+f</t>
  </si>
  <si>
    <t>Pending Changes During Deployment</t>
  </si>
  <si>
    <t>1. Open window and update to create pending changes (did not save)
2. Changes deployed
3. Received several pop up messages asking if you would like to continue working on pending changes
4. Close prompts and try to continue working on pending changes, receive "Rejoining the server..." message.</t>
  </si>
  <si>
    <r>
      <rPr>
        <b/>
        <sz val="11"/>
        <color theme="0" tint="-0.34998626667073579"/>
        <rFont val="Calibri"/>
        <family val="2"/>
      </rPr>
      <t xml:space="preserve">10/29: </t>
    </r>
    <r>
      <rPr>
        <sz val="11"/>
        <color theme="0" tint="-0.34998626667073579"/>
        <rFont val="Calibri"/>
        <family val="2"/>
      </rPr>
      <t>devs to send notices of deployment; deployments to be done COB hours</t>
    </r>
  </si>
  <si>
    <t>Regression</t>
  </si>
  <si>
    <t>Light blue highlight appears but difficult to read row when highlighted as text is white and bolded</t>
  </si>
  <si>
    <t>1) Remove the bold format when selected and either 2 or 3
2) Keep text white and darken blue highlight
3) Change text to white and keep light blue highlight</t>
  </si>
  <si>
    <t>10/29: Fixed</t>
  </si>
  <si>
    <t>11/10 SM - addressed with gray background styling when row modified</t>
  </si>
  <si>
    <t>Error Code</t>
  </si>
  <si>
    <t>Message for invalid code</t>
  </si>
  <si>
    <t>Message is cut off if window is minimized</t>
  </si>
  <si>
    <t xml:space="preserve">If possible, can this be dynamic?
11/18 after minimize before row is selected
11/18 after row is selected
</t>
  </si>
  <si>
    <r>
      <rPr>
        <b/>
        <sz val="11"/>
        <color theme="0" tint="-0.34998626667073579"/>
        <rFont val="Calibri"/>
        <family val="2"/>
      </rPr>
      <t>10/29:</t>
    </r>
    <r>
      <rPr>
        <sz val="11"/>
        <color theme="0" tint="-0.34998626667073579"/>
        <rFont val="Calibri"/>
        <family val="2"/>
      </rPr>
      <t xml:space="preserve"> Fixed; click out of row will show all validation errors; tab out will only show validation for that column
</t>
    </r>
    <r>
      <rPr>
        <b/>
        <sz val="11"/>
        <color theme="0" tint="-0.34998626667073579"/>
        <rFont val="Calibri"/>
        <family val="2"/>
      </rPr>
      <t xml:space="preserve">11/18: </t>
    </r>
    <r>
      <rPr>
        <sz val="11"/>
        <color theme="0" tint="-0.34998626667073579"/>
        <rFont val="Calibri"/>
        <family val="2"/>
      </rPr>
      <t xml:space="preserve">Message cuts off. Additionally, if you modify window size while error message appears, the message points to the incorrect cell. If you click to a new row, the message moves to the correct location
</t>
    </r>
    <r>
      <rPr>
        <b/>
        <sz val="11"/>
        <color theme="0" tint="-0.34998626667073579"/>
        <rFont val="Calibri"/>
        <family val="2"/>
      </rPr>
      <t xml:space="preserve">11/24: </t>
    </r>
    <r>
      <rPr>
        <sz val="11"/>
        <color theme="0" tint="-0.34998626667073579"/>
        <rFont val="Calibri"/>
        <family val="2"/>
      </rPr>
      <t xml:space="preserve">BSA retest
</t>
    </r>
    <r>
      <rPr>
        <b/>
        <sz val="11"/>
        <color theme="0" tint="-0.34998626667073579"/>
        <rFont val="Calibri"/>
        <family val="2"/>
      </rPr>
      <t xml:space="preserve">12/04: </t>
    </r>
    <r>
      <rPr>
        <sz val="11"/>
        <color theme="0" tint="-0.34998626667073579"/>
        <rFont val="Calibri"/>
        <family val="2"/>
      </rPr>
      <t xml:space="preserve">once row displays fluent validation messages and subsequently resizes window, algignment and messages are cut off. </t>
    </r>
  </si>
  <si>
    <r>
      <rPr>
        <sz val="11"/>
        <color rgb="FF000000"/>
        <rFont val="Calibri"/>
        <family val="2"/>
      </rPr>
      <t xml:space="preserve">Other windows do not notify of no data retrieved, we want to keep all windows the same right,  also this new modern grid tells you that no data was retrieved as well, image on the right: 
</t>
    </r>
    <r>
      <rPr>
        <b/>
        <sz val="11"/>
        <color rgb="FF000000"/>
        <rFont val="Calibri"/>
        <family val="2"/>
      </rPr>
      <t>11/20 SM</t>
    </r>
    <r>
      <rPr>
        <sz val="11"/>
        <color rgb="FF000000"/>
        <rFont val="Calibri"/>
        <family val="2"/>
      </rPr>
      <t xml:space="preserve"> - message no longer cuts off. Still working on layout shift issue
11/25 SM - message does not cut off. Layout shift will stay per 11/24's meeting</t>
    </r>
  </si>
  <si>
    <t>Save icon disabled</t>
  </si>
  <si>
    <t>1. Open Error Codes.
2. Add New Row and enter Error Nbr.
3. Update Msg. Rsp Format field &gt; then Save button enabled.</t>
  </si>
  <si>
    <t>Icon should not be disabled when opening window</t>
  </si>
  <si>
    <r>
      <rPr>
        <b/>
        <sz val="11"/>
        <color theme="0" tint="-0.34998626667073579"/>
        <rFont val="Calibri"/>
        <family val="2"/>
      </rPr>
      <t>10/29:</t>
    </r>
    <r>
      <rPr>
        <sz val="11"/>
        <color theme="0" tint="-0.34998626667073579"/>
        <rFont val="Calibri"/>
        <family val="2"/>
      </rPr>
      <t xml:space="preserve"> Enable for edit and add
</t>
    </r>
    <r>
      <rPr>
        <b/>
        <sz val="11"/>
        <color theme="0" tint="-0.34998626667073579"/>
        <rFont val="Calibri"/>
        <family val="2"/>
      </rPr>
      <t xml:space="preserve">12/05: </t>
    </r>
    <r>
      <rPr>
        <sz val="11"/>
        <color theme="0" tint="-0.34998626667073579"/>
        <rFont val="Calibri"/>
        <family val="2"/>
      </rPr>
      <t>resolved</t>
    </r>
  </si>
  <si>
    <t>when saving an edit or saving an add it will trigger changes
when deleting a row it will trigger changes</t>
  </si>
  <si>
    <t>Delay in adding row</t>
  </si>
  <si>
    <t>Takes a couple seconds for empty row to load</t>
  </si>
  <si>
    <t>Current Vision window is immediate</t>
  </si>
  <si>
    <r>
      <rPr>
        <b/>
        <sz val="11"/>
        <color theme="0" tint="-0.34998626667073579"/>
        <rFont val="Calibri"/>
        <family val="2"/>
      </rPr>
      <t>10/29:</t>
    </r>
    <r>
      <rPr>
        <sz val="11"/>
        <color theme="0" tint="-0.34998626667073579"/>
        <rFont val="Calibri"/>
        <family val="2"/>
      </rPr>
      <t xml:space="preserve"> SyncFusion build to include fix (mid-November)
</t>
    </r>
    <r>
      <rPr>
        <b/>
        <sz val="11"/>
        <color theme="0" tint="-0.34998626667073579"/>
        <rFont val="Calibri"/>
        <family val="2"/>
      </rPr>
      <t>11/24:</t>
    </r>
    <r>
      <rPr>
        <sz val="11"/>
        <color theme="0" tint="-0.34998626667073579"/>
        <rFont val="Calibri"/>
        <family val="2"/>
      </rPr>
      <t xml:space="preserve"> BSA retest
</t>
    </r>
    <r>
      <rPr>
        <b/>
        <sz val="11"/>
        <color theme="0" tint="-0.34998626667073579"/>
        <rFont val="Calibri"/>
        <family val="2"/>
      </rPr>
      <t>12/04:</t>
    </r>
    <r>
      <rPr>
        <sz val="11"/>
        <color theme="0" tint="-0.34998626667073579"/>
        <rFont val="Calibri"/>
        <family val="2"/>
      </rPr>
      <t xml:space="preserve"> retest and pass; no latency in adding row and appears at top</t>
    </r>
  </si>
  <si>
    <t>11/25 SM - adding rows will appear at the top</t>
  </si>
  <si>
    <t>Removed if sorting is applied</t>
  </si>
  <si>
    <t>1. Add new row
2. Apply filter on any column - row removed</t>
  </si>
  <si>
    <t>Current window filters row to the top and all other rows sort asc/desc order</t>
  </si>
  <si>
    <r>
      <rPr>
        <b/>
        <sz val="11"/>
        <color theme="0" tint="-0.34998626667073579"/>
        <rFont val="Calibri"/>
        <family val="2"/>
      </rPr>
      <t xml:space="preserve">10/29: </t>
    </r>
    <r>
      <rPr>
        <sz val="11"/>
        <color theme="0" tint="-0.34998626667073579"/>
        <rFont val="Calibri"/>
        <family val="2"/>
      </rPr>
      <t>JL to send options of formatting; as of now, look into bolding modified rows</t>
    </r>
  </si>
  <si>
    <t>11/10 SM - modified rows will have a bolded background styling</t>
  </si>
  <si>
    <t>Pending Changes can only be Canceled</t>
  </si>
  <si>
    <t>Delete option does not work for newly added row - user needs to select Cancel to disregard changes</t>
  </si>
  <si>
    <t>Current window uses Delete to funcation as cancel/delete</t>
  </si>
  <si>
    <r>
      <rPr>
        <b/>
        <sz val="11"/>
        <color theme="0" tint="-0.34998626667073579"/>
        <rFont val="Calibri"/>
        <family val="2"/>
      </rPr>
      <t xml:space="preserve">10/29: </t>
    </r>
    <r>
      <rPr>
        <sz val="11"/>
        <color theme="0" tint="-0.34998626667073579"/>
        <rFont val="Calibri"/>
        <family val="2"/>
      </rPr>
      <t>Virtualization, leave as-is; JL to set meeting with CC and MU to review edit modes</t>
    </r>
  </si>
  <si>
    <t>11/10 SM - only cancel will be available when in edit mode.</t>
  </si>
  <si>
    <t>Update Row</t>
  </si>
  <si>
    <t>Pending changes highlight color</t>
  </si>
  <si>
    <t>Green border around cells</t>
  </si>
  <si>
    <t>Bail Schedule used orange border; need to be consistent across all windows for pending changes</t>
  </si>
  <si>
    <r>
      <rPr>
        <b/>
        <sz val="11"/>
        <color theme="0" tint="-0.34998626667073579"/>
        <rFont val="Calibri"/>
        <family val="2"/>
      </rPr>
      <t>10/29:</t>
    </r>
    <r>
      <rPr>
        <sz val="11"/>
        <color theme="0" tint="-0.34998626667073579"/>
        <rFont val="Calibri"/>
        <family val="2"/>
      </rPr>
      <t xml:space="preserve"> address during edit mode meeting</t>
    </r>
  </si>
  <si>
    <t>I have this sample with image on right, tell me what you think</t>
  </si>
  <si>
    <t>Pending changes look like saved changes</t>
  </si>
  <si>
    <t>1. User right click &gt; Edit Row
2. Updates value(s)
3. Clicks out of row to different row
4. User right click &gt; Edit Row - no visible indicator that (#1) was modified</t>
  </si>
  <si>
    <t>1) Find a way to identify rows that have been modified or
2) Prevent user from modifying other rows when changes are pending</t>
  </si>
  <si>
    <t>image on right to prevent modifying other rows by disabling menu 11/10 SM - modified rows will have a bolded background styling</t>
  </si>
  <si>
    <t>Add/Update/Delete Row then Close window prompts Pending changes Message</t>
  </si>
  <si>
    <t>1. User adds, edits, and/or deletes row.
2. Changes saved
3. PowerBuilder SAVE message appears (You have pending changes Do you still want to close? Yes/No/Cancel)</t>
  </si>
  <si>
    <t>Message should not appear</t>
  </si>
  <si>
    <r>
      <rPr>
        <b/>
        <sz val="11"/>
        <color theme="0" tint="-0.34998626667073579"/>
        <rFont val="Calibri"/>
        <family val="2"/>
      </rPr>
      <t xml:space="preserve">10/29: </t>
    </r>
    <r>
      <rPr>
        <sz val="11"/>
        <color theme="0" tint="-0.34998626667073579"/>
        <rFont val="Calibri"/>
        <family val="2"/>
      </rPr>
      <t xml:space="preserve">devs to fix
</t>
    </r>
    <r>
      <rPr>
        <b/>
        <sz val="11"/>
        <color theme="0" tint="-0.34998626667073579"/>
        <rFont val="Calibri"/>
        <family val="2"/>
      </rPr>
      <t>11/18:</t>
    </r>
    <r>
      <rPr>
        <sz val="11"/>
        <color theme="0" tint="-0.34998626667073579"/>
        <rFont val="Calibri"/>
        <family val="2"/>
      </rPr>
      <t xml:space="preserve"> The message appears if save is loading, but this is not an issue.</t>
    </r>
  </si>
  <si>
    <t>11/10 SM - could not replicate. I think this as been addressed.</t>
  </si>
  <si>
    <t>Vision level "x" closes Blazor window</t>
  </si>
  <si>
    <t>Close button closes Blazor window rather than application</t>
  </si>
  <si>
    <r>
      <rPr>
        <b/>
        <sz val="11"/>
        <color theme="0" tint="-0.34998626667073579"/>
        <rFont val="Calibri"/>
        <family val="2"/>
      </rPr>
      <t>10/29:</t>
    </r>
    <r>
      <rPr>
        <sz val="11"/>
        <color theme="0" tint="-0.34998626667073579"/>
        <rFont val="Calibri"/>
        <family val="2"/>
      </rPr>
      <t xml:space="preserve"> devs to fix</t>
    </r>
  </si>
  <si>
    <t>10/30 SM - has been addressed</t>
  </si>
  <si>
    <t>Flashing</t>
  </si>
  <si>
    <t>1. Click out 
2. Scroll Up
3. Scroll Down
4. Show Loading sign
5. Displays newly added row</t>
  </si>
  <si>
    <t>In general, selecting out of a newly added row visually shows a lot of changes. Is it possible to reduce the number of changes occuring when you are done editting a row?</t>
  </si>
  <si>
    <r>
      <rPr>
        <b/>
        <sz val="11"/>
        <color theme="0" tint="-0.34998626667073579"/>
        <rFont val="Calibri"/>
        <family val="2"/>
      </rPr>
      <t>11/24:</t>
    </r>
    <r>
      <rPr>
        <sz val="11"/>
        <color theme="0" tint="-0.34998626667073579"/>
        <rFont val="Calibri"/>
        <family val="2"/>
      </rPr>
      <t xml:space="preserve"> lazy loading. unable to fix
</t>
    </r>
    <r>
      <rPr>
        <b/>
        <sz val="11"/>
        <color theme="0" tint="-0.34998626667073579"/>
        <rFont val="Calibri"/>
        <family val="2"/>
      </rPr>
      <t xml:space="preserve">12/04: </t>
    </r>
    <r>
      <rPr>
        <sz val="11"/>
        <color theme="0" tint="-0.34998626667073579"/>
        <rFont val="Calibri"/>
        <family val="2"/>
      </rPr>
      <t>no longer can recreate as paging was implemented</t>
    </r>
  </si>
  <si>
    <t>11/21 SM - Please rephrase
11/25 SM - unable to fix</t>
  </si>
  <si>
    <t>Click out of row</t>
  </si>
  <si>
    <t>1. Right click then select edit, or double click an existing row
2. Modify a cell value
3. Click outside of cell - expected result is pending changes update. this does not occur
4. right click and select update row - expected result is pending changes update. receive "Warning! You are currently modifying a record" message. Only way to exit is to cancel the changes.</t>
  </si>
  <si>
    <t>This issue also sometimes, but not always occurs if you attempt to modify the row without select outside of the cell. It is difficult to replicate a scenario where updates save.</t>
  </si>
  <si>
    <r>
      <rPr>
        <b/>
        <sz val="11"/>
        <color theme="0" tint="-0.34998626667073579"/>
        <rFont val="Calibri"/>
        <family val="2"/>
      </rPr>
      <t xml:space="preserve">11/24: </t>
    </r>
    <r>
      <rPr>
        <sz val="11"/>
        <color theme="0" tint="-0.34998626667073579"/>
        <rFont val="Calibri"/>
        <family val="2"/>
      </rPr>
      <t xml:space="preserve">BSA retest
</t>
    </r>
    <r>
      <rPr>
        <b/>
        <sz val="11"/>
        <color theme="0" tint="-0.34998626667073579"/>
        <rFont val="Calibri"/>
        <family val="2"/>
      </rPr>
      <t>12/04:</t>
    </r>
    <r>
      <rPr>
        <sz val="11"/>
        <color theme="0" tint="-0.34998626667073579"/>
        <rFont val="Calibri"/>
        <family val="2"/>
      </rPr>
      <t xml:space="preserve"> MU - could not replicate</t>
    </r>
  </si>
  <si>
    <t>11/20 SM - defect fixed in dev. Never made it to QA build</t>
  </si>
  <si>
    <t>Error Type</t>
  </si>
  <si>
    <t>Column is sortable</t>
  </si>
  <si>
    <t>Sort descending displays - User Error, Information, Warning, Application Error, Validation Error, DataStore Error, DataWindow Error, Database Error, Unknown Error Type</t>
  </si>
  <si>
    <t>Existing window does not sort on this column</t>
  </si>
  <si>
    <r>
      <rPr>
        <b/>
        <sz val="11"/>
        <color theme="0" tint="-0.34998626667073579"/>
        <rFont val="Calibri"/>
        <family val="2"/>
      </rPr>
      <t xml:space="preserve">11/24: </t>
    </r>
    <r>
      <rPr>
        <sz val="11"/>
        <color theme="0" tint="-0.34998626667073579"/>
        <rFont val="Calibri"/>
        <family val="2"/>
      </rPr>
      <t xml:space="preserve">BSA retest
</t>
    </r>
    <r>
      <rPr>
        <b/>
        <sz val="11"/>
        <color theme="0" tint="-0.34998626667073579"/>
        <rFont val="Calibri"/>
        <family val="2"/>
      </rPr>
      <t xml:space="preserve">12/04: </t>
    </r>
    <r>
      <rPr>
        <sz val="11"/>
        <color theme="0" tint="-0.34998626667073579"/>
        <rFont val="Calibri"/>
        <family val="2"/>
      </rPr>
      <t>retest and pass</t>
    </r>
  </si>
  <si>
    <t xml:space="preserve">11/21 SM - has been addressed. Error type now sorts A-Z and Z-A. </t>
  </si>
  <si>
    <t>General</t>
  </si>
  <si>
    <t>Updates from multiple VisionNG Tabs</t>
  </si>
  <si>
    <t>1. User adds new row in TAB 1 with unique Error Nbr.
2. User adds new row in TAB 2 with same Error Nbr as step 1.
3. User returs to TAB 1 and saves - row successfully saves.
4. User returns to TAB 2 and attempts to save - error message correctly appears, no fluent validations
Note: also occurs when test scenario against Vision app/web</t>
  </si>
  <si>
    <t>Since window wasn't refreshed, fluent validations appear to be done at the window level rather than against the database. Adding as item for discussion to see if this needs to be resolved.</t>
  </si>
  <si>
    <r>
      <rPr>
        <b/>
        <sz val="11"/>
        <color theme="0" tint="-0.34998626667073579"/>
        <rFont val="Calibri"/>
        <family val="2"/>
      </rPr>
      <t>12/15:</t>
    </r>
    <r>
      <rPr>
        <sz val="11"/>
        <color theme="0" tint="-0.34998626667073579"/>
        <rFont val="Calibri"/>
        <family val="2"/>
      </rPr>
      <t xml:space="preserve"> devs to fix</t>
    </r>
  </si>
  <si>
    <t>12/18 SM - fixed concurrency issue</t>
  </si>
  <si>
    <t>Fluent validation cell colors</t>
  </si>
  <si>
    <t>1. Add new row (cells do not have colored borders)
2. Enter valid Error Nbr then tab/click out of field
Result: Error Nbr turns green; other required fields except for Msg Rsp Fmt turn red
Alternate scenario for same issue: add new row then click out of row, only Error Nbr turns red and other cells do not have color (only fluent validation messages appear).</t>
  </si>
  <si>
    <t>Should cells remain uncolored until user tries to click out of row? As a user it's indicating there are errors befor I even have the chance to add values. 
Seems like color should appear when fluent validation messages appear.</t>
  </si>
  <si>
    <r>
      <rPr>
        <b/>
        <sz val="11"/>
        <color theme="1"/>
        <rFont val="Calibri"/>
        <family val="2"/>
      </rPr>
      <t xml:space="preserve">12/15: </t>
    </r>
    <r>
      <rPr>
        <sz val="11"/>
        <color theme="1"/>
        <rFont val="Calibri"/>
        <family val="2"/>
      </rPr>
      <t>Leave as-is</t>
    </r>
  </si>
  <si>
    <t>Field Height</t>
  </si>
  <si>
    <t>Update Field Height to match other columns</t>
  </si>
  <si>
    <t>Not sure if this existed in previous QA versions; based on previous screenshots seems more noticable now.</t>
  </si>
  <si>
    <t>12/18 SM - updated the field height. Rows have a minimum 30px height</t>
  </si>
  <si>
    <t>Column Alignment in "edit" mode (non-4k monitor)</t>
  </si>
  <si>
    <t>When in edit mode, columns should align with exisitng data; NG window shifts cells slightly to the left misaligning them from column header (e.g., Error Message and Error Type)</t>
  </si>
  <si>
    <t>Should be in aligmnent with header; noticed issue seems to not exist when using larger monitor although it does creat alignment issues when moving between small/large monitors</t>
  </si>
  <si>
    <r>
      <rPr>
        <b/>
        <sz val="11"/>
        <color theme="0" tint="-0.34998626667073579"/>
        <rFont val="Calibri"/>
        <family val="2"/>
      </rPr>
      <t>12/15:</t>
    </r>
    <r>
      <rPr>
        <sz val="11"/>
        <color theme="0" tint="-0.34998626667073579"/>
        <rFont val="Calibri"/>
        <family val="2"/>
      </rPr>
      <t xml:space="preserve"> no action as requires different effort</t>
    </r>
  </si>
  <si>
    <t>Web Only</t>
  </si>
  <si>
    <t>Update Row icon is same as save icon, however, changes are not saved until user uses SAVE</t>
  </si>
  <si>
    <t>Recommend to remove option as user can use ENTER on keyboard or click out of row</t>
  </si>
  <si>
    <r>
      <rPr>
        <b/>
        <sz val="11"/>
        <color theme="0" tint="-0.34998626667073579"/>
        <rFont val="Calibri"/>
        <family val="2"/>
      </rPr>
      <t>12/15:</t>
    </r>
    <r>
      <rPr>
        <sz val="11"/>
        <color theme="0" tint="-0.34998626667073579"/>
        <rFont val="Calibri"/>
        <family val="2"/>
      </rPr>
      <t xml:space="preserve"> devs to fix - remove Update Row option</t>
    </r>
  </si>
  <si>
    <t>12/16 SM - removed the update option</t>
  </si>
  <si>
    <t>Refresh doesn't detect pending changes when Add/Update/Delete</t>
  </si>
  <si>
    <t>Current Vision app window will prompt message before user refreshes advising there are pending changes; current window does not advise user
In Vision App, if window is closed PB message still catches the pending changes</t>
  </si>
  <si>
    <t>User should be advised of pending changes before refresh</t>
  </si>
  <si>
    <r>
      <rPr>
        <b/>
        <sz val="11"/>
        <color theme="0" tint="-0.34998626667073579"/>
        <rFont val="Calibri"/>
        <family val="2"/>
      </rPr>
      <t>12/15:</t>
    </r>
    <r>
      <rPr>
        <sz val="11"/>
        <color theme="0" tint="-0.34998626667073579"/>
        <rFont val="Calibri"/>
        <family val="2"/>
      </rPr>
      <t xml:space="preserve"> devs to fix - standardize on all windows
</t>
    </r>
    <r>
      <rPr>
        <b/>
        <sz val="11"/>
        <color theme="0" tint="-0.34998626667073579"/>
        <rFont val="Calibri"/>
        <family val="2"/>
      </rPr>
      <t>12/22</t>
    </r>
    <r>
      <rPr>
        <sz val="11"/>
        <color theme="0" tint="-0.34998626667073579"/>
        <rFont val="Calibri"/>
        <family val="2"/>
      </rPr>
      <t>: See ID #42</t>
    </r>
  </si>
  <si>
    <t>12/17 SM - added popup to confirm user changes on event code, error code, and court control.</t>
  </si>
  <si>
    <t>Move Paging arrows/numbers down closer to section border</t>
  </si>
  <si>
    <t>If able to, reduce space between page numbers/arrows and blue section border so it is closer to the bottom of the section</t>
  </si>
  <si>
    <r>
      <rPr>
        <b/>
        <sz val="11"/>
        <color theme="0" tint="-0.34998626667073579"/>
        <rFont val="Calibri"/>
        <family val="2"/>
      </rPr>
      <t>12/15:</t>
    </r>
    <r>
      <rPr>
        <sz val="11"/>
        <color theme="0" tint="-0.34998626667073579"/>
        <rFont val="Calibri"/>
        <family val="2"/>
      </rPr>
      <t xml:space="preserve"> address later as spacing is different effort</t>
    </r>
  </si>
  <si>
    <t>Tab name</t>
  </si>
  <si>
    <t>1. After logging in, tab name is VisionNG
2. Select Code Entry, execute Description "warrant" search, tab name udpated to Code Entry Table: EXCLDS
3. Select Error Codes, tab name remains as "Code Entry Table: EXCLDS"</t>
  </si>
  <si>
    <t>Should the tab name be static "VisionNG" or update to the window opened?</t>
  </si>
  <si>
    <r>
      <rPr>
        <b/>
        <sz val="11"/>
        <color theme="0" tint="-0.34998626667073579"/>
        <rFont val="Calibri"/>
        <family val="2"/>
      </rPr>
      <t>12/15:</t>
    </r>
    <r>
      <rPr>
        <sz val="11"/>
        <color theme="0" tint="-0.34998626667073579"/>
        <rFont val="Calibri"/>
        <family val="2"/>
      </rPr>
      <t xml:space="preserve"> devs to fix - web tab to be VisionNG regardless of window selected</t>
    </r>
  </si>
  <si>
    <t>12/17 SM - error code is not causing the page title change. This issue comes from code entry component.</t>
  </si>
  <si>
    <t>Open Multiple NG Windows</t>
  </si>
  <si>
    <t>In the web version, user can only open one window at a time compared to Vision application where user can have multiple windows open simultaneously.</t>
  </si>
  <si>
    <t>Is this something that will be addressed later? Or are users expected to have multiple sessions/browser tabs open for Vision NG?</t>
  </si>
  <si>
    <t>New</t>
  </si>
  <si>
    <t>1. User adds, edits, and/or deletes row.
2. Changes saved
3. Vision NG window (Pending Changes; The Data which is modified is not saved Do you wish to save the Data? Yes/No/Cancel)</t>
  </si>
  <si>
    <t>Should not trigger if no pending changes exist.
Regression bug as it was previously reported in ID #30</t>
  </si>
  <si>
    <t>F3 Refresh</t>
  </si>
  <si>
    <t>Short key does not work unless user clicks again within window.</t>
  </si>
  <si>
    <t>Column filters remain after F3 refresh</t>
  </si>
  <si>
    <t>1. apply column filter
2. F3 refresh -column filter remains</t>
  </si>
  <si>
    <t>Scenario</t>
  </si>
  <si>
    <t>QA #</t>
  </si>
  <si>
    <t>HH:MM</t>
  </si>
  <si>
    <t>Row Labels</t>
  </si>
  <si>
    <t>Grand Total</t>
  </si>
  <si>
    <t>Count of Bug Type</t>
  </si>
  <si>
    <t>Count of Status</t>
  </si>
  <si>
    <t>Reported</t>
  </si>
  <si>
    <t>Fail</t>
  </si>
  <si>
    <t>Retest In Progress</t>
  </si>
  <si>
    <t>Return to Dev</t>
  </si>
  <si>
    <t>12/30 SM - added key down method at window level. This may address the issue.</t>
  </si>
  <si>
    <t>12/30 SM - cleared the filter when user refreshes for event and error codes</t>
  </si>
  <si>
    <t>12/30 SM - this issue has been addressed.</t>
  </si>
  <si>
    <t>Pending Changes: The Data which is modified is not saved
Yes/No/Cancel buttons Missing question about saving data</t>
  </si>
  <si>
    <r>
      <rPr>
        <b/>
        <sz val="11"/>
        <color theme="0" tint="-0.34998626667073579"/>
        <rFont val="Calibri"/>
        <family val="2"/>
      </rPr>
      <t xml:space="preserve">12/15: </t>
    </r>
    <r>
      <rPr>
        <sz val="11"/>
        <color theme="0" tint="-0.34998626667073579"/>
        <rFont val="Calibri"/>
        <family val="2"/>
      </rPr>
      <t>let devs know but leave leave as-is; to address when testing web browser</t>
    </r>
  </si>
  <si>
    <r>
      <rPr>
        <b/>
        <sz val="11"/>
        <color theme="0" tint="-0.34998626667073579"/>
        <rFont val="Aptos Narrow"/>
        <family val="2"/>
        <scheme val="minor"/>
      </rPr>
      <t>01/14/26:</t>
    </r>
    <r>
      <rPr>
        <sz val="11"/>
        <color theme="0" tint="-0.34998626667073579"/>
        <rFont val="Aptos Narrow"/>
        <family val="2"/>
        <scheme val="minor"/>
      </rPr>
      <t xml:space="preserve"> see 47</t>
    </r>
  </si>
  <si>
    <t xml:space="preserve">Both </t>
  </si>
  <si>
    <t>1. User adds new row on page 2
2. Leaving exit mode sends new row to Page 1</t>
  </si>
  <si>
    <t>Is there a way to have new row remain on top of page where it's added rather than page 1?</t>
  </si>
  <si>
    <t>12/24: Leave as is
01/14: retest and pass for Edit and Add; see 48</t>
  </si>
  <si>
    <t>Workaround is user clicks on window to refocus</t>
  </si>
  <si>
    <t>Short key does not work if user deletes last row and attempts to refresh as I believe key down method (ID #45) doesn't work for this scenario</t>
  </si>
  <si>
    <t xml:space="preserve">F3 Refresh
Ctrl + S </t>
  </si>
  <si>
    <t>Newly added row</t>
  </si>
  <si>
    <t>Success save message</t>
  </si>
  <si>
    <t>Refresh</t>
  </si>
  <si>
    <r>
      <rPr>
        <b/>
        <sz val="11"/>
        <color theme="1"/>
        <rFont val="Calibri"/>
        <family val="2"/>
      </rPr>
      <t xml:space="preserve">01/15: </t>
    </r>
    <r>
      <rPr>
        <sz val="11"/>
        <color theme="1"/>
        <rFont val="Calibri"/>
        <family val="2"/>
      </rPr>
      <t>Refresh/Pending Changes message to be updated to be generic enough to cover both scenarios.</t>
    </r>
  </si>
  <si>
    <t>01/21 SM - save message has been converted to a toast</t>
  </si>
  <si>
    <t>01/21 SM - pending changes message has been modified.</t>
  </si>
  <si>
    <t>01/21 SM - reset focus back to the grid when user deletes last entry. Works with F3 and CTRL+S</t>
  </si>
  <si>
    <t>01/21 SM - user is now directed to page 1 when adding a new entry</t>
  </si>
  <si>
    <t>PB Only</t>
  </si>
  <si>
    <t>Scroll Bar</t>
  </si>
  <si>
    <t xml:space="preserve">Scroll bar appears even though window is using paging </t>
  </si>
  <si>
    <t>Scroll bar never appeared prior to last change</t>
  </si>
  <si>
    <t>Saved successfully.</t>
  </si>
  <si>
    <r>
      <t xml:space="preserve">Saved </t>
    </r>
    <r>
      <rPr>
        <sz val="11"/>
        <color rgb="FFFF0000"/>
        <rFont val="Calibri"/>
        <family val="2"/>
      </rPr>
      <t>S</t>
    </r>
    <r>
      <rPr>
        <sz val="11"/>
        <color theme="1"/>
        <rFont val="Calibri"/>
        <family val="2"/>
      </rPr>
      <t>uccessfully.</t>
    </r>
  </si>
  <si>
    <t>Update to: Pending Changes
You have unsaved changes. Do you want to save before you continue?</t>
  </si>
  <si>
    <t>01/23: all added rows will appear on page 1; after save will resort</t>
  </si>
  <si>
    <t>1. User adds new row on page 2
2. User redirected to pending changes on page 1.
3. Window loses focus - keyboard shortucts fail F3/Ctrl +S</t>
  </si>
  <si>
    <t>Edit Mode on Multiple</t>
  </si>
  <si>
    <t>1. Error Codes Opened</t>
  </si>
  <si>
    <t>Error Number</t>
  </si>
  <si>
    <t>Error Message</t>
  </si>
  <si>
    <t>Information</t>
  </si>
  <si>
    <t>AAA</t>
  </si>
  <si>
    <t>ATEST</t>
  </si>
  <si>
    <t>Application Error</t>
  </si>
  <si>
    <t>Warning</t>
  </si>
  <si>
    <t>AAB</t>
  </si>
  <si>
    <t>BTEST</t>
  </si>
  <si>
    <t>2. User opens 40005 in Edit Mode and updates.</t>
  </si>
  <si>
    <t>Question</t>
  </si>
  <si>
    <t>AAA1</t>
  </si>
  <si>
    <t>ATEST - Update 1</t>
  </si>
  <si>
    <t>Database Error</t>
  </si>
  <si>
    <t>3. While 40005 is still in Edit Mode, filter on Error Code column is applied sorting Error Codes asc. Updates made in Step 2 remain.</t>
  </si>
  <si>
    <t>4. User opens 40006 in Edit Mode. Data in 40005 overridden with data from 40006</t>
  </si>
  <si>
    <t>5. User attempts to edit Msg Rsp Fmt for 40006 however, Msg Rsp Fmt for 40005 is selected. User updates selection and 40006 updates to selected item</t>
  </si>
  <si>
    <t>STOP Sign</t>
  </si>
  <si>
    <t>AAB2</t>
  </si>
  <si>
    <t>BTEST - Update 2</t>
  </si>
  <si>
    <t>Validation Error</t>
  </si>
  <si>
    <t>5. User returns to 40005, updates data</t>
  </si>
  <si>
    <t>Stop</t>
  </si>
  <si>
    <t>AAA3</t>
  </si>
  <si>
    <t>BTEST - Update 3</t>
  </si>
  <si>
    <t>DataWindow Error</t>
  </si>
  <si>
    <t>6. User exits edit mode. All updated fields except for Error Code is updated in 40006 with data entered for 40005. 40005 abandoned chagnes</t>
  </si>
  <si>
    <t>1. Open window with no filters applied
2. Open existing row in edit mode and make changes
2. Apply sorting filter on a column
3. Open 2nd row in edit mode</t>
  </si>
  <si>
    <t>The following occur:
1. Editable fields appear to be overriden with data from subsequent row opened in edit mode
2. User is able to edit both rows
3. However, upon exiting edit mode, updates appear to only apply to one row.
Is there a way to disable multiple edits as the updated data is not correct?</t>
  </si>
  <si>
    <r>
      <rPr>
        <b/>
        <sz val="11"/>
        <color theme="0" tint="-0.34998626667073579"/>
        <rFont val="Calibri"/>
        <family val="2"/>
      </rPr>
      <t xml:space="preserve">01/15: </t>
    </r>
    <r>
      <rPr>
        <sz val="11"/>
        <color theme="0" tint="-0.34998626667073579"/>
        <rFont val="Calibri"/>
        <family val="2"/>
      </rPr>
      <t xml:space="preserve">devs to update save message; message format to be updated to toast
</t>
    </r>
    <r>
      <rPr>
        <b/>
        <sz val="11"/>
        <color theme="0" tint="-0.34998626667073579"/>
        <rFont val="Calibri"/>
        <family val="2"/>
      </rPr>
      <t xml:space="preserve">01/23: </t>
    </r>
    <r>
      <rPr>
        <sz val="11"/>
        <color theme="0" tint="-0.34998626667073579"/>
        <rFont val="Calibri"/>
        <family val="2"/>
      </rPr>
      <t xml:space="preserve">lowercase s in successfully
</t>
    </r>
    <r>
      <rPr>
        <b/>
        <sz val="11"/>
        <color theme="0" tint="-0.34998626667073579"/>
        <rFont val="Calibri"/>
        <family val="2"/>
      </rPr>
      <t>01/23:</t>
    </r>
    <r>
      <rPr>
        <sz val="11"/>
        <color theme="0" tint="-0.34998626667073579"/>
        <rFont val="Calibri"/>
        <family val="2"/>
      </rPr>
      <t xml:space="preserve"> updated in afternoon, passed</t>
    </r>
  </si>
  <si>
    <r>
      <rPr>
        <b/>
        <sz val="11"/>
        <color theme="0" tint="-0.34998626667073579"/>
        <rFont val="Calibri"/>
        <family val="2"/>
      </rPr>
      <t xml:space="preserve">01/23: </t>
    </r>
    <r>
      <rPr>
        <sz val="11"/>
        <color theme="0" tint="-0.34998626667073579"/>
        <rFont val="Calibri"/>
        <family val="2"/>
      </rPr>
      <t>updated in afternoon, passed</t>
    </r>
  </si>
  <si>
    <t>Black Border around data sections</t>
  </si>
  <si>
    <t>User clicks out of window then back in NG screen &gt; Black border appears around window</t>
  </si>
  <si>
    <t>1/26 SM - issue has been addressed. User's changes are committed to the grid when they try to filter mitigating multiple edit rows.</t>
  </si>
  <si>
    <t>1/26 SM - issue has been addressed. Black outline removed.</t>
  </si>
  <si>
    <t>Window grid disappears if user clicks out of Vision application</t>
  </si>
  <si>
    <t>User clicks out of window - data grid goes missing
User then clicks back in NG screen &gt; data grid reappears</t>
  </si>
  <si>
    <t>Latency for saving data</t>
  </si>
  <si>
    <t xml:space="preserve">Transparent loading wheel doesn't display </t>
  </si>
  <si>
    <t>01/26: fixed in QA2029y</t>
  </si>
  <si>
    <t>Filter Icon Color</t>
  </si>
  <si>
    <t>Filter icon should be red when applied; color to be removed when filter removed</t>
  </si>
  <si>
    <r>
      <rPr>
        <b/>
        <sz val="11"/>
        <color theme="1"/>
        <rFont val="Calibri"/>
        <family val="2"/>
      </rPr>
      <t xml:space="preserve">01/30: </t>
    </r>
    <r>
      <rPr>
        <sz val="11"/>
        <color theme="1"/>
        <rFont val="Calibri"/>
        <family val="2"/>
      </rPr>
      <t>waiting for update for 65% opacity to retest</t>
    </r>
  </si>
  <si>
    <t>Should not be enabled</t>
  </si>
  <si>
    <t>Disable Mouse Scrolling on fields</t>
  </si>
  <si>
    <r>
      <rPr>
        <b/>
        <sz val="11"/>
        <color theme="1"/>
        <rFont val="Calibri"/>
        <family val="2"/>
      </rPr>
      <t xml:space="preserve">01/30: </t>
    </r>
    <r>
      <rPr>
        <sz val="11"/>
        <color theme="1"/>
        <rFont val="Calibri"/>
        <family val="2"/>
      </rPr>
      <t>identified during Court Control QA; missed in previous QA as issue does not occur when number field is first cell.</t>
    </r>
  </si>
  <si>
    <t>Scrolling up increases value, scrolling down decreases value for number fields;
To recreate, user needs to leave field blank, select different field, return back to Error Nbr field and then use scroll on mouse.</t>
  </si>
  <si>
    <t>2/3/2026 QA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</si>
</sst>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44" x14ac:knownFonts="1">
    <font>
      <sz val="11"/>
      <color theme="1"/>
      <name val="Aptos Narrow"/>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rgb="FFFF0000"/>
      <name val="Calibri"/>
      <family val="2"/>
    </font>
    <font>
      <b/>
      <sz val="11"/>
      <color theme="1"/>
      <name val="Calibri"/>
      <family val="2"/>
    </font>
    <font>
      <sz val="11"/>
      <name val="Calibri"/>
      <family val="2"/>
    </font>
    <font>
      <b/>
      <sz val="11"/>
      <name val="Calibri"/>
      <family val="2"/>
    </font>
    <font>
      <i/>
      <sz val="11"/>
      <name val="Calibri"/>
      <family val="2"/>
    </font>
    <font>
      <sz val="11"/>
      <color theme="0" tint="-0.34998626667073579"/>
      <name val="Calibri"/>
      <family val="2"/>
    </font>
    <font>
      <b/>
      <sz val="11"/>
      <color theme="0" tint="-0.34998626667073579"/>
      <name val="Calibri"/>
      <family val="2"/>
    </font>
    <font>
      <i/>
      <sz val="11"/>
      <color theme="0" tint="-0.34998626667073579"/>
      <name val="Calibri"/>
      <family val="2"/>
    </font>
    <font>
      <sz val="12"/>
      <color theme="1"/>
      <name val="Calibri"/>
      <family val="2"/>
    </font>
    <font>
      <b/>
      <sz val="11"/>
      <name val="Calibri"/>
      <family val="2"/>
    </font>
    <font>
      <b/>
      <sz val="11"/>
      <color rgb="FFA6A6A6"/>
      <name val="Calibri"/>
      <family val="2"/>
    </font>
    <font>
      <sz val="11"/>
      <color rgb="FFA6A6A6"/>
      <name val="Calibri"/>
      <family val="2"/>
    </font>
    <font>
      <b/>
      <sz val="11"/>
      <color rgb="FF000000"/>
      <name val="Calibri"/>
      <family val="2"/>
    </font>
    <font>
      <sz val="11"/>
      <color rgb="FF000000"/>
      <name val="Calibri"/>
      <family val="2"/>
    </font>
    <font>
      <sz val="11"/>
      <color rgb="FF000000"/>
      <name val="Calibri"/>
      <family val="2"/>
    </font>
    <font>
      <b/>
      <sz val="12"/>
      <color theme="0"/>
      <name val="Calibri"/>
      <family val="2"/>
    </font>
    <font>
      <b/>
      <sz val="12"/>
      <color theme="1"/>
      <name val="Calibri"/>
      <family val="2"/>
    </font>
    <font>
      <sz val="11"/>
      <color theme="0" tint="-0.34998626667073579"/>
      <name val="Aptos Narrow"/>
      <family val="2"/>
      <scheme val="minor"/>
    </font>
    <font>
      <b/>
      <sz val="11"/>
      <color theme="0" tint="-0.34998626667073579"/>
      <name val="Aptos Narrow"/>
      <family val="2"/>
      <scheme val="minor"/>
    </font>
    <font>
      <sz val="11"/>
      <color rgb="FF9C0006"/>
      <name val="Calibri"/>
      <family val="2"/>
    </font>
    <font>
      <sz val="11"/>
      <color rgb="FF9C5700"/>
      <name val="Calibri"/>
      <family val="2"/>
    </font>
    <font>
      <u/>
      <sz val="11"/>
      <color theme="10"/>
      <name val="Aptos Narrow"/>
      <family val="2"/>
      <scheme val="minor"/>
    </font>
    <font>
      <b/>
      <sz val="11"/>
      <color theme="1"/>
      <name val="Arial"/>
      <family val="2"/>
    </font>
    <font>
      <sz val="11"/>
      <color theme="1"/>
      <name val="Arial"/>
      <family val="2"/>
    </font>
    <font>
      <sz val="11"/>
      <color rgb="FF9C5700"/>
      <name val="Arial"/>
      <family val="2"/>
    </font>
    <font>
      <sz val="11"/>
      <color rgb="FF9C0006"/>
      <name val="Arial"/>
      <family val="2"/>
    </font>
    <font>
      <u/>
      <sz val="11"/>
      <color theme="10"/>
      <name val="Calibri"/>
      <family val="2"/>
    </font>
    <font>
      <sz val="12"/>
      <color theme="0"/>
      <name val="Calibri"/>
      <family val="2"/>
    </font>
    <font>
      <sz val="12"/>
      <color theme="1"/>
      <name val="Calibri"/>
    </font>
    <font>
      <sz val="12"/>
      <color theme="0"/>
      <name val="Calibri"/>
    </font>
  </fonts>
  <fills count="10">
    <fill>
      <patternFill patternType="none"/>
    </fill>
    <fill>
      <patternFill patternType="gray125"/>
    </fill>
    <fill>
      <patternFill patternType="solid">
        <fgColor theme="4"/>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rgb="FFFFC7CE"/>
      </patternFill>
    </fill>
    <fill>
      <patternFill patternType="solid">
        <fgColor rgb="FFFFEB9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33" fillId="8" borderId="0" applyNumberFormat="0" applyBorder="0" applyAlignment="0" applyProtection="0"/>
    <xf numFmtId="0" fontId="34" fillId="9" borderId="0" applyNumberFormat="0" applyBorder="0" applyAlignment="0" applyProtection="0"/>
    <xf numFmtId="0" fontId="35" fillId="0" borderId="0" applyNumberFormat="0" applyFill="0" applyBorder="0" applyAlignment="0" applyProtection="0"/>
  </cellStyleXfs>
  <cellXfs count="116">
    <xf numFmtId="0" fontId="0" fillId="0" borderId="0" xfId="0"/>
    <xf numFmtId="0" fontId="13" fillId="0" borderId="0" xfId="0" applyFont="1"/>
    <xf numFmtId="0" fontId="13" fillId="0" borderId="0" xfId="0" applyFont="1" applyAlignment="1">
      <alignment horizontal="left" vertical="top" wrapText="1"/>
    </xf>
    <xf numFmtId="0" fontId="13" fillId="0" borderId="0" xfId="0" applyFont="1" applyAlignment="1">
      <alignment vertical="top" wrapText="1"/>
    </xf>
    <xf numFmtId="0" fontId="13" fillId="0" borderId="0" xfId="0" applyFont="1" applyAlignment="1">
      <alignment vertical="top"/>
    </xf>
    <xf numFmtId="164" fontId="13" fillId="0" borderId="0" xfId="0" applyNumberFormat="1" applyFont="1" applyAlignment="1">
      <alignment horizontal="center" vertical="top"/>
    </xf>
    <xf numFmtId="0" fontId="22" fillId="0" borderId="0" xfId="0" applyFont="1"/>
    <xf numFmtId="0" fontId="29" fillId="2" borderId="1" xfId="0" applyFont="1" applyFill="1" applyBorder="1" applyAlignment="1">
      <alignment horizontal="center"/>
    </xf>
    <xf numFmtId="0" fontId="22" fillId="5" borderId="0" xfId="0" applyFont="1" applyFill="1"/>
    <xf numFmtId="0" fontId="30" fillId="5" borderId="1" xfId="0" applyFont="1" applyFill="1" applyBorder="1" applyAlignment="1">
      <alignment horizontal="center"/>
    </xf>
    <xf numFmtId="0" fontId="30" fillId="5" borderId="2" xfId="0" applyFont="1" applyFill="1" applyBorder="1" applyAlignment="1">
      <alignment horizontal="center"/>
    </xf>
    <xf numFmtId="20" fontId="29" fillId="2" borderId="2" xfId="0" applyNumberFormat="1" applyFont="1" applyFill="1" applyBorder="1" applyAlignment="1">
      <alignment horizontal="center"/>
    </xf>
    <xf numFmtId="0" fontId="17" fillId="3" borderId="1" xfId="0" applyFont="1" applyFill="1" applyBorder="1" applyAlignment="1">
      <alignment horizontal="center" vertical="center"/>
    </xf>
    <xf numFmtId="0" fontId="17" fillId="3" borderId="1"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19" fillId="0" borderId="1" xfId="0" applyFont="1" applyBorder="1" applyAlignment="1">
      <alignment vertical="top" wrapText="1"/>
    </xf>
    <xf numFmtId="0" fontId="16" fillId="0" borderId="1" xfId="0" applyFont="1" applyFill="1" applyBorder="1" applyAlignment="1">
      <alignment horizontal="left" vertical="top" wrapText="1"/>
    </xf>
    <xf numFmtId="0" fontId="19" fillId="0" borderId="1" xfId="0" applyFont="1" applyFill="1" applyBorder="1" applyAlignment="1">
      <alignment vertical="top" wrapText="1"/>
    </xf>
    <xf numFmtId="0" fontId="16" fillId="0" borderId="1" xfId="0" applyFont="1" applyBorder="1" applyAlignment="1">
      <alignment horizontal="left" vertical="top" wrapText="1"/>
    </xf>
    <xf numFmtId="0" fontId="19" fillId="0" borderId="1" xfId="0" applyFont="1" applyBorder="1" applyAlignment="1">
      <alignment horizontal="left" vertical="top" wrapText="1"/>
    </xf>
    <xf numFmtId="164" fontId="16" fillId="0" borderId="1" xfId="0" applyNumberFormat="1" applyFont="1" applyBorder="1" applyAlignment="1">
      <alignment horizontal="center" vertical="top" wrapText="1"/>
    </xf>
    <xf numFmtId="0" fontId="27" fillId="4" borderId="1" xfId="0" applyFont="1" applyFill="1" applyBorder="1" applyAlignment="1">
      <alignment vertical="top" wrapText="1"/>
    </xf>
    <xf numFmtId="0" fontId="28" fillId="0" borderId="1" xfId="0" applyFont="1" applyBorder="1" applyAlignment="1">
      <alignment vertical="top" wrapText="1"/>
    </xf>
    <xf numFmtId="0" fontId="0" fillId="0" borderId="1" xfId="0" applyBorder="1"/>
    <xf numFmtId="0" fontId="0" fillId="0" borderId="1" xfId="0" applyBorder="1" applyAlignment="1">
      <alignment vertical="top" wrapText="1"/>
    </xf>
    <xf numFmtId="0" fontId="29" fillId="2" borderId="1" xfId="0" applyFont="1" applyFill="1" applyBorder="1" applyAlignment="1">
      <alignment horizontal="center" vertical="center"/>
    </xf>
    <xf numFmtId="20" fontId="29" fillId="2" borderId="1" xfId="0" applyNumberFormat="1" applyFont="1" applyFill="1" applyBorder="1" applyAlignment="1">
      <alignment horizontal="center" vertical="center"/>
    </xf>
    <xf numFmtId="0" fontId="12" fillId="0" borderId="1" xfId="0" applyFont="1" applyBorder="1" applyAlignment="1">
      <alignment horizontal="center" vertical="top" wrapText="1"/>
    </xf>
    <xf numFmtId="164" fontId="12" fillId="0" borderId="1" xfId="0" applyNumberFormat="1" applyFont="1" applyBorder="1" applyAlignment="1">
      <alignment horizontal="center" vertical="top"/>
    </xf>
    <xf numFmtId="164" fontId="12" fillId="0" borderId="1" xfId="0" applyNumberFormat="1" applyFont="1" applyBorder="1" applyAlignment="1">
      <alignment horizontal="center" vertical="top" wrapText="1"/>
    </xf>
    <xf numFmtId="0" fontId="12" fillId="0" borderId="1" xfId="0" applyFont="1" applyBorder="1" applyAlignment="1">
      <alignment horizontal="left" vertical="top" wrapText="1"/>
    </xf>
    <xf numFmtId="164" fontId="12" fillId="0" borderId="1" xfId="0" applyNumberFormat="1" applyFont="1" applyFill="1" applyBorder="1" applyAlignment="1">
      <alignment horizontal="center" vertical="top" wrapText="1"/>
    </xf>
    <xf numFmtId="0" fontId="12" fillId="0" borderId="1" xfId="0" applyFont="1" applyBorder="1" applyAlignment="1">
      <alignment vertical="top" wrapText="1"/>
    </xf>
    <xf numFmtId="0" fontId="12" fillId="0" borderId="1" xfId="0" applyFont="1" applyFill="1" applyBorder="1" applyAlignment="1">
      <alignment horizontal="center" vertical="top" wrapText="1"/>
    </xf>
    <xf numFmtId="0" fontId="12" fillId="0" borderId="1" xfId="0" applyFont="1" applyFill="1" applyBorder="1" applyAlignment="1">
      <alignment horizontal="left" vertical="top" wrapText="1"/>
    </xf>
    <xf numFmtId="0" fontId="12" fillId="0" borderId="1" xfId="0" applyFont="1" applyBorder="1" applyAlignment="1">
      <alignment vertical="top"/>
    </xf>
    <xf numFmtId="0" fontId="12" fillId="0" borderId="1" xfId="0" applyFont="1" applyBorder="1" applyAlignment="1">
      <alignment horizontal="center" vertical="top"/>
    </xf>
    <xf numFmtId="0" fontId="12" fillId="4" borderId="1" xfId="0" applyFont="1" applyFill="1" applyBorder="1" applyAlignment="1">
      <alignment vertical="top" wrapText="1"/>
    </xf>
    <xf numFmtId="0" fontId="12" fillId="0" borderId="1" xfId="0" applyFont="1" applyFill="1" applyBorder="1" applyAlignment="1">
      <alignment vertical="top"/>
    </xf>
    <xf numFmtId="0" fontId="0" fillId="0" borderId="1" xfId="0" applyBorder="1" applyAlignment="1">
      <alignment horizontal="left" vertical="top"/>
    </xf>
    <xf numFmtId="0" fontId="11" fillId="0" borderId="1" xfId="0" applyFont="1" applyBorder="1" applyAlignment="1">
      <alignment horizontal="left" vertical="top" wrapText="1"/>
    </xf>
    <xf numFmtId="0" fontId="11" fillId="0" borderId="1" xfId="0" applyFont="1" applyBorder="1" applyAlignment="1">
      <alignment vertical="top" wrapText="1"/>
    </xf>
    <xf numFmtId="0" fontId="11" fillId="0" borderId="1" xfId="0" applyFont="1" applyBorder="1" applyAlignment="1">
      <alignment vertical="top"/>
    </xf>
    <xf numFmtId="164" fontId="11" fillId="0" borderId="1" xfId="0" applyNumberFormat="1" applyFont="1" applyFill="1" applyBorder="1" applyAlignment="1">
      <alignment horizontal="center" vertical="top" wrapText="1"/>
    </xf>
    <xf numFmtId="0" fontId="11" fillId="0" borderId="1" xfId="0" applyFont="1" applyFill="1" applyBorder="1" applyAlignment="1">
      <alignment horizontal="left" vertical="top" wrapText="1"/>
    </xf>
    <xf numFmtId="0" fontId="11" fillId="0" borderId="1" xfId="0" applyFont="1" applyFill="1" applyBorder="1" applyAlignment="1">
      <alignment vertical="top" wrapText="1"/>
    </xf>
    <xf numFmtId="0" fontId="11" fillId="0" borderId="1" xfId="0" applyFont="1" applyBorder="1" applyAlignment="1">
      <alignment horizontal="center" vertical="top" wrapText="1"/>
    </xf>
    <xf numFmtId="164" fontId="11" fillId="0" borderId="1" xfId="0" applyNumberFormat="1" applyFont="1" applyBorder="1" applyAlignment="1">
      <alignment horizontal="center" vertical="top" wrapText="1"/>
    </xf>
    <xf numFmtId="0" fontId="11" fillId="0" borderId="1" xfId="0" applyFont="1" applyBorder="1" applyAlignment="1">
      <alignment wrapText="1"/>
    </xf>
    <xf numFmtId="0" fontId="31" fillId="0" borderId="1" xfId="0" applyFont="1" applyBorder="1" applyAlignment="1">
      <alignment vertical="top"/>
    </xf>
    <xf numFmtId="0" fontId="19" fillId="0" borderId="1" xfId="0" applyFont="1" applyBorder="1" applyAlignment="1">
      <alignment wrapText="1"/>
    </xf>
    <xf numFmtId="0" fontId="11" fillId="7" borderId="1" xfId="0" applyFont="1" applyFill="1" applyBorder="1" applyAlignment="1">
      <alignment vertical="top" wrapText="1"/>
    </xf>
    <xf numFmtId="0" fontId="17" fillId="3" borderId="1" xfId="0" applyFont="1" applyFill="1" applyBorder="1" applyAlignment="1">
      <alignment horizontal="center" vertical="top" wrapText="1"/>
    </xf>
    <xf numFmtId="14" fontId="11" fillId="0" borderId="1" xfId="0" applyNumberFormat="1" applyFont="1" applyBorder="1" applyAlignment="1">
      <alignment horizontal="center" vertical="top" wrapText="1"/>
    </xf>
    <xf numFmtId="14" fontId="11" fillId="0" borderId="1" xfId="0" applyNumberFormat="1" applyFont="1" applyBorder="1" applyAlignment="1">
      <alignment horizontal="center" vertical="top"/>
    </xf>
    <xf numFmtId="0" fontId="13" fillId="0" borderId="0" xfId="0" applyFont="1" applyAlignment="1">
      <alignment horizontal="center" vertical="top"/>
    </xf>
    <xf numFmtId="20" fontId="29" fillId="2" borderId="1" xfId="0" applyNumberFormat="1" applyFont="1" applyFill="1" applyBorder="1" applyAlignment="1">
      <alignment horizontal="center"/>
    </xf>
    <xf numFmtId="0" fontId="10" fillId="0" borderId="1" xfId="0" applyFont="1" applyBorder="1" applyAlignment="1">
      <alignment vertical="top" wrapText="1"/>
    </xf>
    <xf numFmtId="0" fontId="10" fillId="0" borderId="1" xfId="0" applyFont="1" applyBorder="1" applyAlignment="1">
      <alignment vertical="top"/>
    </xf>
    <xf numFmtId="164" fontId="10" fillId="0" borderId="1" xfId="0" applyNumberFormat="1" applyFont="1" applyBorder="1" applyAlignment="1">
      <alignment horizontal="center" vertical="top"/>
    </xf>
    <xf numFmtId="0" fontId="10" fillId="0" borderId="1" xfId="0" applyFont="1" applyBorder="1" applyAlignment="1">
      <alignment horizontal="left" vertical="top" wrapText="1"/>
    </xf>
    <xf numFmtId="0" fontId="16" fillId="0" borderId="1" xfId="0" applyFont="1" applyBorder="1" applyAlignment="1">
      <alignment vertical="top" wrapText="1"/>
    </xf>
    <xf numFmtId="20" fontId="22" fillId="0" borderId="0" xfId="0" applyNumberFormat="1" applyFont="1"/>
    <xf numFmtId="0" fontId="9" fillId="0" borderId="1" xfId="0" applyFont="1" applyBorder="1" applyAlignment="1">
      <alignment vertical="top" wrapText="1"/>
    </xf>
    <xf numFmtId="0" fontId="8" fillId="0" borderId="1" xfId="0" applyFont="1" applyBorder="1" applyAlignment="1">
      <alignment vertical="top"/>
    </xf>
    <xf numFmtId="14" fontId="8" fillId="0" borderId="1" xfId="0" applyNumberFormat="1" applyFont="1" applyBorder="1" applyAlignment="1">
      <alignment horizontal="center" vertical="top"/>
    </xf>
    <xf numFmtId="164" fontId="8" fillId="0" borderId="1" xfId="0" applyNumberFormat="1" applyFont="1" applyBorder="1" applyAlignment="1">
      <alignment horizontal="center" vertical="top"/>
    </xf>
    <xf numFmtId="0" fontId="8" fillId="0" borderId="1" xfId="0" applyFont="1" applyBorder="1" applyAlignment="1">
      <alignment horizontal="left" vertical="top" wrapText="1"/>
    </xf>
    <xf numFmtId="0" fontId="8" fillId="0" borderId="1" xfId="0" applyFont="1" applyBorder="1" applyAlignment="1">
      <alignment vertical="top" wrapText="1"/>
    </xf>
    <xf numFmtId="0" fontId="11" fillId="0" borderId="1" xfId="0" applyFont="1" applyBorder="1" applyAlignment="1">
      <alignment horizontal="center" vertical="top"/>
    </xf>
    <xf numFmtId="0" fontId="8" fillId="0" borderId="1" xfId="0" applyFont="1" applyBorder="1" applyAlignment="1">
      <alignment horizontal="center" vertical="top"/>
    </xf>
    <xf numFmtId="0" fontId="13" fillId="0" borderId="1" xfId="0" applyFont="1" applyBorder="1" applyAlignment="1">
      <alignment horizontal="center" vertical="top"/>
    </xf>
    <xf numFmtId="14" fontId="13" fillId="0" borderId="1" xfId="0" applyNumberFormat="1" applyFont="1" applyBorder="1" applyAlignment="1">
      <alignment horizontal="center" vertical="top"/>
    </xf>
    <xf numFmtId="0" fontId="13" fillId="0" borderId="1" xfId="0" applyFont="1" applyBorder="1" applyAlignment="1">
      <alignment vertical="top"/>
    </xf>
    <xf numFmtId="0" fontId="13" fillId="0" borderId="1" xfId="0" applyFont="1" applyBorder="1" applyAlignment="1">
      <alignment vertical="top" wrapText="1"/>
    </xf>
    <xf numFmtId="0" fontId="8" fillId="0" borderId="1" xfId="0" applyFont="1" applyBorder="1" applyAlignment="1">
      <alignment horizontal="center" vertical="top" wrapText="1"/>
    </xf>
    <xf numFmtId="14" fontId="8" fillId="0" borderId="1" xfId="0" applyNumberFormat="1" applyFont="1" applyBorder="1" applyAlignment="1">
      <alignment horizontal="center" vertical="top" wrapText="1"/>
    </xf>
    <xf numFmtId="164" fontId="8" fillId="0" borderId="1" xfId="0" applyNumberFormat="1" applyFont="1" applyBorder="1" applyAlignment="1">
      <alignment horizontal="center" vertical="top" wrapText="1"/>
    </xf>
    <xf numFmtId="0" fontId="0" fillId="0" borderId="1" xfId="0" applyBorder="1" applyAlignment="1">
      <alignment horizontal="left" vertical="top" wrapText="1"/>
    </xf>
    <xf numFmtId="0" fontId="36" fillId="0" borderId="0" xfId="0" applyFont="1"/>
    <xf numFmtId="0" fontId="37" fillId="0" borderId="0" xfId="0" applyFont="1"/>
    <xf numFmtId="0" fontId="38" fillId="9" borderId="0" xfId="2" applyFont="1"/>
    <xf numFmtId="0" fontId="39" fillId="8" borderId="0" xfId="1" applyFont="1"/>
    <xf numFmtId="0" fontId="8" fillId="0" borderId="0" xfId="0" applyFont="1"/>
    <xf numFmtId="0" fontId="40" fillId="0" borderId="1" xfId="3" applyFont="1" applyBorder="1" applyAlignment="1">
      <alignment vertical="top" wrapText="1"/>
    </xf>
    <xf numFmtId="0" fontId="7" fillId="0" borderId="1" xfId="0" applyFont="1" applyBorder="1" applyAlignment="1">
      <alignment vertical="top"/>
    </xf>
    <xf numFmtId="0" fontId="7" fillId="0" borderId="1" xfId="0" applyFont="1" applyBorder="1" applyAlignment="1">
      <alignment horizontal="left" vertical="top" wrapText="1"/>
    </xf>
    <xf numFmtId="0" fontId="6" fillId="0" borderId="1" xfId="0" applyFont="1" applyBorder="1" applyAlignment="1">
      <alignment vertical="top"/>
    </xf>
    <xf numFmtId="0" fontId="6" fillId="0" borderId="1" xfId="0" applyFont="1" applyBorder="1" applyAlignment="1">
      <alignment vertical="top" wrapText="1"/>
    </xf>
    <xf numFmtId="0" fontId="6" fillId="0" borderId="1" xfId="0" applyFont="1" applyBorder="1" applyAlignment="1">
      <alignment horizontal="left" vertical="top" wrapText="1"/>
    </xf>
    <xf numFmtId="164" fontId="6" fillId="0" borderId="1" xfId="0" applyNumberFormat="1" applyFont="1" applyBorder="1" applyAlignment="1">
      <alignment horizontal="center" vertical="top"/>
    </xf>
    <xf numFmtId="0" fontId="5" fillId="0" borderId="1" xfId="0" applyFont="1" applyBorder="1" applyAlignment="1">
      <alignment vertical="top"/>
    </xf>
    <xf numFmtId="0" fontId="5" fillId="0" borderId="1" xfId="0" applyFont="1" applyBorder="1" applyAlignment="1">
      <alignment vertical="top" wrapText="1"/>
    </xf>
    <xf numFmtId="0" fontId="5" fillId="0" borderId="1" xfId="0" applyFont="1" applyBorder="1" applyAlignment="1">
      <alignment horizontal="left" vertical="top" wrapText="1"/>
    </xf>
    <xf numFmtId="0" fontId="4" fillId="0" borderId="1" xfId="0" applyFont="1" applyBorder="1" applyAlignment="1">
      <alignment vertical="top" wrapText="1"/>
    </xf>
    <xf numFmtId="0" fontId="3" fillId="0" borderId="1"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0" fontId="42" fillId="0" borderId="0" xfId="0" pivotButton="1" applyFont="1"/>
    <xf numFmtId="0" fontId="42" fillId="0" borderId="0" xfId="0" applyFont="1"/>
    <xf numFmtId="0" fontId="42" fillId="0" borderId="0" xfId="0" applyNumberFormat="1" applyFont="1"/>
    <xf numFmtId="0" fontId="42" fillId="0" borderId="0" xfId="0" applyFont="1" applyAlignment="1">
      <alignment horizontal="left"/>
    </xf>
    <xf numFmtId="0" fontId="42" fillId="0" borderId="1" xfId="0" applyNumberFormat="1" applyFont="1" applyBorder="1"/>
    <xf numFmtId="0" fontId="42" fillId="0" borderId="1" xfId="0" applyFont="1" applyBorder="1" applyAlignment="1">
      <alignment horizontal="left" indent="1"/>
    </xf>
    <xf numFmtId="0" fontId="42" fillId="0" borderId="1" xfId="0" applyFont="1" applyBorder="1" applyAlignment="1">
      <alignment horizontal="left" indent="2"/>
    </xf>
    <xf numFmtId="0" fontId="42" fillId="6" borderId="1" xfId="0" applyFont="1" applyFill="1" applyBorder="1" applyAlignment="1">
      <alignment horizontal="left" indent="1"/>
    </xf>
    <xf numFmtId="0" fontId="42" fillId="6" borderId="1" xfId="0" applyNumberFormat="1" applyFont="1" applyFill="1" applyBorder="1"/>
    <xf numFmtId="0" fontId="42" fillId="0" borderId="1" xfId="0" pivotButton="1" applyFont="1" applyBorder="1"/>
    <xf numFmtId="0" fontId="42" fillId="0" borderId="1" xfId="0" applyFont="1" applyBorder="1"/>
    <xf numFmtId="14" fontId="43" fillId="2" borderId="1" xfId="0" applyNumberFormat="1" applyFont="1" applyFill="1" applyBorder="1" applyAlignment="1">
      <alignment horizontal="left"/>
    </xf>
    <xf numFmtId="0" fontId="43" fillId="2" borderId="1" xfId="0" applyNumberFormat="1" applyFont="1" applyFill="1" applyBorder="1"/>
    <xf numFmtId="0" fontId="42" fillId="0" borderId="1" xfId="0" applyFont="1" applyBorder="1" applyAlignment="1">
      <alignment horizontal="left"/>
    </xf>
    <xf numFmtId="0" fontId="41" fillId="2" borderId="0" xfId="0" applyFont="1" applyFill="1"/>
    <xf numFmtId="0" fontId="29" fillId="2" borderId="0" xfId="0" applyFont="1" applyFill="1"/>
    <xf numFmtId="0" fontId="8" fillId="0" borderId="0" xfId="0" applyFont="1" applyAlignment="1">
      <alignment horizontal="left" vertical="top" wrapText="1"/>
    </xf>
    <xf numFmtId="0" fontId="8" fillId="0" borderId="0" xfId="0" applyFont="1" applyAlignment="1">
      <alignment horizontal="left" vertical="top"/>
    </xf>
  </cellXfs>
  <cellStyles count="4">
    <cellStyle name="Bad" xfId="1" builtinId="27"/>
    <cellStyle name="Hyperlink" xfId="3" builtinId="8"/>
    <cellStyle name="Neutral" xfId="2" builtinId="28"/>
    <cellStyle name="Normal" xfId="0" builtinId="0"/>
  </cellStyles>
  <dxfs count="171">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ont>
        <color theme="0"/>
      </font>
    </dxf>
    <dxf>
      <font>
        <color theme="0"/>
      </font>
    </dxf>
    <dxf>
      <fill>
        <patternFill patternType="solid">
          <bgColor theme="4"/>
        </patternFill>
      </fill>
    </dxf>
    <dxf>
      <fill>
        <patternFill patternType="solid">
          <bgColor theme="4"/>
        </patternFill>
      </fill>
    </dxf>
    <dxf>
      <font>
        <color theme="0"/>
      </font>
    </dxf>
    <dxf>
      <font>
        <color theme="0"/>
      </font>
    </dxf>
    <dxf>
      <fill>
        <patternFill patternType="solid">
          <bgColor theme="4"/>
        </patternFill>
      </fill>
    </dxf>
    <dxf>
      <fill>
        <patternFill patternType="solid">
          <bgColor theme="4"/>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0"/>
      </font>
    </dxf>
    <dxf>
      <font>
        <color theme="0"/>
      </font>
    </dxf>
    <dxf>
      <fill>
        <patternFill patternType="solid">
          <bgColor theme="4"/>
        </patternFill>
      </fill>
    </dxf>
    <dxf>
      <fill>
        <patternFill patternType="solid">
          <bgColor theme="4"/>
        </patternFill>
      </fill>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4"/>
        </patternFill>
      </fill>
    </dxf>
    <dxf>
      <fill>
        <patternFill patternType="solid">
          <bgColor theme="4"/>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color theme="0"/>
      </font>
    </dxf>
    <dxf>
      <font>
        <color theme="0"/>
      </font>
    </dxf>
    <dxf>
      <fill>
        <patternFill patternType="solid">
          <bgColor theme="4"/>
        </patternFill>
      </fill>
    </dxf>
    <dxf>
      <fill>
        <patternFill patternType="solid">
          <bgColor theme="4"/>
        </patternFill>
      </fill>
    </dxf>
    <dxf>
      <border>
        <top style="thin">
          <color indexed="64"/>
        </top>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right style="thin">
          <color indexed="64"/>
        </right>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4"/>
        </patternFill>
      </fill>
    </dxf>
    <dxf>
      <font>
        <color theme="0"/>
      </font>
    </dxf>
    <dxf>
      <font>
        <color theme="0"/>
      </font>
    </dxf>
    <dxf>
      <fill>
        <patternFill patternType="solid">
          <bgColor theme="4"/>
        </patternFill>
      </fill>
    </dxf>
    <dxf>
      <fill>
        <patternFill patternType="solid">
          <bgColor theme="4"/>
        </patternFill>
      </fill>
    </dxf>
    <dxf>
      <font>
        <color theme="0"/>
      </font>
    </dxf>
    <dxf>
      <fill>
        <patternFill patternType="solid">
          <bgColor theme="4"/>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561975</xdr:colOff>
      <xdr:row>1</xdr:row>
      <xdr:rowOff>1</xdr:rowOff>
    </xdr:from>
    <xdr:to>
      <xdr:col>21</xdr:col>
      <xdr:colOff>152401</xdr:colOff>
      <xdr:row>1</xdr:row>
      <xdr:rowOff>1176620</xdr:rowOff>
    </xdr:to>
    <xdr:pic>
      <xdr:nvPicPr>
        <xdr:cNvPr id="2" name="Picture 1">
          <a:extLst>
            <a:ext uri="{FF2B5EF4-FFF2-40B4-BE49-F238E27FC236}">
              <a16:creationId xmlns:a16="http://schemas.microsoft.com/office/drawing/2014/main" id="{C536ACC5-9C96-17AC-C661-1A5A6DF5657E}"/>
            </a:ext>
          </a:extLst>
        </xdr:cNvPr>
        <xdr:cNvPicPr>
          <a:picLocks noChangeAspect="1"/>
        </xdr:cNvPicPr>
      </xdr:nvPicPr>
      <xdr:blipFill>
        <a:blip xmlns:r="http://schemas.openxmlformats.org/officeDocument/2006/relationships" r:embed="rId1"/>
        <a:stretch>
          <a:fillRect/>
        </a:stretch>
      </xdr:blipFill>
      <xdr:spPr>
        <a:xfrm>
          <a:off x="23668504" y="381001"/>
          <a:ext cx="3826249" cy="1176618"/>
        </a:xfrm>
        <a:prstGeom prst="rect">
          <a:avLst/>
        </a:prstGeom>
      </xdr:spPr>
    </xdr:pic>
    <xdr:clientData/>
  </xdr:twoCellAnchor>
  <xdr:twoCellAnchor editAs="oneCell">
    <xdr:from>
      <xdr:col>17</xdr:col>
      <xdr:colOff>192181</xdr:colOff>
      <xdr:row>1</xdr:row>
      <xdr:rowOff>1</xdr:rowOff>
    </xdr:from>
    <xdr:to>
      <xdr:col>31</xdr:col>
      <xdr:colOff>325531</xdr:colOff>
      <xdr:row>1</xdr:row>
      <xdr:rowOff>918884</xdr:rowOff>
    </xdr:to>
    <xdr:pic>
      <xdr:nvPicPr>
        <xdr:cNvPr id="3" name="Picture 2">
          <a:extLst>
            <a:ext uri="{FF2B5EF4-FFF2-40B4-BE49-F238E27FC236}">
              <a16:creationId xmlns:a16="http://schemas.microsoft.com/office/drawing/2014/main" id="{A22461AD-2648-AD71-4D1B-13F0306C72F1}"/>
            </a:ext>
            <a:ext uri="{147F2762-F138-4A5C-976F-8EAC2B608ADB}">
              <a16:predDERef xmlns:a16="http://schemas.microsoft.com/office/drawing/2014/main" pred="{C536ACC5-9C96-17AC-C661-1A5A6DF5657E}"/>
            </a:ext>
          </a:extLst>
        </xdr:cNvPr>
        <xdr:cNvPicPr>
          <a:picLocks noChangeAspect="1"/>
        </xdr:cNvPicPr>
      </xdr:nvPicPr>
      <xdr:blipFill>
        <a:blip xmlns:r="http://schemas.openxmlformats.org/officeDocument/2006/relationships" r:embed="rId2"/>
        <a:stretch>
          <a:fillRect/>
        </a:stretch>
      </xdr:blipFill>
      <xdr:spPr>
        <a:xfrm>
          <a:off x="25114063" y="381001"/>
          <a:ext cx="8604997" cy="918882"/>
        </a:xfrm>
        <a:prstGeom prst="rect">
          <a:avLst/>
        </a:prstGeom>
      </xdr:spPr>
    </xdr:pic>
    <xdr:clientData/>
  </xdr:twoCellAnchor>
  <xdr:twoCellAnchor editAs="oneCell">
    <xdr:from>
      <xdr:col>15</xdr:col>
      <xdr:colOff>313764</xdr:colOff>
      <xdr:row>49</xdr:row>
      <xdr:rowOff>268942</xdr:rowOff>
    </xdr:from>
    <xdr:to>
      <xdr:col>18</xdr:col>
      <xdr:colOff>437589</xdr:colOff>
      <xdr:row>53</xdr:row>
      <xdr:rowOff>33619</xdr:rowOff>
    </xdr:to>
    <xdr:pic>
      <xdr:nvPicPr>
        <xdr:cNvPr id="4" name="Picture 3">
          <a:extLst>
            <a:ext uri="{FF2B5EF4-FFF2-40B4-BE49-F238E27FC236}">
              <a16:creationId xmlns:a16="http://schemas.microsoft.com/office/drawing/2014/main" id="{2ACA9A97-28F7-6FE1-51A4-A3D5C7C769EB}"/>
            </a:ext>
            <a:ext uri="{147F2762-F138-4A5C-976F-8EAC2B608ADB}">
              <a16:predDERef xmlns:a16="http://schemas.microsoft.com/office/drawing/2014/main" pred="{A22461AD-2648-AD71-4D1B-13F0306C72F1}"/>
            </a:ext>
          </a:extLst>
        </xdr:cNvPr>
        <xdr:cNvPicPr>
          <a:picLocks noChangeAspect="1"/>
        </xdr:cNvPicPr>
      </xdr:nvPicPr>
      <xdr:blipFill>
        <a:blip xmlns:r="http://schemas.openxmlformats.org/officeDocument/2006/relationships" r:embed="rId3"/>
        <a:stretch>
          <a:fillRect/>
        </a:stretch>
      </xdr:blipFill>
      <xdr:spPr>
        <a:xfrm>
          <a:off x="24025411" y="1602442"/>
          <a:ext cx="1939178" cy="1669677"/>
        </a:xfrm>
        <a:prstGeom prst="rect">
          <a:avLst/>
        </a:prstGeom>
      </xdr:spPr>
    </xdr:pic>
    <xdr:clientData/>
  </xdr:twoCellAnchor>
  <xdr:twoCellAnchor editAs="oneCell">
    <xdr:from>
      <xdr:col>23</xdr:col>
      <xdr:colOff>403413</xdr:colOff>
      <xdr:row>49</xdr:row>
      <xdr:rowOff>145676</xdr:rowOff>
    </xdr:from>
    <xdr:to>
      <xdr:col>31</xdr:col>
      <xdr:colOff>131670</xdr:colOff>
      <xdr:row>51</xdr:row>
      <xdr:rowOff>100853</xdr:rowOff>
    </xdr:to>
    <xdr:pic>
      <xdr:nvPicPr>
        <xdr:cNvPr id="5" name="Picture 4">
          <a:extLst>
            <a:ext uri="{FF2B5EF4-FFF2-40B4-BE49-F238E27FC236}">
              <a16:creationId xmlns:a16="http://schemas.microsoft.com/office/drawing/2014/main" id="{DC9CAA53-E9DA-C64E-FB89-5294A1502949}"/>
            </a:ext>
            <a:ext uri="{147F2762-F138-4A5C-976F-8EAC2B608ADB}">
              <a16:predDERef xmlns:a16="http://schemas.microsoft.com/office/drawing/2014/main" pred="{2ACA9A97-28F7-6FE1-51A4-A3D5C7C769EB}"/>
            </a:ext>
          </a:extLst>
        </xdr:cNvPr>
        <xdr:cNvPicPr>
          <a:picLocks noChangeAspect="1"/>
        </xdr:cNvPicPr>
      </xdr:nvPicPr>
      <xdr:blipFill>
        <a:blip xmlns:r="http://schemas.openxmlformats.org/officeDocument/2006/relationships" r:embed="rId4"/>
        <a:stretch>
          <a:fillRect/>
        </a:stretch>
      </xdr:blipFill>
      <xdr:spPr>
        <a:xfrm>
          <a:off x="28956001" y="1479176"/>
          <a:ext cx="4569198" cy="1098177"/>
        </a:xfrm>
        <a:prstGeom prst="rect">
          <a:avLst/>
        </a:prstGeom>
      </xdr:spPr>
    </xdr:pic>
    <xdr:clientData/>
  </xdr:twoCellAnchor>
  <xdr:twoCellAnchor editAs="oneCell">
    <xdr:from>
      <xdr:col>23</xdr:col>
      <xdr:colOff>513790</xdr:colOff>
      <xdr:row>48</xdr:row>
      <xdr:rowOff>459442</xdr:rowOff>
    </xdr:from>
    <xdr:to>
      <xdr:col>31</xdr:col>
      <xdr:colOff>242047</xdr:colOff>
      <xdr:row>50</xdr:row>
      <xdr:rowOff>493060</xdr:rowOff>
    </xdr:to>
    <xdr:pic>
      <xdr:nvPicPr>
        <xdr:cNvPr id="7" name="Picture 6">
          <a:extLst>
            <a:ext uri="{FF2B5EF4-FFF2-40B4-BE49-F238E27FC236}">
              <a16:creationId xmlns:a16="http://schemas.microsoft.com/office/drawing/2014/main" id="{776AFDE7-2C75-F577-1EEE-2B0AC61BDD41}"/>
            </a:ext>
            <a:ext uri="{147F2762-F138-4A5C-976F-8EAC2B608ADB}">
              <a16:predDERef xmlns:a16="http://schemas.microsoft.com/office/drawing/2014/main" pred="{DC9CAA53-E9DA-C64E-FB89-5294A1502949}"/>
            </a:ext>
          </a:extLst>
        </xdr:cNvPr>
        <xdr:cNvPicPr>
          <a:picLocks noChangeAspect="1"/>
        </xdr:cNvPicPr>
      </xdr:nvPicPr>
      <xdr:blipFill>
        <a:blip xmlns:r="http://schemas.openxmlformats.org/officeDocument/2006/relationships" r:embed="rId5"/>
        <a:stretch>
          <a:fillRect/>
        </a:stretch>
      </xdr:blipFill>
      <xdr:spPr>
        <a:xfrm>
          <a:off x="29066378" y="1221442"/>
          <a:ext cx="4569198" cy="986118"/>
        </a:xfrm>
        <a:prstGeom prst="rect">
          <a:avLst/>
        </a:prstGeom>
      </xdr:spPr>
    </xdr:pic>
    <xdr:clientData/>
  </xdr:twoCellAnchor>
  <xdr:twoCellAnchor editAs="oneCell">
    <xdr:from>
      <xdr:col>14</xdr:col>
      <xdr:colOff>301663</xdr:colOff>
      <xdr:row>0</xdr:row>
      <xdr:rowOff>179294</xdr:rowOff>
    </xdr:from>
    <xdr:to>
      <xdr:col>24</xdr:col>
      <xdr:colOff>418130</xdr:colOff>
      <xdr:row>3</xdr:row>
      <xdr:rowOff>603573</xdr:rowOff>
    </xdr:to>
    <xdr:pic>
      <xdr:nvPicPr>
        <xdr:cNvPr id="6" name="Picture 5">
          <a:extLst>
            <a:ext uri="{FF2B5EF4-FFF2-40B4-BE49-F238E27FC236}">
              <a16:creationId xmlns:a16="http://schemas.microsoft.com/office/drawing/2014/main" id="{D1BE0EDC-B6AA-1B5E-EBD9-2578E76CFD70}"/>
            </a:ext>
          </a:extLst>
        </xdr:cNvPr>
        <xdr:cNvPicPr>
          <a:picLocks noChangeAspect="1"/>
        </xdr:cNvPicPr>
      </xdr:nvPicPr>
      <xdr:blipFill>
        <a:blip xmlns:r="http://schemas.openxmlformats.org/officeDocument/2006/relationships" r:embed="rId6"/>
        <a:stretch>
          <a:fillRect/>
        </a:stretch>
      </xdr:blipFill>
      <xdr:spPr>
        <a:xfrm>
          <a:off x="23408192" y="179294"/>
          <a:ext cx="6167643" cy="251977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anie Uyehara" refreshedDate="46055.682278356478" createdVersion="8" refreshedVersion="8" minRefreshableVersion="3" recordCount="59" xr:uid="{2294DA59-3CCD-4349-A396-EA422F27C530}">
  <cacheSource type="worksheet">
    <worksheetSource ref="B1:F1048576" sheet="DEFECTS"/>
  </cacheSource>
  <cacheFields count="7">
    <cacheField name="Date Tested" numFmtId="0">
      <sharedItems containsNonDate="0" containsDate="1" containsString="0" containsBlank="1" minDate="2025-10-02T00:00:00" maxDate="2026-01-31T00:00:00" count="13">
        <d v="2025-10-03T00:00:00"/>
        <d v="2025-10-29T00:00:00"/>
        <d v="2025-11-18T00:00:00"/>
        <d v="2025-12-04T00:00:00"/>
        <d v="2025-12-22T00:00:00"/>
        <d v="2026-01-14T00:00:00"/>
        <d v="2026-01-23T00:00:00"/>
        <d v="2026-01-27T00:00:00"/>
        <d v="2026-01-30T00:00:00"/>
        <m/>
        <d v="2026-01-29T00:00:00" u="1"/>
        <d v="2025-12-24T00:00:00" u="1"/>
        <d v="2025-10-02T00:00:00" u="1"/>
      </sharedItems>
      <fieldGroup par="6"/>
    </cacheField>
    <cacheField name="Interface" numFmtId="0">
      <sharedItems containsBlank="1"/>
    </cacheField>
    <cacheField name="Scenario Type" numFmtId="0">
      <sharedItems containsBlank="1" count="3">
        <s v="Functionality"/>
        <s v="UI"/>
        <m/>
      </sharedItems>
    </cacheField>
    <cacheField name="Bug Type" numFmtId="0">
      <sharedItems containsBlank="1" count="5">
        <s v="Major"/>
        <s v="Minor"/>
        <s v="Regression"/>
        <m/>
        <s v="Minor " u="1"/>
      </sharedItems>
    </cacheField>
    <cacheField name="Status" numFmtId="0">
      <sharedItems containsBlank="1" count="6">
        <s v="Resolved"/>
        <s v="No Action"/>
        <m/>
        <s v="New" u="1"/>
        <s v="Return to Dev" u="1"/>
        <s v="Retest In Progress" u="1"/>
      </sharedItems>
    </cacheField>
    <cacheField name="Days (Date Tested)" numFmtId="0" databaseField="0">
      <fieldGroup base="0">
        <rangePr groupBy="days" startDate="2025-10-03T00:00:00" endDate="2026-01-31T00:00:00"/>
        <groupItems count="368">
          <s v="&lt;10/3/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31/2026"/>
        </groupItems>
      </fieldGroup>
    </cacheField>
    <cacheField name="Months (Date Tested)" numFmtId="0" databaseField="0">
      <fieldGroup base="0">
        <rangePr groupBy="months" startDate="2025-10-03T00:00:00" endDate="2026-01-31T00:00:00"/>
        <groupItems count="14">
          <s v="&lt;10/3/2025"/>
          <s v="Jan"/>
          <s v="Feb"/>
          <s v="Mar"/>
          <s v="Apr"/>
          <s v="May"/>
          <s v="Jun"/>
          <s v="Jul"/>
          <s v="Aug"/>
          <s v="Sep"/>
          <s v="Oct"/>
          <s v="Nov"/>
          <s v="Dec"/>
          <s v="&gt;1/31/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anie Uyehara" refreshedDate="46055.68228090278" createdVersion="8" refreshedVersion="8" minRefreshableVersion="3" recordCount="59" xr:uid="{4F352A13-655E-4EC7-9C68-391BB4F32D40}">
  <cacheSource type="worksheet">
    <worksheetSource ref="B1:E1048576" sheet="DEFECTS"/>
  </cacheSource>
  <cacheFields count="4">
    <cacheField name="Date Tested" numFmtId="0">
      <sharedItems containsNonDate="0" containsDate="1" containsString="0" containsBlank="1" minDate="2025-10-03T00:00:00" maxDate="2026-01-31T00:00:00"/>
    </cacheField>
    <cacheField name="Interface" numFmtId="0">
      <sharedItems containsBlank="1"/>
    </cacheField>
    <cacheField name="Scenario Type" numFmtId="0">
      <sharedItems containsBlank="1"/>
    </cacheField>
    <cacheField name="Bug Type" numFmtId="0">
      <sharedItems containsBlank="1" count="5">
        <s v="Major"/>
        <s v="Minor"/>
        <s v="Regression"/>
        <m/>
        <s v="Minor "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x v="0"/>
    <s v="Both"/>
    <x v="0"/>
    <x v="0"/>
    <x v="0"/>
  </r>
  <r>
    <x v="0"/>
    <m/>
    <x v="0"/>
    <x v="1"/>
    <x v="0"/>
  </r>
  <r>
    <x v="0"/>
    <m/>
    <x v="0"/>
    <x v="0"/>
    <x v="0"/>
  </r>
  <r>
    <x v="0"/>
    <m/>
    <x v="0"/>
    <x v="0"/>
    <x v="0"/>
  </r>
  <r>
    <x v="0"/>
    <m/>
    <x v="0"/>
    <x v="1"/>
    <x v="0"/>
  </r>
  <r>
    <x v="0"/>
    <m/>
    <x v="0"/>
    <x v="0"/>
    <x v="0"/>
  </r>
  <r>
    <x v="0"/>
    <m/>
    <x v="0"/>
    <x v="0"/>
    <x v="0"/>
  </r>
  <r>
    <x v="0"/>
    <m/>
    <x v="0"/>
    <x v="1"/>
    <x v="0"/>
  </r>
  <r>
    <x v="0"/>
    <m/>
    <x v="0"/>
    <x v="1"/>
    <x v="0"/>
  </r>
  <r>
    <x v="0"/>
    <m/>
    <x v="0"/>
    <x v="0"/>
    <x v="0"/>
  </r>
  <r>
    <x v="0"/>
    <m/>
    <x v="0"/>
    <x v="1"/>
    <x v="0"/>
  </r>
  <r>
    <x v="0"/>
    <m/>
    <x v="0"/>
    <x v="1"/>
    <x v="0"/>
  </r>
  <r>
    <x v="0"/>
    <m/>
    <x v="0"/>
    <x v="1"/>
    <x v="0"/>
  </r>
  <r>
    <x v="0"/>
    <s v="Both"/>
    <x v="0"/>
    <x v="0"/>
    <x v="1"/>
  </r>
  <r>
    <x v="0"/>
    <m/>
    <x v="1"/>
    <x v="1"/>
    <x v="0"/>
  </r>
  <r>
    <x v="0"/>
    <m/>
    <x v="1"/>
    <x v="1"/>
    <x v="0"/>
  </r>
  <r>
    <x v="0"/>
    <m/>
    <x v="1"/>
    <x v="1"/>
    <x v="1"/>
  </r>
  <r>
    <x v="0"/>
    <m/>
    <x v="1"/>
    <x v="1"/>
    <x v="0"/>
  </r>
  <r>
    <x v="0"/>
    <s v="Both"/>
    <x v="0"/>
    <x v="0"/>
    <x v="0"/>
  </r>
  <r>
    <x v="0"/>
    <s v="Both"/>
    <x v="0"/>
    <x v="0"/>
    <x v="0"/>
  </r>
  <r>
    <x v="1"/>
    <s v="Both"/>
    <x v="0"/>
    <x v="0"/>
    <x v="1"/>
  </r>
  <r>
    <x v="1"/>
    <s v="Both"/>
    <x v="1"/>
    <x v="2"/>
    <x v="0"/>
  </r>
  <r>
    <x v="1"/>
    <s v="Both"/>
    <x v="1"/>
    <x v="0"/>
    <x v="0"/>
  </r>
  <r>
    <x v="1"/>
    <s v="Both"/>
    <x v="0"/>
    <x v="2"/>
    <x v="0"/>
  </r>
  <r>
    <x v="1"/>
    <s v="Both"/>
    <x v="0"/>
    <x v="2"/>
    <x v="0"/>
  </r>
  <r>
    <x v="1"/>
    <s v="Both"/>
    <x v="0"/>
    <x v="0"/>
    <x v="0"/>
  </r>
  <r>
    <x v="1"/>
    <s v="Both"/>
    <x v="0"/>
    <x v="2"/>
    <x v="0"/>
  </r>
  <r>
    <x v="1"/>
    <s v="Both"/>
    <x v="1"/>
    <x v="1"/>
    <x v="0"/>
  </r>
  <r>
    <x v="1"/>
    <s v="Both"/>
    <x v="0"/>
    <x v="0"/>
    <x v="0"/>
  </r>
  <r>
    <x v="1"/>
    <s v="Both"/>
    <x v="0"/>
    <x v="0"/>
    <x v="0"/>
  </r>
  <r>
    <x v="1"/>
    <s v="Both"/>
    <x v="0"/>
    <x v="0"/>
    <x v="0"/>
  </r>
  <r>
    <x v="2"/>
    <s v="Both"/>
    <x v="0"/>
    <x v="1"/>
    <x v="0"/>
  </r>
  <r>
    <x v="2"/>
    <s v="Both"/>
    <x v="0"/>
    <x v="0"/>
    <x v="0"/>
  </r>
  <r>
    <x v="2"/>
    <s v="Both"/>
    <x v="0"/>
    <x v="1"/>
    <x v="0"/>
  </r>
  <r>
    <x v="3"/>
    <s v="Both"/>
    <x v="0"/>
    <x v="1"/>
    <x v="0"/>
  </r>
  <r>
    <x v="3"/>
    <s v="Both"/>
    <x v="0"/>
    <x v="1"/>
    <x v="1"/>
  </r>
  <r>
    <x v="3"/>
    <s v="Both"/>
    <x v="1"/>
    <x v="1"/>
    <x v="0"/>
  </r>
  <r>
    <x v="3"/>
    <s v="Both"/>
    <x v="1"/>
    <x v="1"/>
    <x v="1"/>
  </r>
  <r>
    <x v="3"/>
    <s v="Web Only"/>
    <x v="0"/>
    <x v="1"/>
    <x v="0"/>
  </r>
  <r>
    <x v="3"/>
    <s v="Both"/>
    <x v="0"/>
    <x v="0"/>
    <x v="0"/>
  </r>
  <r>
    <x v="3"/>
    <s v="Both"/>
    <x v="1"/>
    <x v="1"/>
    <x v="1"/>
  </r>
  <r>
    <x v="3"/>
    <s v="Web Only"/>
    <x v="1"/>
    <x v="0"/>
    <x v="0"/>
  </r>
  <r>
    <x v="3"/>
    <s v="Web Only"/>
    <x v="0"/>
    <x v="0"/>
    <x v="1"/>
  </r>
  <r>
    <x v="4"/>
    <s v="Both"/>
    <x v="0"/>
    <x v="0"/>
    <x v="0"/>
  </r>
  <r>
    <x v="4"/>
    <s v="Both"/>
    <x v="0"/>
    <x v="2"/>
    <x v="0"/>
  </r>
  <r>
    <x v="4"/>
    <s v="Both"/>
    <x v="0"/>
    <x v="1"/>
    <x v="0"/>
  </r>
  <r>
    <x v="5"/>
    <s v="Both"/>
    <x v="1"/>
    <x v="1"/>
    <x v="0"/>
  </r>
  <r>
    <x v="5"/>
    <s v="Both"/>
    <x v="0"/>
    <x v="2"/>
    <x v="0"/>
  </r>
  <r>
    <x v="5"/>
    <s v="Both "/>
    <x v="0"/>
    <x v="1"/>
    <x v="0"/>
  </r>
  <r>
    <x v="5"/>
    <s v="Both"/>
    <x v="1"/>
    <x v="1"/>
    <x v="0"/>
  </r>
  <r>
    <x v="6"/>
    <s v="PB Only"/>
    <x v="1"/>
    <x v="2"/>
    <x v="0"/>
  </r>
  <r>
    <x v="6"/>
    <s v="Both"/>
    <x v="0"/>
    <x v="1"/>
    <x v="0"/>
  </r>
  <r>
    <x v="6"/>
    <s v="Both"/>
    <x v="1"/>
    <x v="0"/>
    <x v="0"/>
  </r>
  <r>
    <x v="6"/>
    <s v="PB Only"/>
    <x v="1"/>
    <x v="1"/>
    <x v="0"/>
  </r>
  <r>
    <x v="7"/>
    <s v="PB Only"/>
    <x v="1"/>
    <x v="0"/>
    <x v="0"/>
  </r>
  <r>
    <x v="7"/>
    <s v="Both"/>
    <x v="0"/>
    <x v="0"/>
    <x v="0"/>
  </r>
  <r>
    <x v="7"/>
    <s v="Both"/>
    <x v="1"/>
    <x v="1"/>
    <x v="0"/>
  </r>
  <r>
    <x v="8"/>
    <s v="Both"/>
    <x v="0"/>
    <x v="1"/>
    <x v="0"/>
  </r>
  <r>
    <x v="9"/>
    <m/>
    <x v="2"/>
    <x v="3"/>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d v="2025-10-03T00:00:00"/>
    <s v="Both"/>
    <s v="Functionality"/>
    <x v="0"/>
  </r>
  <r>
    <d v="2025-10-03T00:00:00"/>
    <m/>
    <s v="Functionality"/>
    <x v="1"/>
  </r>
  <r>
    <d v="2025-10-03T00:00:00"/>
    <m/>
    <s v="Functionality"/>
    <x v="0"/>
  </r>
  <r>
    <d v="2025-10-03T00:00:00"/>
    <m/>
    <s v="Functionality"/>
    <x v="0"/>
  </r>
  <r>
    <d v="2025-10-03T00:00:00"/>
    <m/>
    <s v="Functionality"/>
    <x v="1"/>
  </r>
  <r>
    <d v="2025-10-03T00:00:00"/>
    <m/>
    <s v="Functionality"/>
    <x v="0"/>
  </r>
  <r>
    <d v="2025-10-03T00:00:00"/>
    <m/>
    <s v="Functionality"/>
    <x v="0"/>
  </r>
  <r>
    <d v="2025-10-03T00:00:00"/>
    <m/>
    <s v="Functionality"/>
    <x v="1"/>
  </r>
  <r>
    <d v="2025-10-03T00:00:00"/>
    <m/>
    <s v="Functionality"/>
    <x v="1"/>
  </r>
  <r>
    <d v="2025-10-03T00:00:00"/>
    <m/>
    <s v="Functionality"/>
    <x v="0"/>
  </r>
  <r>
    <d v="2025-10-03T00:00:00"/>
    <m/>
    <s v="Functionality"/>
    <x v="1"/>
  </r>
  <r>
    <d v="2025-10-03T00:00:00"/>
    <m/>
    <s v="Functionality"/>
    <x v="1"/>
  </r>
  <r>
    <d v="2025-10-03T00:00:00"/>
    <m/>
    <s v="Functionality"/>
    <x v="1"/>
  </r>
  <r>
    <d v="2025-10-03T00:00:00"/>
    <s v="Both"/>
    <s v="Functionality"/>
    <x v="0"/>
  </r>
  <r>
    <d v="2025-10-03T00:00:00"/>
    <m/>
    <s v="UI"/>
    <x v="1"/>
  </r>
  <r>
    <d v="2025-10-03T00:00:00"/>
    <m/>
    <s v="UI"/>
    <x v="1"/>
  </r>
  <r>
    <d v="2025-10-03T00:00:00"/>
    <m/>
    <s v="UI"/>
    <x v="1"/>
  </r>
  <r>
    <d v="2025-10-03T00:00:00"/>
    <m/>
    <s v="UI"/>
    <x v="1"/>
  </r>
  <r>
    <d v="2025-10-03T00:00:00"/>
    <s v="Both"/>
    <s v="Functionality"/>
    <x v="0"/>
  </r>
  <r>
    <d v="2025-10-03T00:00:00"/>
    <s v="Both"/>
    <s v="Functionality"/>
    <x v="0"/>
  </r>
  <r>
    <d v="2025-10-29T00:00:00"/>
    <s v="Both"/>
    <s v="Functionality"/>
    <x v="0"/>
  </r>
  <r>
    <d v="2025-10-29T00:00:00"/>
    <s v="Both"/>
    <s v="UI"/>
    <x v="2"/>
  </r>
  <r>
    <d v="2025-10-29T00:00:00"/>
    <s v="Both"/>
    <s v="UI"/>
    <x v="0"/>
  </r>
  <r>
    <d v="2025-10-29T00:00:00"/>
    <s v="Both"/>
    <s v="Functionality"/>
    <x v="2"/>
  </r>
  <r>
    <d v="2025-10-29T00:00:00"/>
    <s v="Both"/>
    <s v="Functionality"/>
    <x v="2"/>
  </r>
  <r>
    <d v="2025-10-29T00:00:00"/>
    <s v="Both"/>
    <s v="Functionality"/>
    <x v="0"/>
  </r>
  <r>
    <d v="2025-10-29T00:00:00"/>
    <s v="Both"/>
    <s v="Functionality"/>
    <x v="2"/>
  </r>
  <r>
    <d v="2025-10-29T00:00:00"/>
    <s v="Both"/>
    <s v="UI"/>
    <x v="1"/>
  </r>
  <r>
    <d v="2025-10-29T00:00:00"/>
    <s v="Both"/>
    <s v="Functionality"/>
    <x v="0"/>
  </r>
  <r>
    <d v="2025-10-29T00:00:00"/>
    <s v="Both"/>
    <s v="Functionality"/>
    <x v="0"/>
  </r>
  <r>
    <d v="2025-10-29T00:00:00"/>
    <s v="Both"/>
    <s v="Functionality"/>
    <x v="0"/>
  </r>
  <r>
    <d v="2025-11-18T00:00:00"/>
    <s v="Both"/>
    <s v="Functionality"/>
    <x v="1"/>
  </r>
  <r>
    <d v="2025-11-18T00:00:00"/>
    <s v="Both"/>
    <s v="Functionality"/>
    <x v="0"/>
  </r>
  <r>
    <d v="2025-11-18T00:00:00"/>
    <s v="Both"/>
    <s v="Functionality"/>
    <x v="1"/>
  </r>
  <r>
    <d v="2025-12-04T00:00:00"/>
    <s v="Both"/>
    <s v="Functionality"/>
    <x v="1"/>
  </r>
  <r>
    <d v="2025-12-04T00:00:00"/>
    <s v="Both"/>
    <s v="Functionality"/>
    <x v="1"/>
  </r>
  <r>
    <d v="2025-12-04T00:00:00"/>
    <s v="Both"/>
    <s v="UI"/>
    <x v="1"/>
  </r>
  <r>
    <d v="2025-12-04T00:00:00"/>
    <s v="Both"/>
    <s v="UI"/>
    <x v="1"/>
  </r>
  <r>
    <d v="2025-12-04T00:00:00"/>
    <s v="Web Only"/>
    <s v="Functionality"/>
    <x v="1"/>
  </r>
  <r>
    <d v="2025-12-04T00:00:00"/>
    <s v="Both"/>
    <s v="Functionality"/>
    <x v="0"/>
  </r>
  <r>
    <d v="2025-12-04T00:00:00"/>
    <s v="Both"/>
    <s v="UI"/>
    <x v="1"/>
  </r>
  <r>
    <d v="2025-12-04T00:00:00"/>
    <s v="Web Only"/>
    <s v="UI"/>
    <x v="0"/>
  </r>
  <r>
    <d v="2025-12-04T00:00:00"/>
    <s v="Web Only"/>
    <s v="Functionality"/>
    <x v="0"/>
  </r>
  <r>
    <d v="2025-12-22T00:00:00"/>
    <s v="Both"/>
    <s v="Functionality"/>
    <x v="0"/>
  </r>
  <r>
    <d v="2025-12-22T00:00:00"/>
    <s v="Both"/>
    <s v="Functionality"/>
    <x v="2"/>
  </r>
  <r>
    <d v="2025-12-22T00:00:00"/>
    <s v="Both"/>
    <s v="Functionality"/>
    <x v="1"/>
  </r>
  <r>
    <d v="2026-01-14T00:00:00"/>
    <s v="Both"/>
    <s v="UI"/>
    <x v="1"/>
  </r>
  <r>
    <d v="2026-01-14T00:00:00"/>
    <s v="Both"/>
    <s v="Functionality"/>
    <x v="2"/>
  </r>
  <r>
    <d v="2026-01-14T00:00:00"/>
    <s v="Both "/>
    <s v="Functionality"/>
    <x v="1"/>
  </r>
  <r>
    <d v="2026-01-14T00:00:00"/>
    <s v="Both"/>
    <s v="UI"/>
    <x v="1"/>
  </r>
  <r>
    <d v="2026-01-23T00:00:00"/>
    <s v="PB Only"/>
    <s v="UI"/>
    <x v="2"/>
  </r>
  <r>
    <d v="2026-01-23T00:00:00"/>
    <s v="Both"/>
    <s v="Functionality"/>
    <x v="1"/>
  </r>
  <r>
    <d v="2026-01-23T00:00:00"/>
    <s v="Both"/>
    <s v="UI"/>
    <x v="0"/>
  </r>
  <r>
    <d v="2026-01-23T00:00:00"/>
    <s v="PB Only"/>
    <s v="UI"/>
    <x v="1"/>
  </r>
  <r>
    <d v="2026-01-27T00:00:00"/>
    <s v="PB Only"/>
    <s v="UI"/>
    <x v="0"/>
  </r>
  <r>
    <d v="2026-01-27T00:00:00"/>
    <s v="Both"/>
    <s v="Functionality"/>
    <x v="0"/>
  </r>
  <r>
    <d v="2026-01-27T00:00:00"/>
    <s v="Both"/>
    <s v="UI"/>
    <x v="1"/>
  </r>
  <r>
    <d v="2026-01-30T00:00:00"/>
    <s v="Both"/>
    <s v="Functionality"/>
    <x v="1"/>
  </r>
  <r>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5EEEFE-EDC4-4F89-BA3D-EF6028886ED8}"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Status">
  <location ref="C1:F55" firstHeaderRow="1" firstDataRow="2" firstDataCol="1"/>
  <pivotFields count="7">
    <pivotField axis="axisRow" showAll="0">
      <items count="14">
        <item m="1" x="12"/>
        <item x="0"/>
        <item x="1"/>
        <item x="2"/>
        <item x="9"/>
        <item x="3"/>
        <item x="4"/>
        <item m="1" x="11"/>
        <item x="5"/>
        <item x="6"/>
        <item x="7"/>
        <item m="1" x="10"/>
        <item x="8"/>
        <item t="default"/>
      </items>
    </pivotField>
    <pivotField showAll="0"/>
    <pivotField axis="axisRow" dataField="1" showAll="0">
      <items count="4">
        <item x="0"/>
        <item x="1"/>
        <item h="1" x="2"/>
        <item t="default"/>
      </items>
    </pivotField>
    <pivotField axis="axisRow" showAll="0">
      <items count="6">
        <item x="0"/>
        <item x="1"/>
        <item x="2"/>
        <item x="3"/>
        <item m="1" x="4"/>
        <item t="default"/>
      </items>
    </pivotField>
    <pivotField axis="axisCol" showAll="0">
      <items count="7">
        <item m="1" x="3"/>
        <item x="1"/>
        <item x="0"/>
        <item m="1" x="4"/>
        <item x="2"/>
        <item m="1" x="5"/>
        <item t="default"/>
      </items>
    </pivotField>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3">
    <field x="0"/>
    <field x="2"/>
    <field x="3"/>
  </rowFields>
  <rowItems count="53">
    <i>
      <x v="1"/>
    </i>
    <i r="1">
      <x/>
    </i>
    <i r="2">
      <x/>
    </i>
    <i r="2">
      <x v="1"/>
    </i>
    <i r="1">
      <x v="1"/>
    </i>
    <i r="2">
      <x v="1"/>
    </i>
    <i>
      <x v="2"/>
    </i>
    <i r="1">
      <x/>
    </i>
    <i r="2">
      <x/>
    </i>
    <i r="2">
      <x v="2"/>
    </i>
    <i r="1">
      <x v="1"/>
    </i>
    <i r="2">
      <x/>
    </i>
    <i r="2">
      <x v="1"/>
    </i>
    <i r="2">
      <x v="2"/>
    </i>
    <i>
      <x v="3"/>
    </i>
    <i r="1">
      <x/>
    </i>
    <i r="2">
      <x/>
    </i>
    <i r="2">
      <x v="1"/>
    </i>
    <i>
      <x v="5"/>
    </i>
    <i r="1">
      <x/>
    </i>
    <i r="2">
      <x/>
    </i>
    <i r="2">
      <x v="1"/>
    </i>
    <i r="1">
      <x v="1"/>
    </i>
    <i r="2">
      <x/>
    </i>
    <i r="2">
      <x v="1"/>
    </i>
    <i>
      <x v="6"/>
    </i>
    <i r="1">
      <x/>
    </i>
    <i r="2">
      <x/>
    </i>
    <i r="2">
      <x v="1"/>
    </i>
    <i r="2">
      <x v="2"/>
    </i>
    <i>
      <x v="8"/>
    </i>
    <i r="1">
      <x/>
    </i>
    <i r="2">
      <x v="1"/>
    </i>
    <i r="2">
      <x v="2"/>
    </i>
    <i r="1">
      <x v="1"/>
    </i>
    <i r="2">
      <x v="1"/>
    </i>
    <i>
      <x v="9"/>
    </i>
    <i r="1">
      <x/>
    </i>
    <i r="2">
      <x v="1"/>
    </i>
    <i r="1">
      <x v="1"/>
    </i>
    <i r="2">
      <x/>
    </i>
    <i r="2">
      <x v="1"/>
    </i>
    <i r="2">
      <x v="2"/>
    </i>
    <i>
      <x v="10"/>
    </i>
    <i r="1">
      <x/>
    </i>
    <i r="2">
      <x/>
    </i>
    <i r="1">
      <x v="1"/>
    </i>
    <i r="2">
      <x/>
    </i>
    <i r="2">
      <x v="1"/>
    </i>
    <i>
      <x v="12"/>
    </i>
    <i r="1">
      <x/>
    </i>
    <i r="2">
      <x v="1"/>
    </i>
    <i t="grand">
      <x/>
    </i>
  </rowItems>
  <colFields count="1">
    <field x="4"/>
  </colFields>
  <colItems count="3">
    <i>
      <x v="1"/>
    </i>
    <i>
      <x v="2"/>
    </i>
    <i t="grand">
      <x/>
    </i>
  </colItems>
  <dataFields count="1">
    <dataField name="Scenario" fld="2" subtotal="count" baseField="0" baseItem="0"/>
  </dataFields>
  <formats count="139">
    <format dxfId="146">
      <pivotArea type="all" dataOnly="0" outline="0" fieldPosition="0"/>
    </format>
    <format dxfId="145">
      <pivotArea outline="0" collapsedLevelsAreSubtotals="1" fieldPosition="0"/>
    </format>
    <format dxfId="144">
      <pivotArea type="origin" dataOnly="0" labelOnly="1" outline="0" fieldPosition="0"/>
    </format>
    <format dxfId="143">
      <pivotArea field="4" type="button" dataOnly="0" labelOnly="1" outline="0" axis="axisCol" fieldPosition="0"/>
    </format>
    <format dxfId="142">
      <pivotArea type="topRight" dataOnly="0" labelOnly="1" outline="0" fieldPosition="0"/>
    </format>
    <format dxfId="141">
      <pivotArea field="0" type="button" dataOnly="0" labelOnly="1" outline="0" axis="axisRow" fieldPosition="0"/>
    </format>
    <format dxfId="140">
      <pivotArea dataOnly="0" labelOnly="1" fieldPosition="0">
        <references count="1">
          <reference field="0" count="3">
            <x v="1"/>
            <x v="2"/>
            <x v="3"/>
          </reference>
        </references>
      </pivotArea>
    </format>
    <format dxfId="139">
      <pivotArea dataOnly="0" labelOnly="1" grandRow="1" outline="0" fieldPosition="0"/>
    </format>
    <format dxfId="138">
      <pivotArea dataOnly="0" labelOnly="1" fieldPosition="0">
        <references count="2">
          <reference field="0" count="1" selected="0">
            <x v="1"/>
          </reference>
          <reference field="2" count="0"/>
        </references>
      </pivotArea>
    </format>
    <format dxfId="137">
      <pivotArea dataOnly="0" labelOnly="1" fieldPosition="0">
        <references count="2">
          <reference field="0" count="1" selected="0">
            <x v="2"/>
          </reference>
          <reference field="2" count="0"/>
        </references>
      </pivotArea>
    </format>
    <format dxfId="136">
      <pivotArea dataOnly="0" labelOnly="1" fieldPosition="0">
        <references count="2">
          <reference field="0" count="1" selected="0">
            <x v="3"/>
          </reference>
          <reference field="2" count="1">
            <x v="0"/>
          </reference>
        </references>
      </pivotArea>
    </format>
    <format dxfId="135">
      <pivotArea dataOnly="0" labelOnly="1" fieldPosition="0">
        <references count="3">
          <reference field="0" count="1" selected="0">
            <x v="1"/>
          </reference>
          <reference field="2" count="1" selected="0">
            <x v="0"/>
          </reference>
          <reference field="3" count="2">
            <x v="0"/>
            <x v="1"/>
          </reference>
        </references>
      </pivotArea>
    </format>
    <format dxfId="134">
      <pivotArea dataOnly="0" labelOnly="1" fieldPosition="0">
        <references count="3">
          <reference field="0" count="1" selected="0">
            <x v="1"/>
          </reference>
          <reference field="2" count="1" selected="0">
            <x v="1"/>
          </reference>
          <reference field="3" count="1">
            <x v="1"/>
          </reference>
        </references>
      </pivotArea>
    </format>
    <format dxfId="133">
      <pivotArea dataOnly="0" labelOnly="1" fieldPosition="0">
        <references count="3">
          <reference field="0" count="1" selected="0">
            <x v="2"/>
          </reference>
          <reference field="2" count="1" selected="0">
            <x v="0"/>
          </reference>
          <reference field="3" count="2">
            <x v="0"/>
            <x v="2"/>
          </reference>
        </references>
      </pivotArea>
    </format>
    <format dxfId="132">
      <pivotArea dataOnly="0" labelOnly="1" fieldPosition="0">
        <references count="3">
          <reference field="0" count="1" selected="0">
            <x v="2"/>
          </reference>
          <reference field="2" count="1" selected="0">
            <x v="1"/>
          </reference>
          <reference field="3" count="3">
            <x v="0"/>
            <x v="1"/>
            <x v="2"/>
          </reference>
        </references>
      </pivotArea>
    </format>
    <format dxfId="131">
      <pivotArea dataOnly="0" labelOnly="1" fieldPosition="0">
        <references count="3">
          <reference field="0" count="1" selected="0">
            <x v="3"/>
          </reference>
          <reference field="2" count="1" selected="0">
            <x v="0"/>
          </reference>
          <reference field="3" count="2">
            <x v="0"/>
            <x v="1"/>
          </reference>
        </references>
      </pivotArea>
    </format>
    <format dxfId="130">
      <pivotArea dataOnly="0" labelOnly="1" fieldPosition="0">
        <references count="1">
          <reference field="4" count="4">
            <x v="0"/>
            <x v="1"/>
            <x v="2"/>
            <x v="3"/>
          </reference>
        </references>
      </pivotArea>
    </format>
    <format dxfId="129">
      <pivotArea dataOnly="0" labelOnly="1" grandCol="1" outline="0" fieldPosition="0"/>
    </format>
    <format dxfId="128">
      <pivotArea type="all" dataOnly="0" outline="0" fieldPosition="0"/>
    </format>
    <format dxfId="127">
      <pivotArea outline="0" collapsedLevelsAreSubtotals="1" fieldPosition="0"/>
    </format>
    <format dxfId="126">
      <pivotArea type="origin" dataOnly="0" labelOnly="1" outline="0" fieldPosition="0"/>
    </format>
    <format dxfId="125">
      <pivotArea field="4" type="button" dataOnly="0" labelOnly="1" outline="0" axis="axisCol" fieldPosition="0"/>
    </format>
    <format dxfId="124">
      <pivotArea type="topRight" dataOnly="0" labelOnly="1" outline="0" fieldPosition="0"/>
    </format>
    <format dxfId="123">
      <pivotArea field="0" type="button" dataOnly="0" labelOnly="1" outline="0" axis="axisRow" fieldPosition="0"/>
    </format>
    <format dxfId="122">
      <pivotArea dataOnly="0" labelOnly="1" fieldPosition="0">
        <references count="1">
          <reference field="0" count="3">
            <x v="1"/>
            <x v="2"/>
            <x v="3"/>
          </reference>
        </references>
      </pivotArea>
    </format>
    <format dxfId="121">
      <pivotArea dataOnly="0" labelOnly="1" grandRow="1" outline="0" fieldPosition="0"/>
    </format>
    <format dxfId="120">
      <pivotArea dataOnly="0" labelOnly="1" fieldPosition="0">
        <references count="2">
          <reference field="0" count="1" selected="0">
            <x v="1"/>
          </reference>
          <reference field="2" count="0"/>
        </references>
      </pivotArea>
    </format>
    <format dxfId="119">
      <pivotArea dataOnly="0" labelOnly="1" fieldPosition="0">
        <references count="2">
          <reference field="0" count="1" selected="0">
            <x v="2"/>
          </reference>
          <reference field="2" count="0"/>
        </references>
      </pivotArea>
    </format>
    <format dxfId="118">
      <pivotArea dataOnly="0" labelOnly="1" fieldPosition="0">
        <references count="2">
          <reference field="0" count="1" selected="0">
            <x v="3"/>
          </reference>
          <reference field="2" count="1">
            <x v="0"/>
          </reference>
        </references>
      </pivotArea>
    </format>
    <format dxfId="117">
      <pivotArea dataOnly="0" labelOnly="1" fieldPosition="0">
        <references count="3">
          <reference field="0" count="1" selected="0">
            <x v="1"/>
          </reference>
          <reference field="2" count="1" selected="0">
            <x v="0"/>
          </reference>
          <reference field="3" count="2">
            <x v="0"/>
            <x v="1"/>
          </reference>
        </references>
      </pivotArea>
    </format>
    <format dxfId="116">
      <pivotArea dataOnly="0" labelOnly="1" fieldPosition="0">
        <references count="3">
          <reference field="0" count="1" selected="0">
            <x v="1"/>
          </reference>
          <reference field="2" count="1" selected="0">
            <x v="1"/>
          </reference>
          <reference field="3" count="1">
            <x v="1"/>
          </reference>
        </references>
      </pivotArea>
    </format>
    <format dxfId="115">
      <pivotArea dataOnly="0" labelOnly="1" fieldPosition="0">
        <references count="3">
          <reference field="0" count="1" selected="0">
            <x v="2"/>
          </reference>
          <reference field="2" count="1" selected="0">
            <x v="0"/>
          </reference>
          <reference field="3" count="2">
            <x v="0"/>
            <x v="2"/>
          </reference>
        </references>
      </pivotArea>
    </format>
    <format dxfId="114">
      <pivotArea dataOnly="0" labelOnly="1" fieldPosition="0">
        <references count="3">
          <reference field="0" count="1" selected="0">
            <x v="2"/>
          </reference>
          <reference field="2" count="1" selected="0">
            <x v="1"/>
          </reference>
          <reference field="3" count="3">
            <x v="0"/>
            <x v="1"/>
            <x v="2"/>
          </reference>
        </references>
      </pivotArea>
    </format>
    <format dxfId="113">
      <pivotArea dataOnly="0" labelOnly="1" fieldPosition="0">
        <references count="3">
          <reference field="0" count="1" selected="0">
            <x v="3"/>
          </reference>
          <reference field="2" count="1" selected="0">
            <x v="0"/>
          </reference>
          <reference field="3" count="2">
            <x v="0"/>
            <x v="1"/>
          </reference>
        </references>
      </pivotArea>
    </format>
    <format dxfId="112">
      <pivotArea dataOnly="0" labelOnly="1" fieldPosition="0">
        <references count="1">
          <reference field="4" count="4">
            <x v="0"/>
            <x v="1"/>
            <x v="2"/>
            <x v="3"/>
          </reference>
        </references>
      </pivotArea>
    </format>
    <format dxfId="111">
      <pivotArea dataOnly="0" labelOnly="1" grandCol="1" outline="0" fieldPosition="0"/>
    </format>
    <format dxfId="110">
      <pivotArea dataOnly="0" fieldPosition="0">
        <references count="1">
          <reference field="0" count="1">
            <x v="1"/>
          </reference>
        </references>
      </pivotArea>
    </format>
    <format dxfId="109">
      <pivotArea dataOnly="0" fieldPosition="0">
        <references count="1">
          <reference field="0" count="1">
            <x v="1"/>
          </reference>
        </references>
      </pivotArea>
    </format>
    <format dxfId="108">
      <pivotArea collapsedLevelsAreSubtotals="1" fieldPosition="0">
        <references count="1">
          <reference field="0" count="1">
            <x v="2"/>
          </reference>
        </references>
      </pivotArea>
    </format>
    <format dxfId="107">
      <pivotArea dataOnly="0" labelOnly="1" fieldPosition="0">
        <references count="1">
          <reference field="0" count="1">
            <x v="2"/>
          </reference>
        </references>
      </pivotArea>
    </format>
    <format dxfId="106">
      <pivotArea collapsedLevelsAreSubtotals="1" fieldPosition="0">
        <references count="1">
          <reference field="0" count="1">
            <x v="2"/>
          </reference>
        </references>
      </pivotArea>
    </format>
    <format dxfId="105">
      <pivotArea dataOnly="0" labelOnly="1" fieldPosition="0">
        <references count="1">
          <reference field="0" count="1">
            <x v="2"/>
          </reference>
        </references>
      </pivotArea>
    </format>
    <format dxfId="104">
      <pivotArea dataOnly="0" fieldPosition="0">
        <references count="1">
          <reference field="0" count="1">
            <x v="3"/>
          </reference>
        </references>
      </pivotArea>
    </format>
    <format dxfId="103">
      <pivotArea dataOnly="0" fieldPosition="0">
        <references count="1">
          <reference field="0" count="1">
            <x v="3"/>
          </reference>
        </references>
      </pivotArea>
    </format>
    <format dxfId="102">
      <pivotArea collapsedLevelsAreSubtotals="1" fieldPosition="0">
        <references count="3">
          <reference field="0" count="1" selected="0">
            <x v="1"/>
          </reference>
          <reference field="2" count="1" selected="0">
            <x v="0"/>
          </reference>
          <reference field="3" count="2">
            <x v="0"/>
            <x v="1"/>
          </reference>
        </references>
      </pivotArea>
    </format>
    <format dxfId="101">
      <pivotArea collapsedLevelsAreSubtotals="1" fieldPosition="0">
        <references count="2">
          <reference field="0" count="1" selected="0">
            <x v="1"/>
          </reference>
          <reference field="2" count="1">
            <x v="1"/>
          </reference>
        </references>
      </pivotArea>
    </format>
    <format dxfId="100">
      <pivotArea collapsedLevelsAreSubtotals="1" fieldPosition="0">
        <references count="3">
          <reference field="0" count="1" selected="0">
            <x v="1"/>
          </reference>
          <reference field="2" count="1" selected="0">
            <x v="1"/>
          </reference>
          <reference field="3" count="1">
            <x v="1"/>
          </reference>
        </references>
      </pivotArea>
    </format>
    <format dxfId="99">
      <pivotArea dataOnly="0" labelOnly="1" fieldPosition="0">
        <references count="2">
          <reference field="0" count="1" selected="0">
            <x v="1"/>
          </reference>
          <reference field="2" count="0"/>
        </references>
      </pivotArea>
    </format>
    <format dxfId="98">
      <pivotArea dataOnly="0" labelOnly="1" fieldPosition="0">
        <references count="3">
          <reference field="0" count="1" selected="0">
            <x v="1"/>
          </reference>
          <reference field="2" count="1" selected="0">
            <x v="0"/>
          </reference>
          <reference field="3" count="2">
            <x v="0"/>
            <x v="1"/>
          </reference>
        </references>
      </pivotArea>
    </format>
    <format dxfId="97">
      <pivotArea dataOnly="0" labelOnly="1" fieldPosition="0">
        <references count="3">
          <reference field="0" count="1" selected="0">
            <x v="1"/>
          </reference>
          <reference field="2" count="1" selected="0">
            <x v="1"/>
          </reference>
          <reference field="3" count="1">
            <x v="1"/>
          </reference>
        </references>
      </pivotArea>
    </format>
    <format dxfId="96">
      <pivotArea collapsedLevelsAreSubtotals="1" fieldPosition="0">
        <references count="1">
          <reference field="0" count="1">
            <x v="1"/>
          </reference>
        </references>
      </pivotArea>
    </format>
    <format dxfId="95">
      <pivotArea dataOnly="0" labelOnly="1" fieldPosition="0">
        <references count="1">
          <reference field="0" count="1">
            <x v="1"/>
          </reference>
        </references>
      </pivotArea>
    </format>
    <format dxfId="94">
      <pivotArea dataOnly="0" fieldPosition="0">
        <references count="1">
          <reference field="0" count="1">
            <x v="2"/>
          </reference>
        </references>
      </pivotArea>
    </format>
    <format dxfId="93">
      <pivotArea dataOnly="0" fieldPosition="0">
        <references count="1">
          <reference field="2" count="1">
            <x v="0"/>
          </reference>
        </references>
      </pivotArea>
    </format>
    <format dxfId="92">
      <pivotArea dataOnly="0" fieldPosition="0">
        <references count="1">
          <reference field="3" count="1">
            <x v="0"/>
          </reference>
        </references>
      </pivotArea>
    </format>
    <format dxfId="91">
      <pivotArea dataOnly="0" fieldPosition="0">
        <references count="1">
          <reference field="3" count="1">
            <x v="2"/>
          </reference>
        </references>
      </pivotArea>
    </format>
    <format dxfId="90">
      <pivotArea dataOnly="0" fieldPosition="0">
        <references count="1">
          <reference field="2" count="1">
            <x v="1"/>
          </reference>
        </references>
      </pivotArea>
    </format>
    <format dxfId="89">
      <pivotArea dataOnly="0" fieldPosition="0">
        <references count="1">
          <reference field="3" count="1">
            <x v="1"/>
          </reference>
        </references>
      </pivotArea>
    </format>
    <format dxfId="88">
      <pivotArea dataOnly="0" labelOnly="1" grandRow="1" outline="0" fieldPosition="0"/>
    </format>
    <format dxfId="87">
      <pivotArea grandRow="1" outline="0" collapsedLevelsAreSubtotals="1" fieldPosition="0"/>
    </format>
    <format dxfId="86">
      <pivotArea dataOnly="0" labelOnly="1" grandRow="1" outline="0" fieldPosition="0"/>
    </format>
    <format dxfId="85">
      <pivotArea collapsedLevelsAreSubtotals="1" fieldPosition="0">
        <references count="2">
          <reference field="0" count="1" selected="0">
            <x v="1"/>
          </reference>
          <reference field="2" count="1">
            <x v="0"/>
          </reference>
        </references>
      </pivotArea>
    </format>
    <format dxfId="84">
      <pivotArea dataOnly="0" labelOnly="1" fieldPosition="0">
        <references count="2">
          <reference field="0" count="1" selected="0">
            <x v="1"/>
          </reference>
          <reference field="2" count="1">
            <x v="0"/>
          </reference>
        </references>
      </pivotArea>
    </format>
    <format dxfId="83">
      <pivotArea collapsedLevelsAreSubtotals="1" fieldPosition="0">
        <references count="2">
          <reference field="0" count="1" selected="0">
            <x v="1"/>
          </reference>
          <reference field="2" count="1">
            <x v="1"/>
          </reference>
        </references>
      </pivotArea>
    </format>
    <format dxfId="82">
      <pivotArea dataOnly="0" labelOnly="1" fieldPosition="0">
        <references count="2">
          <reference field="0" count="1" selected="0">
            <x v="1"/>
          </reference>
          <reference field="2" count="1">
            <x v="1"/>
          </reference>
        </references>
      </pivotArea>
    </format>
    <format dxfId="81">
      <pivotArea collapsedLevelsAreSubtotals="1" fieldPosition="0">
        <references count="2">
          <reference field="0" count="1" selected="0">
            <x v="2"/>
          </reference>
          <reference field="2" count="1">
            <x v="0"/>
          </reference>
        </references>
      </pivotArea>
    </format>
    <format dxfId="80">
      <pivotArea dataOnly="0" labelOnly="1" fieldPosition="0">
        <references count="2">
          <reference field="0" count="1" selected="0">
            <x v="2"/>
          </reference>
          <reference field="2" count="1">
            <x v="0"/>
          </reference>
        </references>
      </pivotArea>
    </format>
    <format dxfId="79">
      <pivotArea dataOnly="0" fieldPosition="0">
        <references count="1">
          <reference field="2" count="1">
            <x v="1"/>
          </reference>
        </references>
      </pivotArea>
    </format>
    <format dxfId="78">
      <pivotArea collapsedLevelsAreSubtotals="1" fieldPosition="0">
        <references count="2">
          <reference field="0" count="1" selected="0">
            <x v="3"/>
          </reference>
          <reference field="2" count="1">
            <x v="0"/>
          </reference>
        </references>
      </pivotArea>
    </format>
    <format dxfId="77">
      <pivotArea dataOnly="0" labelOnly="1" fieldPosition="0">
        <references count="2">
          <reference field="0" count="1" selected="0">
            <x v="3"/>
          </reference>
          <reference field="2" count="1">
            <x v="0"/>
          </reference>
        </references>
      </pivotArea>
    </format>
    <format dxfId="76">
      <pivotArea field="0" type="button" dataOnly="0" labelOnly="1" outline="0" axis="axisRow" fieldPosition="0"/>
    </format>
    <format dxfId="75">
      <pivotArea dataOnly="0" labelOnly="1" fieldPosition="0">
        <references count="1">
          <reference field="4" count="4">
            <x v="0"/>
            <x v="1"/>
            <x v="2"/>
            <x v="3"/>
          </reference>
        </references>
      </pivotArea>
    </format>
    <format dxfId="74">
      <pivotArea dataOnly="0" labelOnly="1" grandCol="1" outline="0" fieldPosition="0"/>
    </format>
    <format dxfId="73">
      <pivotArea dataOnly="0" labelOnly="1" fieldPosition="0">
        <references count="1">
          <reference field="0" count="3">
            <x v="1"/>
            <x v="2"/>
            <x v="3"/>
          </reference>
        </references>
      </pivotArea>
    </format>
    <format dxfId="72">
      <pivotArea collapsedLevelsAreSubtotals="1" fieldPosition="0">
        <references count="1">
          <reference field="0" count="1">
            <x v="5"/>
          </reference>
        </references>
      </pivotArea>
    </format>
    <format dxfId="71">
      <pivotArea collapsedLevelsAreSubtotals="1" fieldPosition="0">
        <references count="2">
          <reference field="0" count="1" selected="0">
            <x v="5"/>
          </reference>
          <reference field="2" count="1">
            <x v="0"/>
          </reference>
        </references>
      </pivotArea>
    </format>
    <format dxfId="70">
      <pivotArea collapsedLevelsAreSubtotals="1" fieldPosition="0">
        <references count="3">
          <reference field="0" count="1" selected="0">
            <x v="5"/>
          </reference>
          <reference field="2" count="1" selected="0">
            <x v="0"/>
          </reference>
          <reference field="3" count="2">
            <x v="0"/>
            <x v="1"/>
          </reference>
        </references>
      </pivotArea>
    </format>
    <format dxfId="69">
      <pivotArea collapsedLevelsAreSubtotals="1" fieldPosition="0">
        <references count="2">
          <reference field="0" count="1" selected="0">
            <x v="5"/>
          </reference>
          <reference field="2" count="1">
            <x v="1"/>
          </reference>
        </references>
      </pivotArea>
    </format>
    <format dxfId="68">
      <pivotArea collapsedLevelsAreSubtotals="1" fieldPosition="0">
        <references count="3">
          <reference field="0" count="1" selected="0">
            <x v="5"/>
          </reference>
          <reference field="2" count="1" selected="0">
            <x v="1"/>
          </reference>
          <reference field="3" count="1">
            <x v="1"/>
          </reference>
        </references>
      </pivotArea>
    </format>
    <format dxfId="67">
      <pivotArea grandRow="1" outline="0" collapsedLevelsAreSubtotals="1" fieldPosition="0"/>
    </format>
    <format dxfId="66">
      <pivotArea dataOnly="0" labelOnly="1" fieldPosition="0">
        <references count="1">
          <reference field="0" count="1">
            <x v="5"/>
          </reference>
        </references>
      </pivotArea>
    </format>
    <format dxfId="65">
      <pivotArea dataOnly="0" labelOnly="1" fieldPosition="0">
        <references count="1">
          <reference field="0" count="4">
            <x v="1"/>
            <x v="2"/>
            <x v="3"/>
            <x v="5"/>
          </reference>
        </references>
      </pivotArea>
    </format>
    <format dxfId="64">
      <pivotArea collapsedLevelsAreSubtotals="1" fieldPosition="0">
        <references count="1">
          <reference field="0" count="1">
            <x v="5"/>
          </reference>
        </references>
      </pivotArea>
    </format>
    <format dxfId="63">
      <pivotArea dataOnly="0" labelOnly="1" fieldPosition="0">
        <references count="1">
          <reference field="0" count="1">
            <x v="5"/>
          </reference>
        </references>
      </pivotArea>
    </format>
    <format dxfId="62">
      <pivotArea collapsedLevelsAreSubtotals="1" fieldPosition="0">
        <references count="1">
          <reference field="0" count="1">
            <x v="5"/>
          </reference>
        </references>
      </pivotArea>
    </format>
    <format dxfId="61">
      <pivotArea dataOnly="0" labelOnly="1" fieldPosition="0">
        <references count="1">
          <reference field="0" count="1">
            <x v="5"/>
          </reference>
        </references>
      </pivotArea>
    </format>
    <format dxfId="60">
      <pivotArea type="all" dataOnly="0" outline="0" fieldPosition="0"/>
    </format>
    <format dxfId="59">
      <pivotArea outline="0" collapsedLevelsAreSubtotals="1" fieldPosition="0"/>
    </format>
    <format dxfId="58">
      <pivotArea type="origin" dataOnly="0" labelOnly="1" outline="0" fieldPosition="0"/>
    </format>
    <format dxfId="57">
      <pivotArea field="4" type="button" dataOnly="0" labelOnly="1" outline="0" axis="axisCol" fieldPosition="0"/>
    </format>
    <format dxfId="56">
      <pivotArea type="topRight" dataOnly="0" labelOnly="1" outline="0" fieldPosition="0"/>
    </format>
    <format dxfId="55">
      <pivotArea field="0" type="button" dataOnly="0" labelOnly="1" outline="0" axis="axisRow" fieldPosition="0"/>
    </format>
    <format dxfId="54">
      <pivotArea dataOnly="0" labelOnly="1" fieldPosition="0">
        <references count="1">
          <reference field="0" count="4">
            <x v="1"/>
            <x v="2"/>
            <x v="3"/>
            <x v="5"/>
          </reference>
        </references>
      </pivotArea>
    </format>
    <format dxfId="53">
      <pivotArea dataOnly="0" labelOnly="1" grandRow="1" outline="0" fieldPosition="0"/>
    </format>
    <format dxfId="52">
      <pivotArea dataOnly="0" labelOnly="1" fieldPosition="0">
        <references count="2">
          <reference field="0" count="1" selected="0">
            <x v="1"/>
          </reference>
          <reference field="2" count="0"/>
        </references>
      </pivotArea>
    </format>
    <format dxfId="51">
      <pivotArea dataOnly="0" labelOnly="1" fieldPosition="0">
        <references count="2">
          <reference field="0" count="1" selected="0">
            <x v="2"/>
          </reference>
          <reference field="2" count="0"/>
        </references>
      </pivotArea>
    </format>
    <format dxfId="50">
      <pivotArea dataOnly="0" labelOnly="1" fieldPosition="0">
        <references count="2">
          <reference field="0" count="1" selected="0">
            <x v="3"/>
          </reference>
          <reference field="2" count="1">
            <x v="0"/>
          </reference>
        </references>
      </pivotArea>
    </format>
    <format dxfId="49">
      <pivotArea dataOnly="0" labelOnly="1" fieldPosition="0">
        <references count="2">
          <reference field="0" count="1" selected="0">
            <x v="5"/>
          </reference>
          <reference field="2" count="0"/>
        </references>
      </pivotArea>
    </format>
    <format dxfId="48">
      <pivotArea dataOnly="0" labelOnly="1" fieldPosition="0">
        <references count="3">
          <reference field="0" count="1" selected="0">
            <x v="1"/>
          </reference>
          <reference field="2" count="1" selected="0">
            <x v="0"/>
          </reference>
          <reference field="3" count="2">
            <x v="0"/>
            <x v="1"/>
          </reference>
        </references>
      </pivotArea>
    </format>
    <format dxfId="47">
      <pivotArea dataOnly="0" labelOnly="1" fieldPosition="0">
        <references count="3">
          <reference field="0" count="1" selected="0">
            <x v="1"/>
          </reference>
          <reference field="2" count="1" selected="0">
            <x v="1"/>
          </reference>
          <reference field="3" count="1">
            <x v="1"/>
          </reference>
        </references>
      </pivotArea>
    </format>
    <format dxfId="46">
      <pivotArea dataOnly="0" labelOnly="1" fieldPosition="0">
        <references count="3">
          <reference field="0" count="1" selected="0">
            <x v="2"/>
          </reference>
          <reference field="2" count="1" selected="0">
            <x v="0"/>
          </reference>
          <reference field="3" count="2">
            <x v="0"/>
            <x v="2"/>
          </reference>
        </references>
      </pivotArea>
    </format>
    <format dxfId="45">
      <pivotArea dataOnly="0" labelOnly="1" fieldPosition="0">
        <references count="3">
          <reference field="0" count="1" selected="0">
            <x v="2"/>
          </reference>
          <reference field="2" count="1" selected="0">
            <x v="1"/>
          </reference>
          <reference field="3" count="3">
            <x v="0"/>
            <x v="1"/>
            <x v="2"/>
          </reference>
        </references>
      </pivotArea>
    </format>
    <format dxfId="44">
      <pivotArea dataOnly="0" labelOnly="1" fieldPosition="0">
        <references count="3">
          <reference field="0" count="1" selected="0">
            <x v="3"/>
          </reference>
          <reference field="2" count="1" selected="0">
            <x v="0"/>
          </reference>
          <reference field="3" count="2">
            <x v="0"/>
            <x v="1"/>
          </reference>
        </references>
      </pivotArea>
    </format>
    <format dxfId="43">
      <pivotArea dataOnly="0" labelOnly="1" fieldPosition="0">
        <references count="3">
          <reference field="0" count="1" selected="0">
            <x v="5"/>
          </reference>
          <reference field="2" count="1" selected="0">
            <x v="0"/>
          </reference>
          <reference field="3" count="2">
            <x v="0"/>
            <x v="1"/>
          </reference>
        </references>
      </pivotArea>
    </format>
    <format dxfId="42">
      <pivotArea dataOnly="0" labelOnly="1" fieldPosition="0">
        <references count="3">
          <reference field="0" count="1" selected="0">
            <x v="5"/>
          </reference>
          <reference field="2" count="1" selected="0">
            <x v="1"/>
          </reference>
          <reference field="3" count="1">
            <x v="1"/>
          </reference>
        </references>
      </pivotArea>
    </format>
    <format dxfId="41">
      <pivotArea dataOnly="0" labelOnly="1" fieldPosition="0">
        <references count="1">
          <reference field="4" count="4">
            <x v="0"/>
            <x v="1"/>
            <x v="2"/>
            <x v="5"/>
          </reference>
        </references>
      </pivotArea>
    </format>
    <format dxfId="40">
      <pivotArea dataOnly="0" labelOnly="1" grandCol="1" outline="0" fieldPosition="0"/>
    </format>
    <format dxfId="39">
      <pivotArea collapsedLevelsAreSubtotals="1" fieldPosition="0">
        <references count="1">
          <reference field="0" count="1">
            <x v="6"/>
          </reference>
        </references>
      </pivotArea>
    </format>
    <format dxfId="38">
      <pivotArea dataOnly="0" labelOnly="1" fieldPosition="0">
        <references count="1">
          <reference field="0" count="1">
            <x v="6"/>
          </reference>
        </references>
      </pivotArea>
    </format>
    <format dxfId="37">
      <pivotArea collapsedLevelsAreSubtotals="1" fieldPosition="0">
        <references count="1">
          <reference field="0" count="1">
            <x v="6"/>
          </reference>
        </references>
      </pivotArea>
    </format>
    <format dxfId="36">
      <pivotArea dataOnly="0" labelOnly="1" fieldPosition="0">
        <references count="1">
          <reference field="0" count="1">
            <x v="6"/>
          </reference>
        </references>
      </pivotArea>
    </format>
    <format dxfId="35">
      <pivotArea collapsedLevelsAreSubtotals="1" fieldPosition="0">
        <references count="1">
          <reference field="0" count="1">
            <x v="6"/>
          </reference>
        </references>
      </pivotArea>
    </format>
    <format dxfId="34">
      <pivotArea dataOnly="0" labelOnly="1" fieldPosition="0">
        <references count="1">
          <reference field="0" count="1">
            <x v="6"/>
          </reference>
        </references>
      </pivotArea>
    </format>
    <format dxfId="33">
      <pivotArea collapsedLevelsAreSubtotals="1" fieldPosition="0">
        <references count="1">
          <reference field="0" count="1">
            <x v="8"/>
          </reference>
        </references>
      </pivotArea>
    </format>
    <format dxfId="32">
      <pivotArea dataOnly="0" labelOnly="1" fieldPosition="0">
        <references count="1">
          <reference field="0" count="1">
            <x v="8"/>
          </reference>
        </references>
      </pivotArea>
    </format>
    <format dxfId="31">
      <pivotArea collapsedLevelsAreSubtotals="1" fieldPosition="0">
        <references count="1">
          <reference field="0" count="1">
            <x v="8"/>
          </reference>
        </references>
      </pivotArea>
    </format>
    <format dxfId="30">
      <pivotArea dataOnly="0" labelOnly="1" fieldPosition="0">
        <references count="1">
          <reference field="0" count="1">
            <x v="8"/>
          </reference>
        </references>
      </pivotArea>
    </format>
    <format dxfId="29">
      <pivotArea collapsedLevelsAreSubtotals="1" fieldPosition="0">
        <references count="2">
          <reference field="0" count="1" selected="0">
            <x v="5"/>
          </reference>
          <reference field="2" count="1">
            <x v="0"/>
          </reference>
        </references>
      </pivotArea>
    </format>
    <format dxfId="28">
      <pivotArea dataOnly="0" labelOnly="1" fieldPosition="0">
        <references count="2">
          <reference field="0" count="1" selected="0">
            <x v="5"/>
          </reference>
          <reference field="2" count="1">
            <x v="0"/>
          </reference>
        </references>
      </pivotArea>
    </format>
    <format dxfId="27">
      <pivotArea collapsedLevelsAreSubtotals="1" fieldPosition="0">
        <references count="2">
          <reference field="0" count="1" selected="0">
            <x v="6"/>
          </reference>
          <reference field="2" count="1">
            <x v="0"/>
          </reference>
        </references>
      </pivotArea>
    </format>
    <format dxfId="26">
      <pivotArea dataOnly="0" labelOnly="1" fieldPosition="0">
        <references count="2">
          <reference field="0" count="1" selected="0">
            <x v="6"/>
          </reference>
          <reference field="2" count="1">
            <x v="0"/>
          </reference>
        </references>
      </pivotArea>
    </format>
    <format dxfId="25">
      <pivotArea collapsedLevelsAreSubtotals="1" fieldPosition="0">
        <references count="2">
          <reference field="0" count="1" selected="0">
            <x v="8"/>
          </reference>
          <reference field="2" count="1">
            <x v="0"/>
          </reference>
        </references>
      </pivotArea>
    </format>
    <format dxfId="24">
      <pivotArea dataOnly="0" labelOnly="1" fieldPosition="0">
        <references count="2">
          <reference field="0" count="1" selected="0">
            <x v="8"/>
          </reference>
          <reference field="2" count="1">
            <x v="0"/>
          </reference>
        </references>
      </pivotArea>
    </format>
    <format dxfId="23">
      <pivotArea collapsedLevelsAreSubtotals="1" fieldPosition="0">
        <references count="1">
          <reference field="0" count="1">
            <x v="9"/>
          </reference>
        </references>
      </pivotArea>
    </format>
    <format dxfId="22">
      <pivotArea dataOnly="0" labelOnly="1" fieldPosition="0">
        <references count="1">
          <reference field="0" count="1">
            <x v="9"/>
          </reference>
        </references>
      </pivotArea>
    </format>
    <format dxfId="21">
      <pivotArea collapsedLevelsAreSubtotals="1" fieldPosition="0">
        <references count="1">
          <reference field="0" count="1">
            <x v="9"/>
          </reference>
        </references>
      </pivotArea>
    </format>
    <format dxfId="20">
      <pivotArea dataOnly="0" labelOnly="1" fieldPosition="0">
        <references count="1">
          <reference field="0" count="1">
            <x v="9"/>
          </reference>
        </references>
      </pivotArea>
    </format>
    <format dxfId="19">
      <pivotArea collapsedLevelsAreSubtotals="1" fieldPosition="0">
        <references count="1">
          <reference field="0" count="1">
            <x v="10"/>
          </reference>
        </references>
      </pivotArea>
    </format>
    <format dxfId="18">
      <pivotArea dataOnly="0" labelOnly="1" fieldPosition="0">
        <references count="1">
          <reference field="0" count="1">
            <x v="10"/>
          </reference>
        </references>
      </pivotArea>
    </format>
    <format dxfId="17">
      <pivotArea collapsedLevelsAreSubtotals="1" fieldPosition="0">
        <references count="1">
          <reference field="0" count="1">
            <x v="10"/>
          </reference>
        </references>
      </pivotArea>
    </format>
    <format dxfId="16">
      <pivotArea dataOnly="0" labelOnly="1" fieldPosition="0">
        <references count="1">
          <reference field="0" count="1">
            <x v="10"/>
          </reference>
        </references>
      </pivotArea>
    </format>
    <format dxfId="15">
      <pivotArea collapsedLevelsAreSubtotals="1" fieldPosition="0">
        <references count="1">
          <reference field="0" count="1">
            <x v="11"/>
          </reference>
        </references>
      </pivotArea>
    </format>
    <format dxfId="14">
      <pivotArea dataOnly="0" labelOnly="1" fieldPosition="0">
        <references count="1">
          <reference field="0" count="1">
            <x v="11"/>
          </reference>
        </references>
      </pivotArea>
    </format>
    <format dxfId="13">
      <pivotArea collapsedLevelsAreSubtotals="1" fieldPosition="0">
        <references count="1">
          <reference field="0" count="1">
            <x v="11"/>
          </reference>
        </references>
      </pivotArea>
    </format>
    <format dxfId="12">
      <pivotArea dataOnly="0" labelOnly="1" fieldPosition="0">
        <references count="1">
          <reference field="0" count="1">
            <x v="11"/>
          </reference>
        </references>
      </pivotArea>
    </format>
    <format dxfId="11">
      <pivotArea collapsedLevelsAreSubtotals="1" fieldPosition="0">
        <references count="1">
          <reference field="0" count="1">
            <x v="12"/>
          </reference>
        </references>
      </pivotArea>
    </format>
    <format dxfId="10">
      <pivotArea dataOnly="0" labelOnly="1" fieldPosition="0">
        <references count="1">
          <reference field="0" count="1">
            <x v="12"/>
          </reference>
        </references>
      </pivotArea>
    </format>
    <format dxfId="9">
      <pivotArea collapsedLevelsAreSubtotals="1" fieldPosition="0">
        <references count="1">
          <reference field="0" count="1">
            <x v="12"/>
          </reference>
        </references>
      </pivotArea>
    </format>
    <format dxfId="8">
      <pivotArea dataOnly="0" labelOnly="1" fieldPosition="0">
        <references count="1">
          <reference field="0"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C45823-1731-4352-9CF5-CFDD901B5007}"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6" firstHeaderRow="1" firstDataRow="1" firstDataCol="1"/>
  <pivotFields count="7">
    <pivotField showAll="0">
      <items count="14">
        <item m="1" x="12"/>
        <item x="0"/>
        <item x="1"/>
        <item x="2"/>
        <item x="3"/>
        <item x="9"/>
        <item x="4"/>
        <item m="1" x="11"/>
        <item x="5"/>
        <item x="6"/>
        <item x="7"/>
        <item m="1" x="10"/>
        <item x="8"/>
        <item t="default"/>
      </items>
    </pivotField>
    <pivotField showAll="0"/>
    <pivotField showAll="0"/>
    <pivotField showAll="0"/>
    <pivotField axis="axisRow" dataField="1" showAll="0">
      <items count="7">
        <item m="1" x="3"/>
        <item x="1"/>
        <item x="0"/>
        <item m="1" x="5"/>
        <item m="1" x="4"/>
        <item h="1"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3">
    <i>
      <x v="1"/>
    </i>
    <i>
      <x v="2"/>
    </i>
    <i t="grand">
      <x/>
    </i>
  </rowItems>
  <colItems count="1">
    <i/>
  </colItems>
  <dataFields count="1">
    <dataField name="Count of Status" fld="4" subtotal="count" baseField="0" baseItem="0"/>
  </dataFields>
  <formats count="12">
    <format dxfId="158">
      <pivotArea type="all" dataOnly="0" outline="0" fieldPosition="0"/>
    </format>
    <format dxfId="157">
      <pivotArea outline="0" collapsedLevelsAreSubtotals="1" fieldPosition="0"/>
    </format>
    <format dxfId="156">
      <pivotArea field="4" type="button" dataOnly="0" labelOnly="1" outline="0" axis="axisRow" fieldPosition="0"/>
    </format>
    <format dxfId="155">
      <pivotArea dataOnly="0" labelOnly="1" fieldPosition="0">
        <references count="1">
          <reference field="4" count="0"/>
        </references>
      </pivotArea>
    </format>
    <format dxfId="154">
      <pivotArea dataOnly="0" labelOnly="1" grandRow="1" outline="0" fieldPosition="0"/>
    </format>
    <format dxfId="153">
      <pivotArea dataOnly="0" labelOnly="1" outline="0" axis="axisValues" fieldPosition="0"/>
    </format>
    <format dxfId="152">
      <pivotArea type="all" dataOnly="0" outline="0" fieldPosition="0"/>
    </format>
    <format dxfId="151">
      <pivotArea outline="0" collapsedLevelsAreSubtotals="1" fieldPosition="0"/>
    </format>
    <format dxfId="150">
      <pivotArea field="4" type="button" dataOnly="0" labelOnly="1" outline="0" axis="axisRow" fieldPosition="0"/>
    </format>
    <format dxfId="149">
      <pivotArea dataOnly="0" labelOnly="1" fieldPosition="0">
        <references count="1">
          <reference field="4" count="0"/>
        </references>
      </pivotArea>
    </format>
    <format dxfId="148">
      <pivotArea dataOnly="0" labelOnly="1" grandRow="1" outline="0" fieldPosition="0"/>
    </format>
    <format dxfId="1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A7AB12-C340-49A2-8427-7B942DB16CD0}"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7" firstHeaderRow="1" firstDataRow="1" firstDataCol="1"/>
  <pivotFields count="4">
    <pivotField showAll="0"/>
    <pivotField showAll="0"/>
    <pivotField showAll="0"/>
    <pivotField axis="axisRow" dataField="1" showAll="0">
      <items count="6">
        <item x="0"/>
        <item x="1"/>
        <item x="2"/>
        <item h="1" x="3"/>
        <item m="1" x="4"/>
        <item t="default"/>
      </items>
    </pivotField>
  </pivotFields>
  <rowFields count="1">
    <field x="3"/>
  </rowFields>
  <rowItems count="4">
    <i>
      <x/>
    </i>
    <i>
      <x v="1"/>
    </i>
    <i>
      <x v="2"/>
    </i>
    <i t="grand">
      <x/>
    </i>
  </rowItems>
  <colItems count="1">
    <i/>
  </colItems>
  <dataFields count="1">
    <dataField name="Count of Bug Type" fld="3" subtotal="count" baseField="0" baseItem="0"/>
  </dataFields>
  <formats count="12">
    <format dxfId="170">
      <pivotArea type="all" dataOnly="0" outline="0" fieldPosition="0"/>
    </format>
    <format dxfId="169">
      <pivotArea outline="0" collapsedLevelsAreSubtotals="1" fieldPosition="0"/>
    </format>
    <format dxfId="168">
      <pivotArea field="3" type="button" dataOnly="0" labelOnly="1" outline="0" axis="axisRow" fieldPosition="0"/>
    </format>
    <format dxfId="167">
      <pivotArea dataOnly="0" labelOnly="1" fieldPosition="0">
        <references count="1">
          <reference field="3" count="0"/>
        </references>
      </pivotArea>
    </format>
    <format dxfId="166">
      <pivotArea dataOnly="0" labelOnly="1" grandRow="1" outline="0" fieldPosition="0"/>
    </format>
    <format dxfId="165">
      <pivotArea dataOnly="0" labelOnly="1" outline="0" axis="axisValues" fieldPosition="0"/>
    </format>
    <format dxfId="164">
      <pivotArea type="all" dataOnly="0" outline="0" fieldPosition="0"/>
    </format>
    <format dxfId="163">
      <pivotArea outline="0" collapsedLevelsAreSubtotals="1" fieldPosition="0"/>
    </format>
    <format dxfId="162">
      <pivotArea field="3" type="button" dataOnly="0" labelOnly="1" outline="0" axis="axisRow" fieldPosition="0"/>
    </format>
    <format dxfId="161">
      <pivotArea dataOnly="0" labelOnly="1" fieldPosition="0">
        <references count="1">
          <reference field="3" count="0"/>
        </references>
      </pivotArea>
    </format>
    <format dxfId="160">
      <pivotArea dataOnly="0" labelOnly="1" grandRow="1" outline="0" fieldPosition="0"/>
    </format>
    <format dxfId="1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N59"/>
  <sheetViews>
    <sheetView topLeftCell="C1" zoomScaleNormal="100" workbookViewId="0">
      <pane ySplit="1" topLeftCell="A45" activePane="bottomLeft" state="frozen"/>
      <selection activeCell="E2" sqref="A2:F1048576"/>
      <selection pane="bottomLeft" activeCell="L59" sqref="L59"/>
    </sheetView>
  </sheetViews>
  <sheetFormatPr defaultColWidth="9.140625" defaultRowHeight="15" x14ac:dyDescent="0.25"/>
  <cols>
    <col min="1" max="1" width="3.28515625" style="55" bestFit="1" customWidth="1"/>
    <col min="2" max="2" width="10.7109375" style="55" customWidth="1"/>
    <col min="3" max="3" width="10.7109375" style="4" customWidth="1"/>
    <col min="4" max="4" width="13.5703125" style="4" bestFit="1" customWidth="1"/>
    <col min="5" max="5" width="14.28515625" style="4" bestFit="1" customWidth="1"/>
    <col min="6" max="6" width="13.28515625" style="4" bestFit="1" customWidth="1"/>
    <col min="7" max="7" width="16.28515625" style="4" bestFit="1" customWidth="1"/>
    <col min="8" max="8" width="20.7109375" style="3" customWidth="1"/>
    <col min="9" max="10" width="60.7109375" style="4" customWidth="1"/>
    <col min="11" max="11" width="10.7109375" style="5" customWidth="1"/>
    <col min="12" max="12" width="13.42578125" style="4" customWidth="1"/>
    <col min="13" max="14" width="50.7109375" style="3" customWidth="1"/>
    <col min="15" max="16384" width="9.140625" style="4"/>
  </cols>
  <sheetData>
    <row r="1" spans="1:14" s="1" customFormat="1" ht="30" x14ac:dyDescent="0.25">
      <c r="A1" s="12" t="s">
        <v>0</v>
      </c>
      <c r="B1" s="52" t="s">
        <v>1</v>
      </c>
      <c r="C1" s="13" t="s">
        <v>2</v>
      </c>
      <c r="D1" s="13" t="s">
        <v>3</v>
      </c>
      <c r="E1" s="12" t="s">
        <v>4</v>
      </c>
      <c r="F1" s="13" t="s">
        <v>5</v>
      </c>
      <c r="G1" s="13" t="s">
        <v>6</v>
      </c>
      <c r="H1" s="12" t="s">
        <v>7</v>
      </c>
      <c r="I1" s="12" t="s">
        <v>8</v>
      </c>
      <c r="J1" s="12" t="s">
        <v>9</v>
      </c>
      <c r="K1" s="13" t="s">
        <v>10</v>
      </c>
      <c r="L1" s="13" t="s">
        <v>11</v>
      </c>
      <c r="M1" s="12" t="s">
        <v>12</v>
      </c>
      <c r="N1" s="14" t="s">
        <v>13</v>
      </c>
    </row>
    <row r="2" spans="1:14" ht="105" x14ac:dyDescent="0.25">
      <c r="A2" s="27">
        <v>1</v>
      </c>
      <c r="B2" s="28">
        <v>45933</v>
      </c>
      <c r="C2" s="29" t="s">
        <v>14</v>
      </c>
      <c r="D2" s="30" t="s">
        <v>15</v>
      </c>
      <c r="E2" s="30" t="s">
        <v>16</v>
      </c>
      <c r="F2" s="30" t="s">
        <v>17</v>
      </c>
      <c r="G2" s="30" t="s">
        <v>18</v>
      </c>
      <c r="H2" s="30" t="s">
        <v>19</v>
      </c>
      <c r="I2" s="30" t="s">
        <v>20</v>
      </c>
      <c r="J2" s="30" t="s">
        <v>21</v>
      </c>
      <c r="K2" s="31">
        <v>45985</v>
      </c>
      <c r="L2" s="30" t="s">
        <v>22</v>
      </c>
      <c r="M2" s="15" t="s">
        <v>23</v>
      </c>
      <c r="N2" s="32"/>
    </row>
    <row r="3" spans="1:14" ht="30" x14ac:dyDescent="0.25">
      <c r="A3" s="33">
        <v>2</v>
      </c>
      <c r="B3" s="28">
        <v>45933</v>
      </c>
      <c r="C3" s="28"/>
      <c r="D3" s="34" t="s">
        <v>15</v>
      </c>
      <c r="E3" s="34" t="s">
        <v>24</v>
      </c>
      <c r="F3" s="30" t="s">
        <v>17</v>
      </c>
      <c r="G3" s="34" t="s">
        <v>18</v>
      </c>
      <c r="H3" s="34" t="s">
        <v>25</v>
      </c>
      <c r="I3" s="16" t="s">
        <v>26</v>
      </c>
      <c r="J3" s="34" t="s">
        <v>27</v>
      </c>
      <c r="K3" s="31">
        <v>45951</v>
      </c>
      <c r="L3" s="30" t="s">
        <v>22</v>
      </c>
      <c r="M3" s="17" t="s">
        <v>28</v>
      </c>
      <c r="N3" s="35"/>
    </row>
    <row r="4" spans="1:14" ht="120" x14ac:dyDescent="0.25">
      <c r="A4" s="27">
        <v>3</v>
      </c>
      <c r="B4" s="28">
        <v>45933</v>
      </c>
      <c r="C4" s="28"/>
      <c r="D4" s="30" t="s">
        <v>15</v>
      </c>
      <c r="E4" s="30" t="s">
        <v>16</v>
      </c>
      <c r="F4" s="30" t="s">
        <v>17</v>
      </c>
      <c r="G4" s="30" t="s">
        <v>29</v>
      </c>
      <c r="H4" s="30" t="s">
        <v>30</v>
      </c>
      <c r="I4" s="30" t="s">
        <v>31</v>
      </c>
      <c r="J4" s="30" t="s">
        <v>32</v>
      </c>
      <c r="K4" s="31">
        <v>45951</v>
      </c>
      <c r="L4" s="30" t="s">
        <v>22</v>
      </c>
      <c r="M4" s="15" t="s">
        <v>33</v>
      </c>
      <c r="N4" s="35"/>
    </row>
    <row r="5" spans="1:14" ht="60" x14ac:dyDescent="0.25">
      <c r="A5" s="27">
        <v>4</v>
      </c>
      <c r="B5" s="28">
        <v>45933</v>
      </c>
      <c r="C5" s="28"/>
      <c r="D5" s="30" t="s">
        <v>15</v>
      </c>
      <c r="E5" s="30" t="s">
        <v>16</v>
      </c>
      <c r="F5" s="30" t="s">
        <v>17</v>
      </c>
      <c r="G5" s="30" t="s">
        <v>29</v>
      </c>
      <c r="H5" s="30" t="s">
        <v>34</v>
      </c>
      <c r="I5" s="30" t="s">
        <v>35</v>
      </c>
      <c r="J5" s="30" t="s">
        <v>36</v>
      </c>
      <c r="K5" s="31">
        <v>45951</v>
      </c>
      <c r="L5" s="30" t="s">
        <v>22</v>
      </c>
      <c r="M5" s="15" t="s">
        <v>37</v>
      </c>
      <c r="N5" s="35"/>
    </row>
    <row r="6" spans="1:14" ht="30" x14ac:dyDescent="0.25">
      <c r="A6" s="27">
        <v>5</v>
      </c>
      <c r="B6" s="28">
        <v>45933</v>
      </c>
      <c r="C6" s="28"/>
      <c r="D6" s="30" t="s">
        <v>15</v>
      </c>
      <c r="E6" s="30" t="s">
        <v>24</v>
      </c>
      <c r="F6" s="30" t="s">
        <v>17</v>
      </c>
      <c r="G6" s="30" t="s">
        <v>29</v>
      </c>
      <c r="H6" s="30" t="s">
        <v>38</v>
      </c>
      <c r="I6" s="30" t="s">
        <v>39</v>
      </c>
      <c r="J6" s="30" t="s">
        <v>40</v>
      </c>
      <c r="K6" s="31">
        <v>45951</v>
      </c>
      <c r="L6" s="30" t="s">
        <v>22</v>
      </c>
      <c r="M6" s="15" t="s">
        <v>41</v>
      </c>
      <c r="N6" s="35"/>
    </row>
    <row r="7" spans="1:14" s="2" customFormat="1" ht="45" x14ac:dyDescent="0.25">
      <c r="A7" s="27">
        <v>6</v>
      </c>
      <c r="B7" s="28">
        <v>45933</v>
      </c>
      <c r="C7" s="28"/>
      <c r="D7" s="30" t="s">
        <v>15</v>
      </c>
      <c r="E7" s="30" t="s">
        <v>16</v>
      </c>
      <c r="F7" s="30" t="s">
        <v>17</v>
      </c>
      <c r="G7" s="30" t="s">
        <v>29</v>
      </c>
      <c r="H7" s="30" t="s">
        <v>42</v>
      </c>
      <c r="I7" s="18" t="s">
        <v>43</v>
      </c>
      <c r="J7" s="30" t="s">
        <v>44</v>
      </c>
      <c r="K7" s="29">
        <v>45951</v>
      </c>
      <c r="L7" s="30" t="s">
        <v>22</v>
      </c>
      <c r="M7" s="19" t="s">
        <v>45</v>
      </c>
      <c r="N7" s="30"/>
    </row>
    <row r="8" spans="1:14" s="2" customFormat="1" x14ac:dyDescent="0.25">
      <c r="A8" s="27">
        <v>7</v>
      </c>
      <c r="B8" s="28">
        <v>45933</v>
      </c>
      <c r="C8" s="28"/>
      <c r="D8" s="30" t="s">
        <v>15</v>
      </c>
      <c r="E8" s="30" t="s">
        <v>16</v>
      </c>
      <c r="F8" s="30" t="s">
        <v>17</v>
      </c>
      <c r="G8" s="30" t="s">
        <v>29</v>
      </c>
      <c r="H8" s="30" t="s">
        <v>46</v>
      </c>
      <c r="I8" s="18" t="s">
        <v>47</v>
      </c>
      <c r="J8" s="30" t="s">
        <v>48</v>
      </c>
      <c r="K8" s="29">
        <v>45951</v>
      </c>
      <c r="L8" s="30" t="s">
        <v>22</v>
      </c>
      <c r="M8" s="19" t="s">
        <v>49</v>
      </c>
      <c r="N8" s="30"/>
    </row>
    <row r="9" spans="1:14" ht="45" x14ac:dyDescent="0.25">
      <c r="A9" s="27">
        <v>8</v>
      </c>
      <c r="B9" s="28">
        <v>45933</v>
      </c>
      <c r="C9" s="28"/>
      <c r="D9" s="30" t="s">
        <v>15</v>
      </c>
      <c r="E9" s="30" t="s">
        <v>24</v>
      </c>
      <c r="F9" s="30" t="s">
        <v>17</v>
      </c>
      <c r="G9" s="18" t="s">
        <v>50</v>
      </c>
      <c r="H9" s="30" t="s">
        <v>51</v>
      </c>
      <c r="I9" s="18" t="s">
        <v>52</v>
      </c>
      <c r="J9" s="18" t="s">
        <v>53</v>
      </c>
      <c r="K9" s="20">
        <v>45951</v>
      </c>
      <c r="L9" s="30" t="s">
        <v>22</v>
      </c>
      <c r="M9" s="15" t="s">
        <v>54</v>
      </c>
      <c r="N9" s="35"/>
    </row>
    <row r="10" spans="1:14" ht="30" x14ac:dyDescent="0.25">
      <c r="A10" s="27">
        <v>9</v>
      </c>
      <c r="B10" s="28">
        <v>45933</v>
      </c>
      <c r="C10" s="28"/>
      <c r="D10" s="30" t="s">
        <v>15</v>
      </c>
      <c r="E10" s="30" t="s">
        <v>24</v>
      </c>
      <c r="F10" s="30" t="s">
        <v>17</v>
      </c>
      <c r="G10" s="18" t="s">
        <v>50</v>
      </c>
      <c r="H10" s="18" t="s">
        <v>55</v>
      </c>
      <c r="I10" s="18" t="s">
        <v>56</v>
      </c>
      <c r="J10" s="18" t="s">
        <v>57</v>
      </c>
      <c r="K10" s="20">
        <v>45951</v>
      </c>
      <c r="L10" s="30" t="s">
        <v>22</v>
      </c>
      <c r="M10" s="15" t="s">
        <v>58</v>
      </c>
      <c r="N10" s="35"/>
    </row>
    <row r="11" spans="1:14" ht="105" x14ac:dyDescent="0.25">
      <c r="A11" s="27">
        <v>10</v>
      </c>
      <c r="B11" s="28">
        <v>45933</v>
      </c>
      <c r="C11" s="28"/>
      <c r="D11" s="30" t="s">
        <v>15</v>
      </c>
      <c r="E11" s="30" t="s">
        <v>16</v>
      </c>
      <c r="F11" s="30" t="s">
        <v>17</v>
      </c>
      <c r="G11" s="18" t="s">
        <v>59</v>
      </c>
      <c r="H11" s="18" t="s">
        <v>60</v>
      </c>
      <c r="I11" s="18" t="s">
        <v>61</v>
      </c>
      <c r="J11" s="18" t="s">
        <v>62</v>
      </c>
      <c r="K11" s="20">
        <v>45951</v>
      </c>
      <c r="L11" s="30" t="s">
        <v>22</v>
      </c>
      <c r="M11" s="15" t="s">
        <v>63</v>
      </c>
      <c r="N11" s="35"/>
    </row>
    <row r="12" spans="1:14" ht="30" x14ac:dyDescent="0.25">
      <c r="A12" s="27">
        <v>11</v>
      </c>
      <c r="B12" s="28">
        <v>45933</v>
      </c>
      <c r="C12" s="28"/>
      <c r="D12" s="30" t="s">
        <v>15</v>
      </c>
      <c r="E12" s="30" t="s">
        <v>24</v>
      </c>
      <c r="F12" s="30" t="s">
        <v>17</v>
      </c>
      <c r="G12" s="18" t="s">
        <v>59</v>
      </c>
      <c r="H12" s="18" t="s">
        <v>64</v>
      </c>
      <c r="I12" s="18" t="s">
        <v>65</v>
      </c>
      <c r="J12" s="18" t="s">
        <v>66</v>
      </c>
      <c r="K12" s="20">
        <v>45951</v>
      </c>
      <c r="L12" s="30" t="s">
        <v>22</v>
      </c>
      <c r="M12" s="15" t="s">
        <v>67</v>
      </c>
      <c r="N12" s="35"/>
    </row>
    <row r="13" spans="1:14" ht="45" x14ac:dyDescent="0.25">
      <c r="A13" s="27">
        <v>12</v>
      </c>
      <c r="B13" s="28">
        <v>45933</v>
      </c>
      <c r="C13" s="28"/>
      <c r="D13" s="18" t="s">
        <v>15</v>
      </c>
      <c r="E13" s="30" t="s">
        <v>24</v>
      </c>
      <c r="F13" s="30" t="s">
        <v>17</v>
      </c>
      <c r="G13" s="18" t="s">
        <v>68</v>
      </c>
      <c r="H13" s="30" t="s">
        <v>69</v>
      </c>
      <c r="I13" s="18" t="s">
        <v>70</v>
      </c>
      <c r="J13" s="18" t="s">
        <v>71</v>
      </c>
      <c r="K13" s="20">
        <v>45951</v>
      </c>
      <c r="L13" s="30" t="s">
        <v>22</v>
      </c>
      <c r="M13" s="15" t="s">
        <v>41</v>
      </c>
      <c r="N13" s="35"/>
    </row>
    <row r="14" spans="1:14" ht="30" x14ac:dyDescent="0.25">
      <c r="A14" s="27">
        <v>13</v>
      </c>
      <c r="B14" s="28">
        <v>45933</v>
      </c>
      <c r="C14" s="28"/>
      <c r="D14" s="30" t="s">
        <v>15</v>
      </c>
      <c r="E14" s="30" t="s">
        <v>24</v>
      </c>
      <c r="F14" s="30" t="s">
        <v>17</v>
      </c>
      <c r="G14" s="30" t="s">
        <v>72</v>
      </c>
      <c r="H14" s="30" t="s">
        <v>73</v>
      </c>
      <c r="I14" s="18" t="s">
        <v>74</v>
      </c>
      <c r="J14" s="30" t="s">
        <v>75</v>
      </c>
      <c r="K14" s="29">
        <v>45951</v>
      </c>
      <c r="L14" s="30" t="s">
        <v>22</v>
      </c>
      <c r="M14" s="15" t="s">
        <v>76</v>
      </c>
      <c r="N14" s="35"/>
    </row>
    <row r="15" spans="1:14" ht="105" x14ac:dyDescent="0.25">
      <c r="A15" s="27">
        <v>14</v>
      </c>
      <c r="B15" s="28">
        <v>45933</v>
      </c>
      <c r="C15" s="29" t="s">
        <v>14</v>
      </c>
      <c r="D15" s="30" t="s">
        <v>15</v>
      </c>
      <c r="E15" s="30" t="s">
        <v>16</v>
      </c>
      <c r="F15" s="30" t="s">
        <v>77</v>
      </c>
      <c r="G15" s="30" t="s">
        <v>78</v>
      </c>
      <c r="H15" s="30" t="s">
        <v>79</v>
      </c>
      <c r="I15" s="18" t="s">
        <v>80</v>
      </c>
      <c r="J15" s="30" t="s">
        <v>81</v>
      </c>
      <c r="K15" s="29">
        <v>45979</v>
      </c>
      <c r="L15" s="30" t="s">
        <v>82</v>
      </c>
      <c r="M15" s="15" t="s">
        <v>83</v>
      </c>
      <c r="N15" s="32"/>
    </row>
    <row r="16" spans="1:14" ht="30" x14ac:dyDescent="0.25">
      <c r="A16" s="27">
        <v>15</v>
      </c>
      <c r="B16" s="28">
        <v>45933</v>
      </c>
      <c r="C16" s="28"/>
      <c r="D16" s="30" t="s">
        <v>84</v>
      </c>
      <c r="E16" s="30" t="s">
        <v>24</v>
      </c>
      <c r="F16" s="30" t="s">
        <v>17</v>
      </c>
      <c r="G16" s="30" t="s">
        <v>85</v>
      </c>
      <c r="H16" s="30" t="s">
        <v>86</v>
      </c>
      <c r="I16" s="18" t="s">
        <v>87</v>
      </c>
      <c r="J16" s="30" t="s">
        <v>88</v>
      </c>
      <c r="K16" s="29">
        <v>45951</v>
      </c>
      <c r="L16" s="30" t="s">
        <v>22</v>
      </c>
      <c r="M16" s="15" t="s">
        <v>89</v>
      </c>
      <c r="N16" s="35"/>
    </row>
    <row r="17" spans="1:14" ht="30" x14ac:dyDescent="0.25">
      <c r="A17" s="27">
        <v>16</v>
      </c>
      <c r="B17" s="28">
        <v>45933</v>
      </c>
      <c r="C17" s="28"/>
      <c r="D17" s="30" t="s">
        <v>84</v>
      </c>
      <c r="E17" s="30" t="s">
        <v>24</v>
      </c>
      <c r="F17" s="30" t="s">
        <v>17</v>
      </c>
      <c r="G17" s="30" t="s">
        <v>90</v>
      </c>
      <c r="H17" s="30" t="s">
        <v>91</v>
      </c>
      <c r="I17" s="18" t="s">
        <v>92</v>
      </c>
      <c r="J17" s="35" t="s">
        <v>93</v>
      </c>
      <c r="K17" s="28">
        <v>45951</v>
      </c>
      <c r="L17" s="30" t="s">
        <v>22</v>
      </c>
      <c r="M17" s="15" t="s">
        <v>94</v>
      </c>
      <c r="N17" s="35"/>
    </row>
    <row r="18" spans="1:14" ht="45" x14ac:dyDescent="0.25">
      <c r="A18" s="27">
        <v>17</v>
      </c>
      <c r="B18" s="28">
        <v>45933</v>
      </c>
      <c r="C18" s="28"/>
      <c r="D18" s="30" t="s">
        <v>84</v>
      </c>
      <c r="E18" s="30" t="s">
        <v>24</v>
      </c>
      <c r="F18" s="30" t="s">
        <v>77</v>
      </c>
      <c r="G18" s="30" t="s">
        <v>29</v>
      </c>
      <c r="H18" s="30" t="s">
        <v>95</v>
      </c>
      <c r="I18" s="18" t="s">
        <v>96</v>
      </c>
      <c r="J18" s="35" t="s">
        <v>97</v>
      </c>
      <c r="K18" s="28">
        <v>45951</v>
      </c>
      <c r="L18" s="30" t="s">
        <v>82</v>
      </c>
      <c r="M18" s="15" t="s">
        <v>98</v>
      </c>
      <c r="N18" s="35"/>
    </row>
    <row r="19" spans="1:14" x14ac:dyDescent="0.25">
      <c r="A19" s="27">
        <v>18</v>
      </c>
      <c r="B19" s="28">
        <v>45933</v>
      </c>
      <c r="C19" s="28"/>
      <c r="D19" s="30" t="s">
        <v>84</v>
      </c>
      <c r="E19" s="30" t="s">
        <v>24</v>
      </c>
      <c r="F19" s="30" t="s">
        <v>17</v>
      </c>
      <c r="G19" s="30" t="s">
        <v>29</v>
      </c>
      <c r="H19" s="30" t="s">
        <v>99</v>
      </c>
      <c r="I19" s="18" t="s">
        <v>100</v>
      </c>
      <c r="J19" s="35" t="s">
        <v>101</v>
      </c>
      <c r="K19" s="28">
        <v>45951</v>
      </c>
      <c r="L19" s="30" t="s">
        <v>22</v>
      </c>
      <c r="M19" s="15" t="s">
        <v>41</v>
      </c>
      <c r="N19" s="35"/>
    </row>
    <row r="20" spans="1:14" ht="90" x14ac:dyDescent="0.25">
      <c r="A20" s="36">
        <v>19</v>
      </c>
      <c r="B20" s="28">
        <v>45933</v>
      </c>
      <c r="C20" s="29" t="s">
        <v>14</v>
      </c>
      <c r="D20" s="35" t="s">
        <v>15</v>
      </c>
      <c r="E20" s="30" t="s">
        <v>16</v>
      </c>
      <c r="F20" s="30" t="s">
        <v>17</v>
      </c>
      <c r="G20" s="35" t="s">
        <v>18</v>
      </c>
      <c r="H20" s="32" t="s">
        <v>102</v>
      </c>
      <c r="I20" s="32" t="s">
        <v>103</v>
      </c>
      <c r="J20" s="35" t="s">
        <v>104</v>
      </c>
      <c r="K20" s="28">
        <v>45979</v>
      </c>
      <c r="L20" s="30" t="s">
        <v>82</v>
      </c>
      <c r="M20" s="32" t="s">
        <v>105</v>
      </c>
      <c r="N20" s="32" t="s">
        <v>106</v>
      </c>
    </row>
    <row r="21" spans="1:14" ht="90" x14ac:dyDescent="0.25">
      <c r="A21" s="36">
        <v>20</v>
      </c>
      <c r="B21" s="28">
        <v>45933</v>
      </c>
      <c r="C21" s="29" t="s">
        <v>14</v>
      </c>
      <c r="D21" s="35" t="s">
        <v>15</v>
      </c>
      <c r="E21" s="30" t="s">
        <v>16</v>
      </c>
      <c r="F21" s="30" t="s">
        <v>17</v>
      </c>
      <c r="G21" s="35" t="s">
        <v>18</v>
      </c>
      <c r="H21" s="32" t="s">
        <v>107</v>
      </c>
      <c r="I21" s="32" t="s">
        <v>108</v>
      </c>
      <c r="J21" s="35" t="s">
        <v>104</v>
      </c>
      <c r="K21" s="28">
        <v>45985</v>
      </c>
      <c r="L21" s="30" t="s">
        <v>22</v>
      </c>
      <c r="M21" s="15" t="s">
        <v>109</v>
      </c>
      <c r="N21" s="32" t="s">
        <v>110</v>
      </c>
    </row>
    <row r="22" spans="1:14" ht="105" x14ac:dyDescent="0.25">
      <c r="A22" s="36">
        <v>21</v>
      </c>
      <c r="B22" s="28">
        <v>45959</v>
      </c>
      <c r="C22" s="29" t="s">
        <v>14</v>
      </c>
      <c r="D22" s="35" t="s">
        <v>15</v>
      </c>
      <c r="E22" s="30" t="s">
        <v>16</v>
      </c>
      <c r="F22" s="30" t="s">
        <v>77</v>
      </c>
      <c r="G22" s="35" t="s">
        <v>18</v>
      </c>
      <c r="H22" s="32" t="s">
        <v>111</v>
      </c>
      <c r="I22" s="32" t="s">
        <v>112</v>
      </c>
      <c r="J22" s="35"/>
      <c r="K22" s="28"/>
      <c r="L22" s="30" t="s">
        <v>82</v>
      </c>
      <c r="M22" s="15" t="s">
        <v>113</v>
      </c>
      <c r="N22" s="32"/>
    </row>
    <row r="23" spans="1:14" ht="45" x14ac:dyDescent="0.25">
      <c r="A23" s="33">
        <v>22</v>
      </c>
      <c r="B23" s="28">
        <v>45959</v>
      </c>
      <c r="C23" s="29" t="s">
        <v>14</v>
      </c>
      <c r="D23" s="34" t="s">
        <v>84</v>
      </c>
      <c r="E23" s="34" t="s">
        <v>114</v>
      </c>
      <c r="F23" s="30" t="s">
        <v>17</v>
      </c>
      <c r="G23" s="34" t="s">
        <v>18</v>
      </c>
      <c r="H23" s="34" t="s">
        <v>25</v>
      </c>
      <c r="I23" s="16" t="s">
        <v>115</v>
      </c>
      <c r="J23" s="34" t="s">
        <v>116</v>
      </c>
      <c r="K23" s="28">
        <v>45979</v>
      </c>
      <c r="L23" s="30" t="s">
        <v>22</v>
      </c>
      <c r="M23" s="32" t="s">
        <v>117</v>
      </c>
      <c r="N23" s="32" t="s">
        <v>118</v>
      </c>
    </row>
    <row r="24" spans="1:14" ht="255" x14ac:dyDescent="0.25">
      <c r="A24" s="36">
        <v>23</v>
      </c>
      <c r="B24" s="28">
        <v>45959</v>
      </c>
      <c r="C24" s="29" t="s">
        <v>14</v>
      </c>
      <c r="D24" s="35" t="s">
        <v>84</v>
      </c>
      <c r="E24" s="30" t="s">
        <v>16</v>
      </c>
      <c r="F24" s="30" t="s">
        <v>17</v>
      </c>
      <c r="G24" s="35" t="s">
        <v>119</v>
      </c>
      <c r="H24" s="32" t="s">
        <v>120</v>
      </c>
      <c r="I24" s="35" t="s">
        <v>121</v>
      </c>
      <c r="J24" s="32" t="s">
        <v>122</v>
      </c>
      <c r="K24" s="28">
        <v>45995</v>
      </c>
      <c r="L24" s="30" t="s">
        <v>22</v>
      </c>
      <c r="M24" s="15" t="s">
        <v>123</v>
      </c>
      <c r="N24" s="21" t="s">
        <v>124</v>
      </c>
    </row>
    <row r="25" spans="1:14" ht="45" x14ac:dyDescent="0.25">
      <c r="A25" s="36">
        <v>24</v>
      </c>
      <c r="B25" s="28">
        <v>45959</v>
      </c>
      <c r="C25" s="29" t="s">
        <v>14</v>
      </c>
      <c r="D25" s="35" t="s">
        <v>15</v>
      </c>
      <c r="E25" s="30" t="s">
        <v>114</v>
      </c>
      <c r="F25" s="30" t="s">
        <v>17</v>
      </c>
      <c r="G25" s="35" t="s">
        <v>72</v>
      </c>
      <c r="H25" s="32" t="s">
        <v>125</v>
      </c>
      <c r="I25" s="32" t="s">
        <v>126</v>
      </c>
      <c r="J25" s="35" t="s">
        <v>127</v>
      </c>
      <c r="K25" s="28">
        <v>45995</v>
      </c>
      <c r="L25" s="30" t="s">
        <v>22</v>
      </c>
      <c r="M25" s="15" t="s">
        <v>128</v>
      </c>
      <c r="N25" s="37" t="s">
        <v>129</v>
      </c>
    </row>
    <row r="26" spans="1:14" ht="60" x14ac:dyDescent="0.25">
      <c r="A26" s="36">
        <v>25</v>
      </c>
      <c r="B26" s="28">
        <v>45959</v>
      </c>
      <c r="C26" s="29" t="s">
        <v>14</v>
      </c>
      <c r="D26" s="35" t="s">
        <v>15</v>
      </c>
      <c r="E26" s="30" t="s">
        <v>114</v>
      </c>
      <c r="F26" s="30" t="s">
        <v>17</v>
      </c>
      <c r="G26" s="35" t="s">
        <v>72</v>
      </c>
      <c r="H26" s="32" t="s">
        <v>130</v>
      </c>
      <c r="I26" s="35" t="s">
        <v>131</v>
      </c>
      <c r="J26" s="35" t="s">
        <v>132</v>
      </c>
      <c r="K26" s="28">
        <v>45995</v>
      </c>
      <c r="L26" s="30" t="s">
        <v>22</v>
      </c>
      <c r="M26" s="15" t="s">
        <v>133</v>
      </c>
      <c r="N26" s="32" t="s">
        <v>134</v>
      </c>
    </row>
    <row r="27" spans="1:14" ht="30" x14ac:dyDescent="0.25">
      <c r="A27" s="36">
        <v>26</v>
      </c>
      <c r="B27" s="28">
        <v>45959</v>
      </c>
      <c r="C27" s="29" t="s">
        <v>14</v>
      </c>
      <c r="D27" s="35" t="s">
        <v>15</v>
      </c>
      <c r="E27" s="30" t="s">
        <v>16</v>
      </c>
      <c r="F27" s="30" t="s">
        <v>17</v>
      </c>
      <c r="G27" s="35" t="s">
        <v>72</v>
      </c>
      <c r="H27" s="32" t="s">
        <v>135</v>
      </c>
      <c r="I27" s="32" t="s">
        <v>136</v>
      </c>
      <c r="J27" s="32" t="s">
        <v>137</v>
      </c>
      <c r="K27" s="28">
        <v>45979</v>
      </c>
      <c r="L27" s="30" t="s">
        <v>22</v>
      </c>
      <c r="M27" s="15" t="s">
        <v>138</v>
      </c>
      <c r="N27" s="32" t="s">
        <v>139</v>
      </c>
    </row>
    <row r="28" spans="1:14" ht="30" x14ac:dyDescent="0.25">
      <c r="A28" s="36">
        <v>27</v>
      </c>
      <c r="B28" s="28">
        <v>45959</v>
      </c>
      <c r="C28" s="29" t="s">
        <v>14</v>
      </c>
      <c r="D28" s="35" t="s">
        <v>15</v>
      </c>
      <c r="E28" s="30" t="s">
        <v>114</v>
      </c>
      <c r="F28" s="30" t="s">
        <v>17</v>
      </c>
      <c r="G28" s="35" t="s">
        <v>72</v>
      </c>
      <c r="H28" s="32" t="s">
        <v>140</v>
      </c>
      <c r="I28" s="32" t="s">
        <v>141</v>
      </c>
      <c r="J28" s="35" t="s">
        <v>142</v>
      </c>
      <c r="K28" s="28">
        <v>45979</v>
      </c>
      <c r="L28" s="30" t="s">
        <v>22</v>
      </c>
      <c r="M28" s="15" t="s">
        <v>143</v>
      </c>
      <c r="N28" s="32" t="s">
        <v>144</v>
      </c>
    </row>
    <row r="29" spans="1:14" ht="30" x14ac:dyDescent="0.25">
      <c r="A29" s="36">
        <v>28</v>
      </c>
      <c r="B29" s="28">
        <v>45959</v>
      </c>
      <c r="C29" s="29" t="s">
        <v>14</v>
      </c>
      <c r="D29" s="35" t="s">
        <v>84</v>
      </c>
      <c r="E29" s="30" t="s">
        <v>24</v>
      </c>
      <c r="F29" s="30" t="s">
        <v>17</v>
      </c>
      <c r="G29" s="35" t="s">
        <v>145</v>
      </c>
      <c r="H29" s="32" t="s">
        <v>146</v>
      </c>
      <c r="I29" s="32" t="s">
        <v>147</v>
      </c>
      <c r="J29" s="32" t="s">
        <v>148</v>
      </c>
      <c r="K29" s="28">
        <v>45979</v>
      </c>
      <c r="L29" s="30" t="s">
        <v>22</v>
      </c>
      <c r="M29" s="15" t="s">
        <v>149</v>
      </c>
      <c r="N29" s="32" t="s">
        <v>150</v>
      </c>
    </row>
    <row r="30" spans="1:14" ht="75" x14ac:dyDescent="0.25">
      <c r="A30" s="36">
        <v>29</v>
      </c>
      <c r="B30" s="28">
        <v>45959</v>
      </c>
      <c r="C30" s="29" t="s">
        <v>14</v>
      </c>
      <c r="D30" s="35" t="s">
        <v>15</v>
      </c>
      <c r="E30" s="30" t="s">
        <v>16</v>
      </c>
      <c r="F30" s="30" t="s">
        <v>17</v>
      </c>
      <c r="G30" s="35" t="s">
        <v>145</v>
      </c>
      <c r="H30" s="32" t="s">
        <v>151</v>
      </c>
      <c r="I30" s="32" t="s">
        <v>152</v>
      </c>
      <c r="J30" s="32" t="s">
        <v>153</v>
      </c>
      <c r="K30" s="28">
        <v>45979</v>
      </c>
      <c r="L30" s="30" t="s">
        <v>22</v>
      </c>
      <c r="M30" s="15" t="s">
        <v>138</v>
      </c>
      <c r="N30" s="32" t="s">
        <v>154</v>
      </c>
    </row>
    <row r="31" spans="1:14" ht="75" x14ac:dyDescent="0.25">
      <c r="A31" s="36">
        <v>30</v>
      </c>
      <c r="B31" s="28">
        <v>45959</v>
      </c>
      <c r="C31" s="29" t="s">
        <v>14</v>
      </c>
      <c r="D31" s="35" t="s">
        <v>15</v>
      </c>
      <c r="E31" s="30" t="s">
        <v>16</v>
      </c>
      <c r="F31" s="30" t="s">
        <v>17</v>
      </c>
      <c r="G31" s="35" t="s">
        <v>18</v>
      </c>
      <c r="H31" s="32" t="s">
        <v>155</v>
      </c>
      <c r="I31" s="32" t="s">
        <v>156</v>
      </c>
      <c r="J31" s="35" t="s">
        <v>157</v>
      </c>
      <c r="K31" s="28">
        <v>45979</v>
      </c>
      <c r="L31" s="30" t="s">
        <v>22</v>
      </c>
      <c r="M31" s="15" t="s">
        <v>158</v>
      </c>
      <c r="N31" s="32" t="s">
        <v>159</v>
      </c>
    </row>
    <row r="32" spans="1:14" ht="30" x14ac:dyDescent="0.25">
      <c r="A32" s="36">
        <v>31</v>
      </c>
      <c r="B32" s="28">
        <v>45959</v>
      </c>
      <c r="C32" s="29" t="s">
        <v>14</v>
      </c>
      <c r="D32" s="35" t="s">
        <v>15</v>
      </c>
      <c r="E32" s="30" t="s">
        <v>16</v>
      </c>
      <c r="F32" s="30" t="s">
        <v>17</v>
      </c>
      <c r="G32" s="35" t="s">
        <v>18</v>
      </c>
      <c r="H32" s="32" t="s">
        <v>160</v>
      </c>
      <c r="I32" s="35" t="s">
        <v>161</v>
      </c>
      <c r="J32" s="35"/>
      <c r="K32" s="28">
        <v>45979</v>
      </c>
      <c r="L32" s="30" t="s">
        <v>22</v>
      </c>
      <c r="M32" s="15" t="s">
        <v>162</v>
      </c>
      <c r="N32" s="32" t="s">
        <v>163</v>
      </c>
    </row>
    <row r="33" spans="1:14" ht="75" x14ac:dyDescent="0.25">
      <c r="A33" s="36">
        <v>32</v>
      </c>
      <c r="B33" s="28">
        <v>45979</v>
      </c>
      <c r="C33" s="29" t="s">
        <v>14</v>
      </c>
      <c r="D33" s="35" t="s">
        <v>15</v>
      </c>
      <c r="E33" s="30" t="s">
        <v>24</v>
      </c>
      <c r="F33" s="30" t="s">
        <v>17</v>
      </c>
      <c r="G33" s="35" t="s">
        <v>72</v>
      </c>
      <c r="H33" s="32" t="s">
        <v>164</v>
      </c>
      <c r="I33" s="32" t="s">
        <v>165</v>
      </c>
      <c r="J33" s="22" t="s">
        <v>166</v>
      </c>
      <c r="K33" s="28">
        <v>45995</v>
      </c>
      <c r="L33" s="30" t="s">
        <v>82</v>
      </c>
      <c r="M33" s="15" t="s">
        <v>167</v>
      </c>
      <c r="N33" s="32" t="s">
        <v>168</v>
      </c>
    </row>
    <row r="34" spans="1:14" ht="105" x14ac:dyDescent="0.25">
      <c r="A34" s="36">
        <v>33</v>
      </c>
      <c r="B34" s="28">
        <v>45979</v>
      </c>
      <c r="C34" s="29" t="s">
        <v>14</v>
      </c>
      <c r="D34" s="35" t="s">
        <v>15</v>
      </c>
      <c r="E34" s="30" t="s">
        <v>16</v>
      </c>
      <c r="F34" s="30" t="s">
        <v>17</v>
      </c>
      <c r="G34" s="35" t="s">
        <v>145</v>
      </c>
      <c r="H34" s="32" t="s">
        <v>169</v>
      </c>
      <c r="I34" s="32" t="s">
        <v>170</v>
      </c>
      <c r="J34" s="32" t="s">
        <v>171</v>
      </c>
      <c r="K34" s="28">
        <v>45995</v>
      </c>
      <c r="L34" s="30" t="s">
        <v>82</v>
      </c>
      <c r="M34" s="15" t="s">
        <v>172</v>
      </c>
      <c r="N34" s="32" t="s">
        <v>173</v>
      </c>
    </row>
    <row r="35" spans="1:14" ht="45" x14ac:dyDescent="0.25">
      <c r="A35" s="36">
        <v>34</v>
      </c>
      <c r="B35" s="28">
        <v>45979</v>
      </c>
      <c r="C35" s="29" t="s">
        <v>14</v>
      </c>
      <c r="D35" s="35" t="s">
        <v>15</v>
      </c>
      <c r="E35" s="30" t="s">
        <v>24</v>
      </c>
      <c r="F35" s="30" t="s">
        <v>17</v>
      </c>
      <c r="G35" s="35" t="s">
        <v>174</v>
      </c>
      <c r="H35" s="32" t="s">
        <v>175</v>
      </c>
      <c r="I35" s="32" t="s">
        <v>176</v>
      </c>
      <c r="J35" s="32" t="s">
        <v>177</v>
      </c>
      <c r="K35" s="28">
        <v>45995</v>
      </c>
      <c r="L35" s="30" t="s">
        <v>22</v>
      </c>
      <c r="M35" s="15" t="s">
        <v>178</v>
      </c>
      <c r="N35" s="32" t="s">
        <v>179</v>
      </c>
    </row>
    <row r="36" spans="1:14" ht="105" x14ac:dyDescent="0.25">
      <c r="A36" s="36">
        <v>35</v>
      </c>
      <c r="B36" s="28">
        <v>45995</v>
      </c>
      <c r="C36" s="29" t="s">
        <v>14</v>
      </c>
      <c r="D36" s="35" t="s">
        <v>15</v>
      </c>
      <c r="E36" s="30" t="s">
        <v>24</v>
      </c>
      <c r="F36" s="30" t="s">
        <v>17</v>
      </c>
      <c r="G36" s="35" t="s">
        <v>180</v>
      </c>
      <c r="H36" s="32" t="s">
        <v>181</v>
      </c>
      <c r="I36" s="32" t="s">
        <v>182</v>
      </c>
      <c r="J36" s="32" t="s">
        <v>183</v>
      </c>
      <c r="K36" s="28">
        <v>46013</v>
      </c>
      <c r="L36" s="30" t="s">
        <v>22</v>
      </c>
      <c r="M36" s="15" t="s">
        <v>184</v>
      </c>
      <c r="N36" s="32" t="s">
        <v>185</v>
      </c>
    </row>
    <row r="37" spans="1:14" ht="135" x14ac:dyDescent="0.25">
      <c r="A37" s="36">
        <v>36</v>
      </c>
      <c r="B37" s="28">
        <v>45995</v>
      </c>
      <c r="C37" s="29" t="s">
        <v>14</v>
      </c>
      <c r="D37" s="35" t="s">
        <v>15</v>
      </c>
      <c r="E37" s="30" t="s">
        <v>24</v>
      </c>
      <c r="F37" s="30" t="s">
        <v>77</v>
      </c>
      <c r="G37" s="35" t="s">
        <v>90</v>
      </c>
      <c r="H37" s="32" t="s">
        <v>186</v>
      </c>
      <c r="I37" s="32" t="s">
        <v>187</v>
      </c>
      <c r="J37" s="32" t="s">
        <v>188</v>
      </c>
      <c r="K37" s="28"/>
      <c r="L37" s="30" t="s">
        <v>82</v>
      </c>
      <c r="M37" s="32" t="s">
        <v>189</v>
      </c>
      <c r="N37" s="32"/>
    </row>
    <row r="38" spans="1:14" ht="30" x14ac:dyDescent="0.25">
      <c r="A38" s="36">
        <v>37</v>
      </c>
      <c r="B38" s="28">
        <v>45995</v>
      </c>
      <c r="C38" s="29" t="s">
        <v>14</v>
      </c>
      <c r="D38" s="35" t="s">
        <v>84</v>
      </c>
      <c r="E38" s="30" t="s">
        <v>24</v>
      </c>
      <c r="F38" s="30" t="s">
        <v>17</v>
      </c>
      <c r="G38" s="35" t="s">
        <v>119</v>
      </c>
      <c r="H38" s="32" t="s">
        <v>190</v>
      </c>
      <c r="I38" s="32" t="s">
        <v>191</v>
      </c>
      <c r="J38" s="32" t="s">
        <v>192</v>
      </c>
      <c r="K38" s="28">
        <v>46013</v>
      </c>
      <c r="L38" s="30" t="s">
        <v>22</v>
      </c>
      <c r="M38" s="15" t="s">
        <v>184</v>
      </c>
      <c r="N38" s="32" t="s">
        <v>193</v>
      </c>
    </row>
    <row r="39" spans="1:14" ht="45" x14ac:dyDescent="0.25">
      <c r="A39" s="36">
        <v>38</v>
      </c>
      <c r="B39" s="28">
        <v>45995</v>
      </c>
      <c r="C39" s="29" t="s">
        <v>14</v>
      </c>
      <c r="D39" s="35" t="s">
        <v>84</v>
      </c>
      <c r="E39" s="30" t="s">
        <v>24</v>
      </c>
      <c r="F39" s="30" t="s">
        <v>77</v>
      </c>
      <c r="G39" s="35" t="s">
        <v>90</v>
      </c>
      <c r="H39" s="32" t="s">
        <v>194</v>
      </c>
      <c r="I39" s="32" t="s">
        <v>195</v>
      </c>
      <c r="J39" s="32" t="s">
        <v>196</v>
      </c>
      <c r="K39" s="28"/>
      <c r="L39" s="30" t="s">
        <v>82</v>
      </c>
      <c r="M39" s="15" t="s">
        <v>197</v>
      </c>
      <c r="N39" s="32"/>
    </row>
    <row r="40" spans="1:14" ht="30" x14ac:dyDescent="0.25">
      <c r="A40" s="36">
        <v>39</v>
      </c>
      <c r="B40" s="28">
        <v>45995</v>
      </c>
      <c r="C40" s="29" t="s">
        <v>198</v>
      </c>
      <c r="D40" s="35" t="s">
        <v>15</v>
      </c>
      <c r="E40" s="30" t="s">
        <v>24</v>
      </c>
      <c r="F40" s="30" t="s">
        <v>17</v>
      </c>
      <c r="G40" s="35" t="s">
        <v>180</v>
      </c>
      <c r="H40" s="32" t="s">
        <v>145</v>
      </c>
      <c r="I40" s="32" t="s">
        <v>199</v>
      </c>
      <c r="J40" s="32" t="s">
        <v>200</v>
      </c>
      <c r="K40" s="28">
        <v>46013</v>
      </c>
      <c r="L40" s="30" t="s">
        <v>22</v>
      </c>
      <c r="M40" s="15" t="s">
        <v>201</v>
      </c>
      <c r="N40" s="32" t="s">
        <v>202</v>
      </c>
    </row>
    <row r="41" spans="1:14" ht="90" x14ac:dyDescent="0.25">
      <c r="A41" s="36">
        <v>40</v>
      </c>
      <c r="B41" s="28">
        <v>45995</v>
      </c>
      <c r="C41" s="29" t="s">
        <v>14</v>
      </c>
      <c r="D41" s="35" t="s">
        <v>15</v>
      </c>
      <c r="E41" s="30" t="s">
        <v>16</v>
      </c>
      <c r="F41" s="30" t="s">
        <v>17</v>
      </c>
      <c r="G41" s="35" t="s">
        <v>180</v>
      </c>
      <c r="H41" s="32" t="s">
        <v>203</v>
      </c>
      <c r="I41" s="32" t="s">
        <v>204</v>
      </c>
      <c r="J41" s="32" t="s">
        <v>205</v>
      </c>
      <c r="K41" s="28">
        <v>46013</v>
      </c>
      <c r="L41" s="30" t="s">
        <v>82</v>
      </c>
      <c r="M41" s="15" t="s">
        <v>206</v>
      </c>
      <c r="N41" s="32" t="s">
        <v>207</v>
      </c>
    </row>
    <row r="42" spans="1:14" ht="60" x14ac:dyDescent="0.25">
      <c r="A42" s="36">
        <v>41</v>
      </c>
      <c r="B42" s="28">
        <v>45995</v>
      </c>
      <c r="C42" s="29" t="s">
        <v>14</v>
      </c>
      <c r="D42" s="35" t="s">
        <v>84</v>
      </c>
      <c r="E42" s="30" t="s">
        <v>24</v>
      </c>
      <c r="F42" s="30" t="s">
        <v>77</v>
      </c>
      <c r="G42" s="35" t="s">
        <v>180</v>
      </c>
      <c r="H42" s="32" t="s">
        <v>208</v>
      </c>
      <c r="I42" s="32" t="s">
        <v>209</v>
      </c>
      <c r="J42" s="32"/>
      <c r="K42" s="28"/>
      <c r="L42" s="30" t="s">
        <v>82</v>
      </c>
      <c r="M42" s="15" t="s">
        <v>210</v>
      </c>
      <c r="N42" s="32"/>
    </row>
    <row r="43" spans="1:14" ht="75" x14ac:dyDescent="0.25">
      <c r="A43" s="36">
        <v>42</v>
      </c>
      <c r="B43" s="28">
        <v>45995</v>
      </c>
      <c r="C43" s="29" t="s">
        <v>198</v>
      </c>
      <c r="D43" s="35" t="s">
        <v>84</v>
      </c>
      <c r="E43" s="30" t="s">
        <v>16</v>
      </c>
      <c r="F43" s="30" t="s">
        <v>17</v>
      </c>
      <c r="G43" s="35" t="s">
        <v>180</v>
      </c>
      <c r="H43" s="32" t="s">
        <v>211</v>
      </c>
      <c r="I43" s="32" t="s">
        <v>212</v>
      </c>
      <c r="J43" s="32" t="s">
        <v>213</v>
      </c>
      <c r="K43" s="28">
        <v>46013</v>
      </c>
      <c r="L43" s="30" t="s">
        <v>22</v>
      </c>
      <c r="M43" s="15" t="s">
        <v>214</v>
      </c>
      <c r="N43" s="32" t="s">
        <v>215</v>
      </c>
    </row>
    <row r="44" spans="1:14" ht="45" x14ac:dyDescent="0.25">
      <c r="A44" s="36">
        <v>43</v>
      </c>
      <c r="B44" s="28">
        <v>45995</v>
      </c>
      <c r="C44" s="29" t="s">
        <v>198</v>
      </c>
      <c r="D44" s="35" t="s">
        <v>15</v>
      </c>
      <c r="E44" s="30" t="s">
        <v>16</v>
      </c>
      <c r="F44" s="30" t="s">
        <v>77</v>
      </c>
      <c r="G44" s="35" t="s">
        <v>180</v>
      </c>
      <c r="H44" s="32" t="s">
        <v>216</v>
      </c>
      <c r="I44" s="32" t="s">
        <v>217</v>
      </c>
      <c r="J44" s="32" t="s">
        <v>218</v>
      </c>
      <c r="K44" s="28"/>
      <c r="L44" s="30" t="s">
        <v>82</v>
      </c>
      <c r="M44" s="15" t="s">
        <v>241</v>
      </c>
      <c r="N44" s="32"/>
    </row>
    <row r="45" spans="1:14" ht="75" x14ac:dyDescent="0.25">
      <c r="A45" s="36">
        <v>44</v>
      </c>
      <c r="B45" s="53">
        <v>46013</v>
      </c>
      <c r="C45" s="31" t="s">
        <v>14</v>
      </c>
      <c r="D45" s="38" t="s">
        <v>15</v>
      </c>
      <c r="E45" s="34" t="s">
        <v>16</v>
      </c>
      <c r="F45" s="30" t="s">
        <v>17</v>
      </c>
      <c r="G45" s="38" t="s">
        <v>180</v>
      </c>
      <c r="H45" s="32" t="s">
        <v>155</v>
      </c>
      <c r="I45" s="32" t="s">
        <v>220</v>
      </c>
      <c r="J45" s="24" t="s">
        <v>221</v>
      </c>
      <c r="K45" s="23"/>
      <c r="L45" s="30" t="s">
        <v>82</v>
      </c>
      <c r="M45" s="49" t="s">
        <v>242</v>
      </c>
      <c r="N45" s="39" t="s">
        <v>239</v>
      </c>
    </row>
    <row r="46" spans="1:14" ht="30" x14ac:dyDescent="0.25">
      <c r="A46" s="46">
        <v>45</v>
      </c>
      <c r="B46" s="53">
        <v>46013</v>
      </c>
      <c r="C46" s="43" t="s">
        <v>14</v>
      </c>
      <c r="D46" s="45" t="s">
        <v>15</v>
      </c>
      <c r="E46" s="44" t="s">
        <v>114</v>
      </c>
      <c r="F46" s="30" t="s">
        <v>17</v>
      </c>
      <c r="G46" s="45" t="s">
        <v>180</v>
      </c>
      <c r="H46" s="45" t="s">
        <v>222</v>
      </c>
      <c r="I46" s="41" t="s">
        <v>223</v>
      </c>
      <c r="J46" s="41"/>
      <c r="K46" s="48"/>
      <c r="L46" s="30" t="s">
        <v>82</v>
      </c>
      <c r="M46" s="50" t="s">
        <v>246</v>
      </c>
      <c r="N46" s="41" t="s">
        <v>237</v>
      </c>
    </row>
    <row r="47" spans="1:14" ht="30" x14ac:dyDescent="0.25">
      <c r="A47" s="46">
        <f t="shared" ref="A47:A48" si="0" xml:space="preserve"> ROW() - 1</f>
        <v>46</v>
      </c>
      <c r="B47" s="53">
        <v>46013</v>
      </c>
      <c r="C47" s="47" t="s">
        <v>14</v>
      </c>
      <c r="D47" s="40" t="s">
        <v>15</v>
      </c>
      <c r="E47" s="40" t="s">
        <v>24</v>
      </c>
      <c r="F47" s="30" t="s">
        <v>17</v>
      </c>
      <c r="G47" s="41" t="s">
        <v>222</v>
      </c>
      <c r="H47" s="41" t="s">
        <v>224</v>
      </c>
      <c r="I47" s="41" t="s">
        <v>225</v>
      </c>
      <c r="J47" s="41"/>
      <c r="K47" s="41"/>
      <c r="L47" s="51" t="s">
        <v>22</v>
      </c>
      <c r="M47" s="41"/>
      <c r="N47" s="40" t="s">
        <v>238</v>
      </c>
    </row>
    <row r="48" spans="1:14" ht="45" x14ac:dyDescent="0.25">
      <c r="A48" s="46">
        <f t="shared" si="0"/>
        <v>47</v>
      </c>
      <c r="B48" s="53">
        <v>46036</v>
      </c>
      <c r="C48" s="47" t="s">
        <v>14</v>
      </c>
      <c r="D48" s="40" t="s">
        <v>84</v>
      </c>
      <c r="E48" s="60" t="s">
        <v>24</v>
      </c>
      <c r="F48" s="30" t="s">
        <v>17</v>
      </c>
      <c r="G48" s="41" t="s">
        <v>222</v>
      </c>
      <c r="H48" s="57" t="s">
        <v>252</v>
      </c>
      <c r="I48" s="57" t="s">
        <v>240</v>
      </c>
      <c r="J48" s="68" t="s">
        <v>264</v>
      </c>
      <c r="K48" s="41"/>
      <c r="L48" s="51" t="s">
        <v>22</v>
      </c>
      <c r="M48" s="63" t="s">
        <v>253</v>
      </c>
      <c r="N48" s="40" t="s">
        <v>255</v>
      </c>
    </row>
    <row r="49" spans="1:14" ht="45" x14ac:dyDescent="0.25">
      <c r="A49" s="46">
        <v>48</v>
      </c>
      <c r="B49" s="53">
        <v>46036</v>
      </c>
      <c r="C49" s="47" t="s">
        <v>14</v>
      </c>
      <c r="D49" s="45" t="s">
        <v>15</v>
      </c>
      <c r="E49" s="44" t="s">
        <v>114</v>
      </c>
      <c r="F49" s="30" t="s">
        <v>17</v>
      </c>
      <c r="G49" s="41" t="s">
        <v>222</v>
      </c>
      <c r="H49" s="45" t="s">
        <v>249</v>
      </c>
      <c r="I49" s="41" t="s">
        <v>248</v>
      </c>
      <c r="J49" s="41" t="s">
        <v>247</v>
      </c>
      <c r="K49" s="41"/>
      <c r="L49" s="51" t="s">
        <v>22</v>
      </c>
      <c r="M49" s="41"/>
      <c r="N49" s="40" t="s">
        <v>256</v>
      </c>
    </row>
    <row r="50" spans="1:14" ht="30" x14ac:dyDescent="0.25">
      <c r="A50" s="69">
        <v>49</v>
      </c>
      <c r="B50" s="54">
        <v>46036</v>
      </c>
      <c r="C50" s="43" t="s">
        <v>243</v>
      </c>
      <c r="D50" s="42" t="s">
        <v>15</v>
      </c>
      <c r="E50" s="40" t="s">
        <v>24</v>
      </c>
      <c r="F50" s="30" t="s">
        <v>17</v>
      </c>
      <c r="G50" s="42"/>
      <c r="H50" s="58" t="s">
        <v>250</v>
      </c>
      <c r="I50" s="41" t="s">
        <v>244</v>
      </c>
      <c r="J50" s="41" t="s">
        <v>245</v>
      </c>
      <c r="K50" s="28">
        <v>46045</v>
      </c>
      <c r="L50" s="51" t="s">
        <v>22</v>
      </c>
      <c r="M50" s="68" t="s">
        <v>265</v>
      </c>
      <c r="N50" s="41" t="s">
        <v>257</v>
      </c>
    </row>
    <row r="51" spans="1:14" ht="60" x14ac:dyDescent="0.25">
      <c r="A51" s="69">
        <v>50</v>
      </c>
      <c r="B51" s="54">
        <v>46036</v>
      </c>
      <c r="C51" s="59" t="s">
        <v>14</v>
      </c>
      <c r="D51" s="60" t="s">
        <v>84</v>
      </c>
      <c r="E51" s="60" t="s">
        <v>24</v>
      </c>
      <c r="F51" s="30" t="s">
        <v>17</v>
      </c>
      <c r="G51" s="60" t="s">
        <v>180</v>
      </c>
      <c r="H51" s="60" t="s">
        <v>251</v>
      </c>
      <c r="I51" s="68" t="s">
        <v>263</v>
      </c>
      <c r="J51" s="61" t="s">
        <v>262</v>
      </c>
      <c r="K51" s="28">
        <v>46045</v>
      </c>
      <c r="L51" s="51" t="s">
        <v>22</v>
      </c>
      <c r="M51" s="15" t="s">
        <v>298</v>
      </c>
      <c r="N51" s="41" t="s">
        <v>254</v>
      </c>
    </row>
    <row r="52" spans="1:14" x14ac:dyDescent="0.25">
      <c r="A52" s="70">
        <v>51</v>
      </c>
      <c r="B52" s="65">
        <v>46045</v>
      </c>
      <c r="C52" s="66" t="s">
        <v>258</v>
      </c>
      <c r="D52" s="67" t="s">
        <v>84</v>
      </c>
      <c r="E52" s="89" t="s">
        <v>114</v>
      </c>
      <c r="F52" s="67" t="s">
        <v>17</v>
      </c>
      <c r="G52" s="67" t="s">
        <v>180</v>
      </c>
      <c r="H52" s="67" t="s">
        <v>259</v>
      </c>
      <c r="I52" s="68" t="s">
        <v>260</v>
      </c>
      <c r="J52" s="61" t="s">
        <v>261</v>
      </c>
      <c r="K52" s="28">
        <v>46045</v>
      </c>
      <c r="L52" s="51" t="s">
        <v>22</v>
      </c>
      <c r="M52" s="15" t="s">
        <v>299</v>
      </c>
      <c r="N52" s="68"/>
    </row>
    <row r="53" spans="1:14" ht="45" x14ac:dyDescent="0.25">
      <c r="A53" s="71">
        <v>52</v>
      </c>
      <c r="B53" s="72">
        <v>46045</v>
      </c>
      <c r="C53" s="66" t="s">
        <v>14</v>
      </c>
      <c r="D53" s="64" t="s">
        <v>15</v>
      </c>
      <c r="E53" s="73" t="s">
        <v>24</v>
      </c>
      <c r="F53" s="73" t="s">
        <v>17</v>
      </c>
      <c r="G53" s="64" t="s">
        <v>180</v>
      </c>
      <c r="H53" s="68" t="s">
        <v>252</v>
      </c>
      <c r="I53" s="68" t="s">
        <v>266</v>
      </c>
      <c r="J53" s="64" t="s">
        <v>247</v>
      </c>
      <c r="K53" s="28">
        <v>46045</v>
      </c>
      <c r="L53" s="51" t="s">
        <v>22</v>
      </c>
      <c r="M53" s="15" t="s">
        <v>299</v>
      </c>
      <c r="N53" s="74"/>
    </row>
    <row r="54" spans="1:14" customFormat="1" ht="120" x14ac:dyDescent="0.25">
      <c r="A54" s="75">
        <v>53</v>
      </c>
      <c r="B54" s="76">
        <v>46045</v>
      </c>
      <c r="C54" s="77" t="s">
        <v>14</v>
      </c>
      <c r="D54" s="67" t="s">
        <v>84</v>
      </c>
      <c r="E54" s="67" t="s">
        <v>16</v>
      </c>
      <c r="F54" s="86" t="s">
        <v>17</v>
      </c>
      <c r="G54" s="68" t="s">
        <v>180</v>
      </c>
      <c r="H54" s="84" t="s">
        <v>267</v>
      </c>
      <c r="I54" s="68" t="s">
        <v>296</v>
      </c>
      <c r="J54" s="68" t="s">
        <v>297</v>
      </c>
      <c r="K54" s="28">
        <v>46045</v>
      </c>
      <c r="L54" s="51" t="s">
        <v>22</v>
      </c>
      <c r="M54" s="68"/>
      <c r="N54" s="78" t="s">
        <v>302</v>
      </c>
    </row>
    <row r="55" spans="1:14" ht="30" x14ac:dyDescent="0.25">
      <c r="A55" s="71">
        <v>54</v>
      </c>
      <c r="B55" s="76">
        <v>46045</v>
      </c>
      <c r="C55" s="66" t="s">
        <v>258</v>
      </c>
      <c r="D55" s="64" t="s">
        <v>84</v>
      </c>
      <c r="E55" s="73" t="s">
        <v>24</v>
      </c>
      <c r="F55" s="73" t="s">
        <v>17</v>
      </c>
      <c r="G55" s="64" t="s">
        <v>180</v>
      </c>
      <c r="H55" s="68" t="s">
        <v>300</v>
      </c>
      <c r="I55" s="67" t="s">
        <v>301</v>
      </c>
      <c r="J55" s="73"/>
      <c r="K55" s="28">
        <v>46045</v>
      </c>
      <c r="L55" s="85" t="s">
        <v>22</v>
      </c>
      <c r="M55" s="74"/>
      <c r="N55" s="74" t="s">
        <v>303</v>
      </c>
    </row>
    <row r="56" spans="1:14" ht="60" x14ac:dyDescent="0.25">
      <c r="A56" s="71">
        <v>55</v>
      </c>
      <c r="B56" s="76">
        <v>46049</v>
      </c>
      <c r="C56" s="66" t="s">
        <v>258</v>
      </c>
      <c r="D56" s="87" t="s">
        <v>84</v>
      </c>
      <c r="E56" s="73" t="s">
        <v>16</v>
      </c>
      <c r="F56" s="73" t="s">
        <v>17</v>
      </c>
      <c r="G56" s="64" t="s">
        <v>180</v>
      </c>
      <c r="H56" s="88" t="s">
        <v>304</v>
      </c>
      <c r="I56" s="89" t="s">
        <v>305</v>
      </c>
      <c r="J56" s="73"/>
      <c r="K56" s="90">
        <v>46048</v>
      </c>
      <c r="L56" s="87" t="s">
        <v>22</v>
      </c>
      <c r="M56" s="15" t="s">
        <v>308</v>
      </c>
      <c r="N56" s="74"/>
    </row>
    <row r="57" spans="1:14" ht="30" x14ac:dyDescent="0.25">
      <c r="A57" s="71">
        <v>56</v>
      </c>
      <c r="B57" s="76">
        <v>46049</v>
      </c>
      <c r="C57" s="66" t="s">
        <v>14</v>
      </c>
      <c r="D57" s="87" t="s">
        <v>15</v>
      </c>
      <c r="E57" s="73" t="s">
        <v>16</v>
      </c>
      <c r="F57" s="73" t="s">
        <v>17</v>
      </c>
      <c r="G57" s="64" t="s">
        <v>180</v>
      </c>
      <c r="H57" s="88" t="s">
        <v>306</v>
      </c>
      <c r="I57" s="89" t="s">
        <v>307</v>
      </c>
      <c r="J57" s="73"/>
      <c r="K57" s="90">
        <v>46055</v>
      </c>
      <c r="L57" s="97" t="s">
        <v>22</v>
      </c>
      <c r="M57" s="95" t="s">
        <v>311</v>
      </c>
      <c r="N57" s="74"/>
    </row>
    <row r="58" spans="1:14" ht="30" x14ac:dyDescent="0.25">
      <c r="A58" s="71">
        <v>57</v>
      </c>
      <c r="B58" s="76">
        <v>46049</v>
      </c>
      <c r="C58" s="66" t="s">
        <v>14</v>
      </c>
      <c r="D58" s="91" t="s">
        <v>84</v>
      </c>
      <c r="E58" s="73" t="s">
        <v>24</v>
      </c>
      <c r="F58" s="73" t="s">
        <v>17</v>
      </c>
      <c r="G58" s="64" t="s">
        <v>180</v>
      </c>
      <c r="H58" s="92" t="s">
        <v>309</v>
      </c>
      <c r="I58" s="93" t="s">
        <v>310</v>
      </c>
      <c r="J58" s="73"/>
      <c r="K58" s="28">
        <v>46051</v>
      </c>
      <c r="L58" s="94" t="s">
        <v>22</v>
      </c>
      <c r="M58" s="74"/>
      <c r="N58" s="74"/>
    </row>
    <row r="59" spans="1:14" ht="75" x14ac:dyDescent="0.25">
      <c r="A59" s="71">
        <v>58</v>
      </c>
      <c r="B59" s="76">
        <v>46052</v>
      </c>
      <c r="C59" s="66" t="s">
        <v>14</v>
      </c>
      <c r="D59" s="96" t="s">
        <v>15</v>
      </c>
      <c r="E59" s="73" t="s">
        <v>24</v>
      </c>
      <c r="F59" s="73" t="s">
        <v>17</v>
      </c>
      <c r="G59" s="64" t="s">
        <v>180</v>
      </c>
      <c r="H59" s="97" t="s">
        <v>313</v>
      </c>
      <c r="I59" s="97" t="s">
        <v>315</v>
      </c>
      <c r="J59" s="96" t="s">
        <v>312</v>
      </c>
      <c r="K59" s="28">
        <v>46055</v>
      </c>
      <c r="L59" s="94" t="s">
        <v>22</v>
      </c>
      <c r="M59" s="97" t="s">
        <v>314</v>
      </c>
      <c r="N59" s="74"/>
    </row>
  </sheetData>
  <autoFilter ref="A1:M51" xr:uid="{AC2894D6-04F1-40B9-AE17-FEC113C806B4}"/>
  <conditionalFormatting sqref="F1:F1048576">
    <cfRule type="containsText" dxfId="7" priority="4" operator="containsText" text="Resolved">
      <formula>NOT(ISERROR(SEARCH("Resolved",F1)))</formula>
    </cfRule>
  </conditionalFormatting>
  <conditionalFormatting sqref="F2:F1048576">
    <cfRule type="containsText" dxfId="6" priority="1" operator="containsText" text="No Action">
      <formula>NOT(ISERROR(SEARCH("No Action",F2)))</formula>
    </cfRule>
    <cfRule type="containsText" dxfId="5" priority="2" operator="containsText" text="New">
      <formula>NOT(ISERROR(SEARCH("New",F2)))</formula>
    </cfRule>
    <cfRule type="containsText" dxfId="4" priority="3" operator="containsText" text="Retest In Progress">
      <formula>NOT(ISERROR(SEARCH("Retest In Progress",F2)))</formula>
    </cfRule>
    <cfRule type="containsText" dxfId="3" priority="5" operator="containsText" text="Return to Dev">
      <formula>NOT(ISERROR(SEARCH("Return to Dev",F2)))</formula>
    </cfRule>
  </conditionalFormatting>
  <conditionalFormatting sqref="L2:L46 L55:L1048576">
    <cfRule type="containsText" dxfId="2" priority="38" operator="containsText" text="Pass with Comments">
      <formula>NOT(ISERROR(SEARCH("Pass with Comments",L2)))</formula>
    </cfRule>
    <cfRule type="containsText" dxfId="1" priority="39" operator="containsText" text="Fail">
      <formula>NOT(ISERROR(SEARCH("Fail",L2)))</formula>
    </cfRule>
    <cfRule type="containsText" dxfId="0" priority="40" operator="containsText" text="Pass">
      <formula>NOT(ISERROR(SEARCH("Pass",L2)))</formula>
    </cfRule>
  </conditionalFormatting>
  <dataValidations count="1">
    <dataValidation type="list" allowBlank="1" showInputMessage="1" showErrorMessage="1" sqref="C2 C15 C20:C44 C47:C49 C51:C59" xr:uid="{9DBB4D99-4FBB-4340-B5A8-412F0CF265F7}">
      <formula1>"Both,Web Only,PB Only"</formula1>
    </dataValidation>
  </dataValidations>
  <hyperlinks>
    <hyperlink ref="H54" location="'52'!A1" display="Edit Mode on Multiple" xr:uid="{0C040D92-4D61-44A2-88F2-53B58B5189D5}"/>
  </hyperlinks>
  <pageMargins left="0.7" right="0.7" top="0.75" bottom="0.75" header="0.3" footer="0.3"/>
  <pageSetup orientation="landscape"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A20A9F25-0DE4-45B6-B5B3-B6F8EA25DBA6}">
          <x14:formula1>
            <xm:f>Sheet2!$A$1:$A$3</xm:f>
          </x14:formula1>
          <xm:sqref>L2:L46</xm:sqref>
        </x14:dataValidation>
        <x14:dataValidation type="list" allowBlank="1" showInputMessage="1" showErrorMessage="1" xr:uid="{E7C9154B-8A5C-4F27-AF31-58E8AF26A163}">
          <x14:formula1>
            <xm:f>Sheet2!$F$1:$F$3</xm:f>
          </x14:formula1>
          <xm:sqref>E2:E44 E53 E55:E1048576</xm:sqref>
        </x14:dataValidation>
        <x14:dataValidation type="list" allowBlank="1" showInputMessage="1" showErrorMessage="1" xr:uid="{13D3BE25-BF98-4733-B1E7-AA4DB88ADC41}">
          <x14:formula1>
            <xm:f>Sheet2!$C$1:$C$6</xm:f>
          </x14:formula1>
          <xm:sqref>F2:F53 F55:F1048576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D195D-7FC6-4BEA-9DA5-C057989FBACD}">
  <dimension ref="A1:O57"/>
  <sheetViews>
    <sheetView tabSelected="1" topLeftCell="A37" workbookViewId="0">
      <selection activeCell="E59" sqref="E59"/>
    </sheetView>
  </sheetViews>
  <sheetFormatPr defaultColWidth="9.140625" defaultRowHeight="15.75" x14ac:dyDescent="0.25"/>
  <cols>
    <col min="1" max="1" width="5.7109375" style="6" bestFit="1" customWidth="1"/>
    <col min="2" max="2" width="8.42578125" style="6" bestFit="1" customWidth="1"/>
    <col min="3" max="3" width="17.7109375" style="6" bestFit="1" customWidth="1"/>
    <col min="4" max="4" width="10.85546875" style="6" bestFit="1" customWidth="1"/>
    <col min="5" max="5" width="9.7109375" style="6" bestFit="1" customWidth="1"/>
    <col min="6" max="9" width="12.5703125" style="6" bestFit="1" customWidth="1"/>
    <col min="10" max="10" width="14.140625" style="6" bestFit="1" customWidth="1"/>
    <col min="11" max="11" width="19.28515625" style="6" bestFit="1" customWidth="1"/>
    <col min="12" max="12" width="9.140625" style="6"/>
    <col min="13" max="13" width="14.140625" style="6" bestFit="1" customWidth="1"/>
    <col min="14" max="14" width="16.28515625" style="6" bestFit="1" customWidth="1"/>
    <col min="15" max="16384" width="9.140625" style="6"/>
  </cols>
  <sheetData>
    <row r="1" spans="1:15" hidden="1" x14ac:dyDescent="0.25">
      <c r="A1" s="8"/>
      <c r="B1" s="8"/>
      <c r="C1" s="107" t="s">
        <v>226</v>
      </c>
      <c r="D1" s="107" t="s">
        <v>5</v>
      </c>
      <c r="E1" s="108"/>
      <c r="F1" s="108"/>
      <c r="G1"/>
      <c r="H1"/>
      <c r="I1"/>
    </row>
    <row r="2" spans="1:15" x14ac:dyDescent="0.25">
      <c r="A2" s="9" t="s">
        <v>227</v>
      </c>
      <c r="B2" s="10" t="s">
        <v>228</v>
      </c>
      <c r="C2" s="107" t="s">
        <v>229</v>
      </c>
      <c r="D2" s="108" t="s">
        <v>77</v>
      </c>
      <c r="E2" s="108" t="s">
        <v>17</v>
      </c>
      <c r="F2" s="108" t="s">
        <v>230</v>
      </c>
      <c r="G2"/>
      <c r="H2"/>
    </row>
    <row r="3" spans="1:15" x14ac:dyDescent="0.25">
      <c r="A3" s="7">
        <v>1</v>
      </c>
      <c r="B3" s="11">
        <v>0.16666666666666666</v>
      </c>
      <c r="C3" s="109">
        <v>45933</v>
      </c>
      <c r="D3" s="110">
        <v>2</v>
      </c>
      <c r="E3" s="110">
        <v>18</v>
      </c>
      <c r="F3" s="110">
        <v>20</v>
      </c>
      <c r="G3"/>
      <c r="H3"/>
      <c r="J3" s="98" t="s">
        <v>229</v>
      </c>
      <c r="K3" s="99" t="s">
        <v>231</v>
      </c>
      <c r="M3" s="98" t="s">
        <v>229</v>
      </c>
      <c r="N3" s="99" t="s">
        <v>232</v>
      </c>
      <c r="O3"/>
    </row>
    <row r="4" spans="1:15" x14ac:dyDescent="0.25">
      <c r="C4" s="105" t="s">
        <v>15</v>
      </c>
      <c r="D4" s="106">
        <v>1</v>
      </c>
      <c r="E4" s="106">
        <v>15</v>
      </c>
      <c r="F4" s="106">
        <v>16</v>
      </c>
      <c r="G4"/>
      <c r="H4"/>
      <c r="J4" s="101" t="s">
        <v>16</v>
      </c>
      <c r="K4" s="100">
        <v>23</v>
      </c>
      <c r="M4" s="101" t="s">
        <v>77</v>
      </c>
      <c r="N4" s="100">
        <v>7</v>
      </c>
      <c r="O4"/>
    </row>
    <row r="5" spans="1:15" x14ac:dyDescent="0.25">
      <c r="C5" s="104" t="s">
        <v>16</v>
      </c>
      <c r="D5" s="102">
        <v>1</v>
      </c>
      <c r="E5" s="102">
        <v>8</v>
      </c>
      <c r="F5" s="102">
        <v>9</v>
      </c>
      <c r="G5"/>
      <c r="H5"/>
      <c r="J5" s="101" t="s">
        <v>24</v>
      </c>
      <c r="K5" s="100">
        <v>28</v>
      </c>
      <c r="M5" s="101" t="s">
        <v>17</v>
      </c>
      <c r="N5" s="100">
        <v>51</v>
      </c>
      <c r="O5"/>
    </row>
    <row r="6" spans="1:15" x14ac:dyDescent="0.25">
      <c r="C6" s="104" t="s">
        <v>24</v>
      </c>
      <c r="D6" s="102"/>
      <c r="E6" s="102">
        <v>7</v>
      </c>
      <c r="F6" s="102">
        <v>7</v>
      </c>
      <c r="G6"/>
      <c r="H6"/>
      <c r="J6" s="101" t="s">
        <v>114</v>
      </c>
      <c r="K6" s="100">
        <v>7</v>
      </c>
      <c r="M6" s="101" t="s">
        <v>230</v>
      </c>
      <c r="N6" s="100">
        <v>58</v>
      </c>
      <c r="O6"/>
    </row>
    <row r="7" spans="1:15" x14ac:dyDescent="0.25">
      <c r="C7" s="105" t="s">
        <v>84</v>
      </c>
      <c r="D7" s="106">
        <v>1</v>
      </c>
      <c r="E7" s="106">
        <v>3</v>
      </c>
      <c r="F7" s="106">
        <v>4</v>
      </c>
      <c r="G7"/>
      <c r="H7"/>
      <c r="J7" s="101" t="s">
        <v>230</v>
      </c>
      <c r="K7" s="100">
        <v>58</v>
      </c>
      <c r="M7"/>
      <c r="N7"/>
      <c r="O7"/>
    </row>
    <row r="8" spans="1:15" x14ac:dyDescent="0.25">
      <c r="C8" s="104" t="s">
        <v>24</v>
      </c>
      <c r="D8" s="102">
        <v>1</v>
      </c>
      <c r="E8" s="102">
        <v>3</v>
      </c>
      <c r="F8" s="102">
        <v>4</v>
      </c>
      <c r="G8"/>
      <c r="H8"/>
      <c r="O8"/>
    </row>
    <row r="9" spans="1:15" x14ac:dyDescent="0.25">
      <c r="A9" s="7">
        <v>2</v>
      </c>
      <c r="B9" s="11">
        <v>0.20833333333333334</v>
      </c>
      <c r="C9" s="109">
        <v>45959</v>
      </c>
      <c r="D9" s="110">
        <v>1</v>
      </c>
      <c r="E9" s="110">
        <v>10</v>
      </c>
      <c r="F9" s="110">
        <v>11</v>
      </c>
      <c r="G9"/>
      <c r="H9"/>
      <c r="O9"/>
    </row>
    <row r="10" spans="1:15" x14ac:dyDescent="0.25">
      <c r="C10" s="105" t="s">
        <v>15</v>
      </c>
      <c r="D10" s="106">
        <v>1</v>
      </c>
      <c r="E10" s="106">
        <v>7</v>
      </c>
      <c r="F10" s="106">
        <v>8</v>
      </c>
      <c r="G10"/>
      <c r="H10"/>
      <c r="I10"/>
      <c r="J10"/>
      <c r="K10"/>
      <c r="L10"/>
      <c r="M10"/>
      <c r="N10"/>
      <c r="O10"/>
    </row>
    <row r="11" spans="1:15" x14ac:dyDescent="0.25">
      <c r="C11" s="104" t="s">
        <v>16</v>
      </c>
      <c r="D11" s="102">
        <v>1</v>
      </c>
      <c r="E11" s="102">
        <v>4</v>
      </c>
      <c r="F11" s="102">
        <v>5</v>
      </c>
      <c r="G11"/>
      <c r="H11"/>
      <c r="I11"/>
      <c r="J11"/>
      <c r="K11"/>
      <c r="L11"/>
      <c r="M11"/>
      <c r="N11"/>
      <c r="O11"/>
    </row>
    <row r="12" spans="1:15" x14ac:dyDescent="0.25">
      <c r="C12" s="104" t="s">
        <v>114</v>
      </c>
      <c r="D12" s="102"/>
      <c r="E12" s="102">
        <v>3</v>
      </c>
      <c r="F12" s="102">
        <v>3</v>
      </c>
      <c r="G12"/>
      <c r="H12"/>
      <c r="I12"/>
      <c r="J12"/>
      <c r="K12"/>
      <c r="L12"/>
      <c r="M12"/>
      <c r="N12"/>
      <c r="O12"/>
    </row>
    <row r="13" spans="1:15" x14ac:dyDescent="0.25">
      <c r="C13" s="105" t="s">
        <v>84</v>
      </c>
      <c r="D13" s="106"/>
      <c r="E13" s="106">
        <v>3</v>
      </c>
      <c r="F13" s="106">
        <v>3</v>
      </c>
      <c r="G13"/>
      <c r="H13"/>
      <c r="I13"/>
      <c r="J13"/>
      <c r="K13"/>
      <c r="L13"/>
      <c r="M13"/>
      <c r="N13"/>
      <c r="O13"/>
    </row>
    <row r="14" spans="1:15" x14ac:dyDescent="0.25">
      <c r="C14" s="104" t="s">
        <v>16</v>
      </c>
      <c r="D14" s="102"/>
      <c r="E14" s="102">
        <v>1</v>
      </c>
      <c r="F14" s="102">
        <v>1</v>
      </c>
      <c r="G14"/>
      <c r="H14"/>
      <c r="I14"/>
      <c r="J14"/>
      <c r="K14"/>
      <c r="L14"/>
      <c r="M14"/>
      <c r="N14"/>
      <c r="O14"/>
    </row>
    <row r="15" spans="1:15" x14ac:dyDescent="0.25">
      <c r="C15" s="104" t="s">
        <v>24</v>
      </c>
      <c r="D15" s="102"/>
      <c r="E15" s="102">
        <v>1</v>
      </c>
      <c r="F15" s="102">
        <v>1</v>
      </c>
      <c r="G15"/>
      <c r="H15"/>
      <c r="I15"/>
      <c r="J15"/>
      <c r="K15"/>
      <c r="L15"/>
      <c r="M15"/>
      <c r="N15"/>
      <c r="O15"/>
    </row>
    <row r="16" spans="1:15" x14ac:dyDescent="0.25">
      <c r="C16" s="104" t="s">
        <v>114</v>
      </c>
      <c r="D16" s="102"/>
      <c r="E16" s="102">
        <v>1</v>
      </c>
      <c r="F16" s="102">
        <v>1</v>
      </c>
      <c r="G16"/>
      <c r="H16"/>
      <c r="I16"/>
      <c r="J16"/>
      <c r="K16"/>
      <c r="L16"/>
      <c r="M16"/>
      <c r="N16"/>
      <c r="O16"/>
    </row>
    <row r="17" spans="1:15" x14ac:dyDescent="0.25">
      <c r="A17" s="7">
        <v>3</v>
      </c>
      <c r="B17" s="11">
        <v>0.16666666666666666</v>
      </c>
      <c r="C17" s="109">
        <v>45979</v>
      </c>
      <c r="D17" s="110"/>
      <c r="E17" s="110">
        <v>3</v>
      </c>
      <c r="F17" s="110">
        <v>3</v>
      </c>
      <c r="G17"/>
      <c r="H17"/>
      <c r="I17"/>
      <c r="J17"/>
      <c r="K17"/>
      <c r="L17"/>
      <c r="M17"/>
      <c r="N17"/>
      <c r="O17"/>
    </row>
    <row r="18" spans="1:15" x14ac:dyDescent="0.25">
      <c r="C18" s="105" t="s">
        <v>15</v>
      </c>
      <c r="D18" s="106"/>
      <c r="E18" s="106">
        <v>3</v>
      </c>
      <c r="F18" s="106">
        <v>3</v>
      </c>
      <c r="G18"/>
      <c r="H18"/>
      <c r="I18"/>
      <c r="J18"/>
      <c r="K18"/>
      <c r="L18"/>
      <c r="M18"/>
      <c r="N18"/>
      <c r="O18"/>
    </row>
    <row r="19" spans="1:15" x14ac:dyDescent="0.25">
      <c r="C19" s="104" t="s">
        <v>16</v>
      </c>
      <c r="D19" s="102"/>
      <c r="E19" s="102">
        <v>1</v>
      </c>
      <c r="F19" s="102">
        <v>1</v>
      </c>
      <c r="G19"/>
      <c r="H19"/>
      <c r="I19"/>
      <c r="J19"/>
      <c r="K19"/>
      <c r="L19"/>
      <c r="M19"/>
      <c r="N19"/>
      <c r="O19"/>
    </row>
    <row r="20" spans="1:15" x14ac:dyDescent="0.25">
      <c r="C20" s="104" t="s">
        <v>24</v>
      </c>
      <c r="D20" s="102"/>
      <c r="E20" s="102">
        <v>2</v>
      </c>
      <c r="F20" s="102">
        <v>2</v>
      </c>
      <c r="G20"/>
      <c r="H20"/>
      <c r="I20"/>
      <c r="J20"/>
      <c r="K20"/>
      <c r="L20"/>
      <c r="M20"/>
      <c r="N20"/>
      <c r="O20"/>
    </row>
    <row r="21" spans="1:15" x14ac:dyDescent="0.25">
      <c r="A21" s="7">
        <v>4</v>
      </c>
      <c r="B21" s="11">
        <v>0.16666666666666666</v>
      </c>
      <c r="C21" s="109">
        <v>45995</v>
      </c>
      <c r="D21" s="110">
        <v>4</v>
      </c>
      <c r="E21" s="110">
        <v>5</v>
      </c>
      <c r="F21" s="110">
        <v>9</v>
      </c>
      <c r="G21"/>
      <c r="H21"/>
      <c r="I21"/>
    </row>
    <row r="22" spans="1:15" x14ac:dyDescent="0.25">
      <c r="C22" s="105" t="s">
        <v>15</v>
      </c>
      <c r="D22" s="106">
        <v>2</v>
      </c>
      <c r="E22" s="106">
        <v>3</v>
      </c>
      <c r="F22" s="106">
        <v>5</v>
      </c>
      <c r="G22"/>
      <c r="H22"/>
      <c r="I22"/>
    </row>
    <row r="23" spans="1:15" x14ac:dyDescent="0.25">
      <c r="C23" s="104" t="s">
        <v>16</v>
      </c>
      <c r="D23" s="102">
        <v>1</v>
      </c>
      <c r="E23" s="102">
        <v>1</v>
      </c>
      <c r="F23" s="102">
        <v>2</v>
      </c>
      <c r="G23"/>
      <c r="H23"/>
      <c r="I23"/>
    </row>
    <row r="24" spans="1:15" x14ac:dyDescent="0.25">
      <c r="C24" s="104" t="s">
        <v>24</v>
      </c>
      <c r="D24" s="102">
        <v>1</v>
      </c>
      <c r="E24" s="102">
        <v>2</v>
      </c>
      <c r="F24" s="102">
        <v>3</v>
      </c>
      <c r="G24"/>
      <c r="H24"/>
      <c r="I24"/>
    </row>
    <row r="25" spans="1:15" x14ac:dyDescent="0.25">
      <c r="C25" s="105" t="s">
        <v>84</v>
      </c>
      <c r="D25" s="106">
        <v>2</v>
      </c>
      <c r="E25" s="106">
        <v>2</v>
      </c>
      <c r="F25" s="106">
        <v>4</v>
      </c>
      <c r="G25"/>
      <c r="H25"/>
      <c r="I25"/>
    </row>
    <row r="26" spans="1:15" x14ac:dyDescent="0.25">
      <c r="C26" s="104" t="s">
        <v>16</v>
      </c>
      <c r="D26" s="102"/>
      <c r="E26" s="102">
        <v>1</v>
      </c>
      <c r="F26" s="102">
        <v>1</v>
      </c>
      <c r="G26"/>
      <c r="H26"/>
      <c r="I26"/>
    </row>
    <row r="27" spans="1:15" x14ac:dyDescent="0.25">
      <c r="C27" s="104" t="s">
        <v>24</v>
      </c>
      <c r="D27" s="102">
        <v>2</v>
      </c>
      <c r="E27" s="102">
        <v>1</v>
      </c>
      <c r="F27" s="102">
        <v>3</v>
      </c>
      <c r="G27"/>
      <c r="H27"/>
      <c r="I27"/>
    </row>
    <row r="28" spans="1:15" x14ac:dyDescent="0.25">
      <c r="A28" s="25">
        <v>5</v>
      </c>
      <c r="B28" s="26">
        <v>8.3333333333333329E-2</v>
      </c>
      <c r="C28" s="109">
        <v>46013</v>
      </c>
      <c r="D28" s="110"/>
      <c r="E28" s="110">
        <v>3</v>
      </c>
      <c r="F28" s="110">
        <v>3</v>
      </c>
      <c r="G28"/>
      <c r="H28"/>
      <c r="I28"/>
    </row>
    <row r="29" spans="1:15" x14ac:dyDescent="0.25">
      <c r="C29" s="105" t="s">
        <v>15</v>
      </c>
      <c r="D29" s="106"/>
      <c r="E29" s="106">
        <v>3</v>
      </c>
      <c r="F29" s="106">
        <v>3</v>
      </c>
      <c r="G29"/>
      <c r="H29"/>
    </row>
    <row r="30" spans="1:15" x14ac:dyDescent="0.25">
      <c r="C30" s="104" t="s">
        <v>16</v>
      </c>
      <c r="D30" s="102"/>
      <c r="E30" s="102">
        <v>1</v>
      </c>
      <c r="F30" s="102">
        <v>1</v>
      </c>
      <c r="G30"/>
      <c r="H30"/>
    </row>
    <row r="31" spans="1:15" x14ac:dyDescent="0.25">
      <c r="C31" s="104" t="s">
        <v>24</v>
      </c>
      <c r="D31" s="102"/>
      <c r="E31" s="102">
        <v>1</v>
      </c>
      <c r="F31" s="102">
        <v>1</v>
      </c>
      <c r="G31"/>
      <c r="H31"/>
    </row>
    <row r="32" spans="1:15" x14ac:dyDescent="0.25">
      <c r="C32" s="104" t="s">
        <v>114</v>
      </c>
      <c r="D32" s="102"/>
      <c r="E32" s="102">
        <v>1</v>
      </c>
      <c r="F32" s="102">
        <v>1</v>
      </c>
      <c r="G32"/>
      <c r="H32"/>
    </row>
    <row r="33" spans="1:8" x14ac:dyDescent="0.25">
      <c r="A33" s="7">
        <v>6</v>
      </c>
      <c r="B33" s="56">
        <v>4.1666666666666664E-2</v>
      </c>
      <c r="C33" s="109">
        <v>46036</v>
      </c>
      <c r="D33" s="110"/>
      <c r="E33" s="110">
        <v>4</v>
      </c>
      <c r="F33" s="110">
        <v>4</v>
      </c>
      <c r="G33"/>
      <c r="H33"/>
    </row>
    <row r="34" spans="1:8" x14ac:dyDescent="0.25">
      <c r="C34" s="105" t="s">
        <v>15</v>
      </c>
      <c r="D34" s="106"/>
      <c r="E34" s="106">
        <v>2</v>
      </c>
      <c r="F34" s="106">
        <v>2</v>
      </c>
      <c r="G34"/>
      <c r="H34"/>
    </row>
    <row r="35" spans="1:8" x14ac:dyDescent="0.25">
      <c r="A35"/>
      <c r="B35"/>
      <c r="C35" s="104" t="s">
        <v>24</v>
      </c>
      <c r="D35" s="102"/>
      <c r="E35" s="102">
        <v>1</v>
      </c>
      <c r="F35" s="102">
        <v>1</v>
      </c>
      <c r="G35"/>
      <c r="H35"/>
    </row>
    <row r="36" spans="1:8" x14ac:dyDescent="0.25">
      <c r="C36" s="104" t="s">
        <v>114</v>
      </c>
      <c r="D36" s="102"/>
      <c r="E36" s="102">
        <v>1</v>
      </c>
      <c r="F36" s="102">
        <v>1</v>
      </c>
      <c r="G36"/>
      <c r="H36"/>
    </row>
    <row r="37" spans="1:8" x14ac:dyDescent="0.25">
      <c r="C37" s="105" t="s">
        <v>84</v>
      </c>
      <c r="D37" s="106"/>
      <c r="E37" s="106">
        <v>2</v>
      </c>
      <c r="F37" s="106">
        <v>2</v>
      </c>
      <c r="G37"/>
      <c r="H37"/>
    </row>
    <row r="38" spans="1:8" x14ac:dyDescent="0.25">
      <c r="C38" s="104" t="s">
        <v>24</v>
      </c>
      <c r="D38" s="102"/>
      <c r="E38" s="102">
        <v>2</v>
      </c>
      <c r="F38" s="102">
        <v>2</v>
      </c>
      <c r="G38"/>
      <c r="H38"/>
    </row>
    <row r="39" spans="1:8" x14ac:dyDescent="0.25">
      <c r="A39" s="7">
        <v>7</v>
      </c>
      <c r="B39" s="56">
        <v>4.1666666666666664E-2</v>
      </c>
      <c r="C39" s="109">
        <v>46045</v>
      </c>
      <c r="D39" s="110"/>
      <c r="E39" s="110">
        <v>4</v>
      </c>
      <c r="F39" s="110">
        <v>4</v>
      </c>
      <c r="G39"/>
      <c r="H39"/>
    </row>
    <row r="40" spans="1:8" x14ac:dyDescent="0.25">
      <c r="B40" s="62"/>
      <c r="C40" s="103" t="s">
        <v>15</v>
      </c>
      <c r="D40" s="102"/>
      <c r="E40" s="102">
        <v>1</v>
      </c>
      <c r="F40" s="102">
        <v>1</v>
      </c>
      <c r="G40"/>
      <c r="H40"/>
    </row>
    <row r="41" spans="1:8" x14ac:dyDescent="0.25">
      <c r="C41" s="104" t="s">
        <v>24</v>
      </c>
      <c r="D41" s="102"/>
      <c r="E41" s="102">
        <v>1</v>
      </c>
      <c r="F41" s="102">
        <v>1</v>
      </c>
      <c r="G41"/>
      <c r="H41"/>
    </row>
    <row r="42" spans="1:8" x14ac:dyDescent="0.25">
      <c r="C42" s="105" t="s">
        <v>84</v>
      </c>
      <c r="D42" s="106"/>
      <c r="E42" s="106">
        <v>3</v>
      </c>
      <c r="F42" s="106">
        <v>3</v>
      </c>
      <c r="G42"/>
      <c r="H42"/>
    </row>
    <row r="43" spans="1:8" x14ac:dyDescent="0.25">
      <c r="C43" s="104" t="s">
        <v>16</v>
      </c>
      <c r="D43" s="102"/>
      <c r="E43" s="102">
        <v>1</v>
      </c>
      <c r="F43" s="102">
        <v>1</v>
      </c>
      <c r="G43"/>
      <c r="H43"/>
    </row>
    <row r="44" spans="1:8" x14ac:dyDescent="0.25">
      <c r="C44" s="104" t="s">
        <v>24</v>
      </c>
      <c r="D44" s="102"/>
      <c r="E44" s="102">
        <v>1</v>
      </c>
      <c r="F44" s="102">
        <v>1</v>
      </c>
      <c r="G44"/>
      <c r="H44"/>
    </row>
    <row r="45" spans="1:8" x14ac:dyDescent="0.25">
      <c r="C45" s="104" t="s">
        <v>114</v>
      </c>
      <c r="D45" s="102"/>
      <c r="E45" s="102">
        <v>1</v>
      </c>
      <c r="F45" s="102">
        <v>1</v>
      </c>
      <c r="G45"/>
    </row>
    <row r="46" spans="1:8" x14ac:dyDescent="0.25">
      <c r="A46" s="7">
        <v>8</v>
      </c>
      <c r="B46" s="56">
        <v>3.125E-2</v>
      </c>
      <c r="C46" s="109">
        <v>46049</v>
      </c>
      <c r="D46" s="110"/>
      <c r="E46" s="110">
        <v>3</v>
      </c>
      <c r="F46" s="110">
        <v>3</v>
      </c>
      <c r="G46"/>
    </row>
    <row r="47" spans="1:8" x14ac:dyDescent="0.25">
      <c r="B47" s="62"/>
      <c r="C47" s="103" t="s">
        <v>15</v>
      </c>
      <c r="D47" s="102"/>
      <c r="E47" s="102">
        <v>1</v>
      </c>
      <c r="F47" s="102">
        <v>1</v>
      </c>
      <c r="G47"/>
    </row>
    <row r="48" spans="1:8" x14ac:dyDescent="0.25">
      <c r="C48" s="104" t="s">
        <v>16</v>
      </c>
      <c r="D48" s="102"/>
      <c r="E48" s="102">
        <v>1</v>
      </c>
      <c r="F48" s="102">
        <v>1</v>
      </c>
      <c r="G48"/>
    </row>
    <row r="49" spans="1:7" x14ac:dyDescent="0.25">
      <c r="C49" s="105" t="s">
        <v>84</v>
      </c>
      <c r="D49" s="106"/>
      <c r="E49" s="106">
        <v>2</v>
      </c>
      <c r="F49" s="106">
        <v>2</v>
      </c>
      <c r="G49"/>
    </row>
    <row r="50" spans="1:7" x14ac:dyDescent="0.25">
      <c r="C50" s="104" t="s">
        <v>16</v>
      </c>
      <c r="D50" s="102"/>
      <c r="E50" s="102">
        <v>1</v>
      </c>
      <c r="F50" s="102">
        <v>1</v>
      </c>
      <c r="G50"/>
    </row>
    <row r="51" spans="1:7" x14ac:dyDescent="0.25">
      <c r="C51" s="104" t="s">
        <v>24</v>
      </c>
      <c r="D51" s="102"/>
      <c r="E51" s="102">
        <v>1</v>
      </c>
      <c r="F51" s="102">
        <v>1</v>
      </c>
      <c r="G51"/>
    </row>
    <row r="52" spans="1:7" x14ac:dyDescent="0.25">
      <c r="A52" s="7">
        <v>9</v>
      </c>
      <c r="B52" s="56">
        <v>3.125E-2</v>
      </c>
      <c r="C52" s="109">
        <v>46052</v>
      </c>
      <c r="D52" s="110"/>
      <c r="E52" s="110">
        <v>1</v>
      </c>
      <c r="F52" s="110">
        <v>1</v>
      </c>
      <c r="G52"/>
    </row>
    <row r="53" spans="1:7" x14ac:dyDescent="0.25">
      <c r="C53" s="103" t="s">
        <v>15</v>
      </c>
      <c r="D53" s="102"/>
      <c r="E53" s="102">
        <v>1</v>
      </c>
      <c r="F53" s="102">
        <v>1</v>
      </c>
      <c r="G53"/>
    </row>
    <row r="54" spans="1:7" x14ac:dyDescent="0.25">
      <c r="C54" s="104" t="s">
        <v>24</v>
      </c>
      <c r="D54" s="102"/>
      <c r="E54" s="102">
        <v>1</v>
      </c>
      <c r="F54" s="102">
        <v>1</v>
      </c>
      <c r="G54"/>
    </row>
    <row r="55" spans="1:7" x14ac:dyDescent="0.25">
      <c r="C55" s="111" t="s">
        <v>230</v>
      </c>
      <c r="D55" s="102">
        <v>7</v>
      </c>
      <c r="E55" s="102">
        <v>51</v>
      </c>
      <c r="F55" s="102">
        <v>58</v>
      </c>
      <c r="G55"/>
    </row>
    <row r="56" spans="1:7" x14ac:dyDescent="0.25">
      <c r="A56" s="7">
        <v>10</v>
      </c>
      <c r="B56" s="56">
        <v>2.0833333333333332E-2</v>
      </c>
      <c r="C56" s="113" t="s">
        <v>316</v>
      </c>
      <c r="D56" s="112"/>
      <c r="E56" s="112"/>
      <c r="F56" s="112"/>
    </row>
    <row r="57" spans="1:7" x14ac:dyDescent="0.25">
      <c r="B57" s="6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E24B6-9DBD-48E4-94D5-D1B58F6539DF}">
  <dimension ref="A1:F28"/>
  <sheetViews>
    <sheetView workbookViewId="0">
      <selection sqref="A1:A3"/>
    </sheetView>
  </sheetViews>
  <sheetFormatPr defaultRowHeight="15" x14ac:dyDescent="0.25"/>
  <cols>
    <col min="1" max="1" width="46.42578125" style="83" customWidth="1"/>
    <col min="2" max="2" width="15" bestFit="1" customWidth="1"/>
    <col min="3" max="3" width="14.28515625" bestFit="1" customWidth="1"/>
    <col min="4" max="4" width="12.28515625" bestFit="1" customWidth="1"/>
    <col min="5" max="5" width="18.28515625" bestFit="1" customWidth="1"/>
    <col min="6" max="6" width="18.5703125" bestFit="1" customWidth="1"/>
  </cols>
  <sheetData>
    <row r="1" spans="1:6" x14ac:dyDescent="0.25">
      <c r="A1" s="115" t="s">
        <v>268</v>
      </c>
      <c r="B1" s="79" t="s">
        <v>269</v>
      </c>
      <c r="C1" s="79" t="s">
        <v>59</v>
      </c>
      <c r="D1" s="79" t="s">
        <v>119</v>
      </c>
      <c r="E1" s="79" t="s">
        <v>270</v>
      </c>
      <c r="F1" s="79" t="s">
        <v>174</v>
      </c>
    </row>
    <row r="2" spans="1:6" x14ac:dyDescent="0.25">
      <c r="A2" s="115"/>
      <c r="B2" s="80">
        <v>40005</v>
      </c>
      <c r="C2" s="80" t="s">
        <v>271</v>
      </c>
      <c r="D2" s="80" t="s">
        <v>272</v>
      </c>
      <c r="E2" s="80" t="s">
        <v>273</v>
      </c>
      <c r="F2" s="80" t="s">
        <v>274</v>
      </c>
    </row>
    <row r="3" spans="1:6" x14ac:dyDescent="0.25">
      <c r="A3" s="115"/>
      <c r="B3" s="80">
        <v>40006</v>
      </c>
      <c r="C3" s="80" t="s">
        <v>275</v>
      </c>
      <c r="D3" s="80" t="s">
        <v>276</v>
      </c>
      <c r="E3" s="80" t="s">
        <v>277</v>
      </c>
      <c r="F3" s="80" t="s">
        <v>275</v>
      </c>
    </row>
    <row r="5" spans="1:6" x14ac:dyDescent="0.25">
      <c r="A5" s="115" t="s">
        <v>278</v>
      </c>
      <c r="B5" s="79" t="s">
        <v>269</v>
      </c>
      <c r="C5" s="79" t="s">
        <v>59</v>
      </c>
      <c r="D5" s="79" t="s">
        <v>119</v>
      </c>
      <c r="E5" s="79" t="s">
        <v>270</v>
      </c>
      <c r="F5" s="79" t="s">
        <v>174</v>
      </c>
    </row>
    <row r="6" spans="1:6" x14ac:dyDescent="0.25">
      <c r="A6" s="115"/>
      <c r="B6" s="80">
        <v>40005</v>
      </c>
      <c r="C6" s="81" t="s">
        <v>279</v>
      </c>
      <c r="D6" s="81" t="s">
        <v>280</v>
      </c>
      <c r="E6" s="81" t="s">
        <v>281</v>
      </c>
      <c r="F6" s="81" t="s">
        <v>282</v>
      </c>
    </row>
    <row r="7" spans="1:6" x14ac:dyDescent="0.25">
      <c r="A7" s="115"/>
      <c r="B7" s="80">
        <v>40006</v>
      </c>
      <c r="C7" s="80" t="s">
        <v>275</v>
      </c>
      <c r="D7" s="80" t="s">
        <v>276</v>
      </c>
      <c r="E7" s="80" t="s">
        <v>277</v>
      </c>
      <c r="F7" s="80" t="s">
        <v>275</v>
      </c>
    </row>
    <row r="9" spans="1:6" x14ac:dyDescent="0.25">
      <c r="A9" s="114" t="s">
        <v>283</v>
      </c>
      <c r="B9" s="79" t="s">
        <v>269</v>
      </c>
      <c r="C9" s="79" t="s">
        <v>59</v>
      </c>
      <c r="D9" s="79" t="s">
        <v>119</v>
      </c>
      <c r="E9" s="79" t="s">
        <v>270</v>
      </c>
      <c r="F9" s="79" t="s">
        <v>174</v>
      </c>
    </row>
    <row r="10" spans="1:6" x14ac:dyDescent="0.25">
      <c r="A10" s="114"/>
      <c r="B10" s="80">
        <v>40005</v>
      </c>
      <c r="C10" s="81" t="s">
        <v>279</v>
      </c>
      <c r="D10" s="81" t="s">
        <v>280</v>
      </c>
      <c r="E10" s="81" t="s">
        <v>281</v>
      </c>
      <c r="F10" s="81" t="s">
        <v>282</v>
      </c>
    </row>
    <row r="11" spans="1:6" x14ac:dyDescent="0.25">
      <c r="A11" s="114"/>
      <c r="B11" s="80">
        <v>40006</v>
      </c>
      <c r="C11" s="80" t="s">
        <v>275</v>
      </c>
      <c r="D11" s="80" t="s">
        <v>276</v>
      </c>
      <c r="E11" s="80" t="s">
        <v>277</v>
      </c>
      <c r="F11" s="80" t="s">
        <v>275</v>
      </c>
    </row>
    <row r="13" spans="1:6" x14ac:dyDescent="0.25">
      <c r="A13" s="114" t="s">
        <v>284</v>
      </c>
      <c r="B13" s="79" t="s">
        <v>269</v>
      </c>
      <c r="C13" s="79" t="s">
        <v>59</v>
      </c>
      <c r="D13" s="79" t="s">
        <v>119</v>
      </c>
      <c r="E13" s="79" t="s">
        <v>270</v>
      </c>
      <c r="F13" s="79" t="s">
        <v>174</v>
      </c>
    </row>
    <row r="14" spans="1:6" x14ac:dyDescent="0.25">
      <c r="A14" s="114"/>
      <c r="B14" s="80">
        <v>40005</v>
      </c>
      <c r="C14" s="82" t="s">
        <v>275</v>
      </c>
      <c r="D14" s="81" t="s">
        <v>280</v>
      </c>
      <c r="E14" s="82" t="s">
        <v>277</v>
      </c>
      <c r="F14" s="82" t="s">
        <v>275</v>
      </c>
    </row>
    <row r="15" spans="1:6" x14ac:dyDescent="0.25">
      <c r="A15" s="114"/>
      <c r="B15" s="80">
        <v>40006</v>
      </c>
      <c r="C15" s="81" t="s">
        <v>275</v>
      </c>
      <c r="D15" s="81" t="s">
        <v>276</v>
      </c>
      <c r="E15" s="81" t="s">
        <v>277</v>
      </c>
      <c r="F15" s="81" t="s">
        <v>275</v>
      </c>
    </row>
    <row r="17" spans="1:6" x14ac:dyDescent="0.25">
      <c r="A17" s="114" t="s">
        <v>285</v>
      </c>
      <c r="B17" s="79" t="s">
        <v>269</v>
      </c>
      <c r="C17" s="79" t="s">
        <v>59</v>
      </c>
      <c r="D17" s="79" t="s">
        <v>119</v>
      </c>
      <c r="E17" s="79" t="s">
        <v>270</v>
      </c>
      <c r="F17" s="79" t="s">
        <v>174</v>
      </c>
    </row>
    <row r="18" spans="1:6" x14ac:dyDescent="0.25">
      <c r="A18" s="114"/>
      <c r="B18" s="80">
        <v>40005</v>
      </c>
      <c r="C18" s="82" t="s">
        <v>275</v>
      </c>
      <c r="D18" s="81" t="s">
        <v>280</v>
      </c>
      <c r="E18" s="82" t="s">
        <v>277</v>
      </c>
      <c r="F18" s="82" t="s">
        <v>275</v>
      </c>
    </row>
    <row r="19" spans="1:6" x14ac:dyDescent="0.25">
      <c r="A19" s="114"/>
      <c r="B19" s="80">
        <v>40006</v>
      </c>
      <c r="C19" s="81" t="s">
        <v>286</v>
      </c>
      <c r="D19" s="81" t="s">
        <v>287</v>
      </c>
      <c r="E19" s="81" t="s">
        <v>288</v>
      </c>
      <c r="F19" s="81" t="s">
        <v>289</v>
      </c>
    </row>
    <row r="21" spans="1:6" x14ac:dyDescent="0.25">
      <c r="A21" s="114" t="s">
        <v>290</v>
      </c>
      <c r="B21" s="79" t="s">
        <v>269</v>
      </c>
      <c r="C21" s="79" t="s">
        <v>59</v>
      </c>
      <c r="D21" s="79" t="s">
        <v>119</v>
      </c>
      <c r="E21" s="79" t="s">
        <v>270</v>
      </c>
      <c r="F21" s="79" t="s">
        <v>174</v>
      </c>
    </row>
    <row r="22" spans="1:6" x14ac:dyDescent="0.25">
      <c r="A22" s="114"/>
      <c r="B22" s="80">
        <v>40005</v>
      </c>
      <c r="C22" s="81" t="s">
        <v>291</v>
      </c>
      <c r="D22" s="81" t="s">
        <v>292</v>
      </c>
      <c r="E22" s="81" t="s">
        <v>293</v>
      </c>
      <c r="F22" s="81" t="s">
        <v>294</v>
      </c>
    </row>
    <row r="23" spans="1:6" x14ac:dyDescent="0.25">
      <c r="A23" s="114"/>
      <c r="B23" s="80">
        <v>40006</v>
      </c>
      <c r="C23" s="81" t="s">
        <v>286</v>
      </c>
      <c r="D23" s="81" t="s">
        <v>287</v>
      </c>
      <c r="E23" s="81" t="s">
        <v>288</v>
      </c>
      <c r="F23" s="81" t="s">
        <v>289</v>
      </c>
    </row>
    <row r="25" spans="1:6" x14ac:dyDescent="0.25">
      <c r="A25" s="114" t="s">
        <v>295</v>
      </c>
      <c r="B25" s="79" t="s">
        <v>269</v>
      </c>
      <c r="C25" s="79" t="s">
        <v>59</v>
      </c>
      <c r="D25" s="79" t="s">
        <v>119</v>
      </c>
      <c r="E25" s="79" t="s">
        <v>270</v>
      </c>
      <c r="F25" s="79" t="s">
        <v>174</v>
      </c>
    </row>
    <row r="26" spans="1:6" x14ac:dyDescent="0.25">
      <c r="A26" s="114"/>
      <c r="B26" s="80">
        <v>40005</v>
      </c>
      <c r="C26" s="80" t="s">
        <v>271</v>
      </c>
      <c r="D26" s="80" t="s">
        <v>272</v>
      </c>
      <c r="E26" s="80" t="s">
        <v>273</v>
      </c>
      <c r="F26" s="80" t="s">
        <v>274</v>
      </c>
    </row>
    <row r="27" spans="1:6" x14ac:dyDescent="0.25">
      <c r="A27" s="114"/>
      <c r="B27" s="80">
        <v>40006</v>
      </c>
      <c r="C27" s="82" t="s">
        <v>291</v>
      </c>
      <c r="D27" s="80" t="s">
        <v>287</v>
      </c>
      <c r="E27" s="82" t="s">
        <v>293</v>
      </c>
      <c r="F27" s="82" t="s">
        <v>294</v>
      </c>
    </row>
    <row r="28" spans="1:6" x14ac:dyDescent="0.25">
      <c r="B28" s="80"/>
      <c r="C28" s="80"/>
      <c r="D28" s="80"/>
      <c r="E28" s="80"/>
      <c r="F28" s="80"/>
    </row>
  </sheetData>
  <mergeCells count="7">
    <mergeCell ref="A25:A27"/>
    <mergeCell ref="A1:A3"/>
    <mergeCell ref="A5:A7"/>
    <mergeCell ref="A9:A11"/>
    <mergeCell ref="A13:A15"/>
    <mergeCell ref="A17:A19"/>
    <mergeCell ref="A21:A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F6"/>
  <sheetViews>
    <sheetView workbookViewId="0">
      <selection activeCell="F4" sqref="F4"/>
    </sheetView>
  </sheetViews>
  <sheetFormatPr defaultRowHeight="15" x14ac:dyDescent="0.25"/>
  <cols>
    <col min="1" max="1" width="19.5703125" bestFit="1" customWidth="1"/>
  </cols>
  <sheetData>
    <row r="1" spans="1:6" x14ac:dyDescent="0.25">
      <c r="A1" t="s">
        <v>22</v>
      </c>
      <c r="C1" t="s">
        <v>233</v>
      </c>
      <c r="F1" t="s">
        <v>114</v>
      </c>
    </row>
    <row r="2" spans="1:6" x14ac:dyDescent="0.25">
      <c r="A2" t="s">
        <v>234</v>
      </c>
      <c r="C2" t="s">
        <v>235</v>
      </c>
      <c r="F2" t="s">
        <v>16</v>
      </c>
    </row>
    <row r="3" spans="1:6" x14ac:dyDescent="0.25">
      <c r="A3" t="s">
        <v>82</v>
      </c>
      <c r="C3" t="s">
        <v>236</v>
      </c>
      <c r="F3" t="s">
        <v>24</v>
      </c>
    </row>
    <row r="4" spans="1:6" x14ac:dyDescent="0.25">
      <c r="C4" t="s">
        <v>17</v>
      </c>
    </row>
    <row r="5" spans="1:6" x14ac:dyDescent="0.25">
      <c r="C5" t="s">
        <v>219</v>
      </c>
    </row>
    <row r="6" spans="1:6" x14ac:dyDescent="0.25">
      <c r="C6" t="s">
        <v>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c440862435ae5f1402e2920a3a7191c5">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bf8694c23d5c530edc75ea2c66d63e8"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1</xvqq>
    <Notes xmlns="3d05c41d-42c7-4345-8236-8005f0c89855">Dev: SM | BSA: MU</Notes>
    <lcf76f155ced4ddcb4097134ff3c332f xmlns="3d05c41d-42c7-4345-8236-8005f0c898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F65C65-F7AA-4BE7-AB71-C7FA7B2D14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05c41d-42c7-4345-8236-8005f0c89855"/>
    <ds:schemaRef ds:uri="29065daa-3ce8-4783-94b0-fa366394b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F6D6F11-35FD-4112-8567-E1C56456DA3F}">
  <ds:schemaRefs>
    <ds:schemaRef ds:uri="http://schemas.microsoft.com/sharepoint/v3/contenttype/forms"/>
  </ds:schemaRefs>
</ds:datastoreItem>
</file>

<file path=customXml/itemProps3.xml><?xml version="1.0" encoding="utf-8"?>
<ds:datastoreItem xmlns:ds="http://schemas.openxmlformats.org/officeDocument/2006/customXml" ds:itemID="{3A1379FC-D34C-405C-A378-7483A08557A8}">
  <ds:schemaRefs>
    <ds:schemaRef ds:uri="3d05c41d-42c7-4345-8236-8005f0c89855"/>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29065daa-3ce8-4783-94b0-fa366394ba57"/>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DEFECTS</vt:lpstr>
      <vt:lpstr>SUMMARY</vt:lpstr>
      <vt:lpstr>52</vt:lpstr>
      <vt:lpstr>Sheet2</vt:lpstr>
    </vt:vector>
  </TitlesOfParts>
  <Manager/>
  <Company>Orange County Superior Court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Melanie Uyehara</cp:lastModifiedBy>
  <cp:revision/>
  <dcterms:created xsi:type="dcterms:W3CDTF">2025-10-01T18:45:47Z</dcterms:created>
  <dcterms:modified xsi:type="dcterms:W3CDTF">2026-02-03T23:56:43Z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