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1577" documentId="8_{ED021C88-37C5-4C3E-B4A9-C8AF0B1487DC}" xr6:coauthVersionLast="47" xr6:coauthVersionMax="47" xr10:uidLastSave="{C1E7B570-749D-4DC5-AE35-77BF1FF83AEB}"/>
  <bookViews>
    <workbookView xWindow="28695" yWindow="-3645" windowWidth="32895" windowHeight="20985" xr2:uid="{7496AAB9-9610-4154-B91D-ED1C66077D08}"/>
  </bookViews>
  <sheets>
    <sheet name="DEFECTS" sheetId="1" r:id="rId1"/>
    <sheet name="SUMMARY" sheetId="4" r:id="rId2"/>
    <sheet name="31" sheetId="5" r:id="rId3"/>
    <sheet name="36" sheetId="6" r:id="rId4"/>
    <sheet name="Sheet2" sheetId="3" state="hidden" r:id="rId5"/>
  </sheets>
  <definedNames>
    <definedName name="_xlnm._FilterDatabase" localSheetId="0" hidden="1">DEFECTS!$A$1:$N$55</definedName>
  </definedNames>
  <calcPr calcId="191028"/>
  <pivotCaches>
    <pivotCache cacheId="14"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<sst xmlns="http://schemas.openxmlformats.org/spreadsheetml/2006/main" count="554" uniqueCount="238">
  <si>
    <t>ID</t>
  </si>
  <si>
    <t>Date
Reported</t>
  </si>
  <si>
    <t>Interface</t>
  </si>
  <si>
    <t>Scenario Type</t>
  </si>
  <si>
    <t>Bug Type</t>
  </si>
  <si>
    <t>Status</t>
  </si>
  <si>
    <t>Window
Column(s)</t>
  </si>
  <si>
    <t>Summary</t>
  </si>
  <si>
    <t>Defect
(NG Display, Scenario)</t>
  </si>
  <si>
    <t>BSA Test Scenario Comments</t>
  </si>
  <si>
    <t>Date
Retest</t>
  </si>
  <si>
    <t>Retest
Pass/Fail</t>
  </si>
  <si>
    <t>BSA Comments</t>
  </si>
  <si>
    <t>DEV Comments</t>
  </si>
  <si>
    <t>PB Only</t>
  </si>
  <si>
    <t>UI</t>
  </si>
  <si>
    <t>Minor</t>
  </si>
  <si>
    <t>Resolved</t>
  </si>
  <si>
    <t>General</t>
  </si>
  <si>
    <t>Window Load</t>
  </si>
  <si>
    <t>Is it possible to display the loading wheel first? Currently the window flashes between white/gray then displays the loading wheel, then the window</t>
  </si>
  <si>
    <t>Might have been introduced with Tab Flash issue that was recently implemented</t>
  </si>
  <si>
    <t>Pass</t>
  </si>
  <si>
    <t>2/5/26 SM - Jorge might have addressed this issue</t>
  </si>
  <si>
    <t>Both</t>
  </si>
  <si>
    <t>Functionality</t>
  </si>
  <si>
    <t xml:space="preserve">General </t>
  </si>
  <si>
    <t>F7/F8 Delay in loading</t>
  </si>
  <si>
    <t>1. User selects F8
2. Next row is higlighted in middle of field
3. Row then moves to top</t>
  </si>
  <si>
    <t>Next row is always at top in current window</t>
  </si>
  <si>
    <t>2/10/26 SM - modified rows in view to 27. Next row being displayed at the top was a result of adding virtualization</t>
  </si>
  <si>
    <t>Major</t>
  </si>
  <si>
    <t>F3 Refresh</t>
  </si>
  <si>
    <t>F3 does not clear column filters; sorting and placement remain.
If user's view is the last page and F3 to refresh executed, the view remains the same rather than displaying the first row as if the window was first opened</t>
  </si>
  <si>
    <t>UI Guidelines #40; ID does not state that sorting/window view should be cleared, should it be? Might need to define Reset v. Refresh if terms are different</t>
  </si>
  <si>
    <t>2/5/26 SM - filters are now reset when refreshing and saving</t>
  </si>
  <si>
    <t>Can Refresh also reset column widths to default display?</t>
  </si>
  <si>
    <t>2/9/26 SM - Reset the column width when refreshing the window.</t>
  </si>
  <si>
    <t>If user clicks on grid then refreshes, loading window does not appear - only a small loading circle in the grid; should be the 100% opacity view</t>
  </si>
  <si>
    <t>UI Guidelines #87; user clicks outside of grid then 100% opacitiy view appears; should be consistent regardless of where user clicks</t>
  </si>
  <si>
    <t>2/5/26 SM - loading screen has been added on refresh &amp; save</t>
  </si>
  <si>
    <t>Control Code, Dt. Updated, Updated By</t>
  </si>
  <si>
    <t>Read-only values when row is in edit mode</t>
  </si>
  <si>
    <t>Is there a way to "disable" these fields when row is in edit mode? Currently cells open up in a view that looks like they can be modified</t>
  </si>
  <si>
    <t>2/5/26 SM - ct code, dt updated, updated by are now disabled.</t>
  </si>
  <si>
    <t>Return to Dev</t>
  </si>
  <si>
    <t>Court Control, Description,
Value</t>
  </si>
  <si>
    <t>Character Limits</t>
  </si>
  <si>
    <r>
      <rPr>
        <b/>
        <sz val="11"/>
        <rFont val="Calibri"/>
        <family val="2"/>
      </rPr>
      <t xml:space="preserve">Court Control
</t>
    </r>
    <r>
      <rPr>
        <sz val="11"/>
        <rFont val="Calibri"/>
        <family val="2"/>
      </rPr>
      <t xml:space="preserve">NG window limits to 12, </t>
    </r>
    <r>
      <rPr>
        <i/>
        <sz val="11"/>
        <rFont val="Calibri"/>
        <family val="2"/>
      </rPr>
      <t>Existing window varies</t>
    </r>
    <r>
      <rPr>
        <sz val="11"/>
        <rFont val="Calibri"/>
        <family val="2"/>
      </rPr>
      <t xml:space="preserve"> based on width of characters entered
Data base limit is 12
</t>
    </r>
    <r>
      <rPr>
        <b/>
        <sz val="11"/>
        <rFont val="Calibri"/>
        <family val="2"/>
      </rPr>
      <t xml:space="preserve">Description
</t>
    </r>
    <r>
      <rPr>
        <sz val="11"/>
        <rFont val="Calibri"/>
        <family val="2"/>
      </rPr>
      <t xml:space="preserve">Does not have limit, however, fluent validation appears if &gt;255
</t>
    </r>
    <r>
      <rPr>
        <i/>
        <sz val="11"/>
        <rFont val="Calibri"/>
        <family val="2"/>
      </rPr>
      <t>Existing window</t>
    </r>
    <r>
      <rPr>
        <sz val="11"/>
        <rFont val="Calibri"/>
        <family val="2"/>
      </rPr>
      <t xml:space="preserve"> varies based on width of characters entered
Database limit is 255
</t>
    </r>
    <r>
      <rPr>
        <b/>
        <sz val="11"/>
        <rFont val="Calibri"/>
        <family val="2"/>
      </rPr>
      <t>Value</t>
    </r>
    <r>
      <rPr>
        <sz val="11"/>
        <rFont val="Calibri"/>
        <family val="2"/>
      </rPr>
      <t xml:space="preserve">
Does not have limit, however, fluent validation appears if &gt;255
Existing window varies based on width of characters entered
Database limit is 255</t>
    </r>
  </si>
  <si>
    <t>UI Guidelines ID #57; Current rule is to match front end limits; however, when it varies based on the character width, should no limit apply and only leave FluentValidation  or use database limits?</t>
  </si>
  <si>
    <t>Fail</t>
  </si>
  <si>
    <r>
      <rPr>
        <sz val="11"/>
        <color rgb="FFBFBFBF"/>
        <rFont val="Calibri"/>
      </rPr>
      <t xml:space="preserve">2/5/26 SM - NG is currently using the database limit of  control_code = 12, value = 255, descrip = 255
</t>
    </r>
    <r>
      <rPr>
        <sz val="11"/>
        <color rgb="FF000000"/>
        <rFont val="Calibri"/>
      </rPr>
      <t>4/23/26 SM - set a character limit on the razor page instead of the fluent validation file
Description=255, Value=255, Nbr=10, amount=15</t>
    </r>
  </si>
  <si>
    <t>Nbr</t>
  </si>
  <si>
    <t>Does not have limit, no fluent validation appears
if user exceeds 38 characters, data overrides to "9223372036854775807"
Existing window limits to 10 numbers
Data base limit is 38</t>
  </si>
  <si>
    <t>Issue previously occurred in Error Codes (ID #'s 6-7); Current rule is to match front end limits; however, when it varies based on the character width, should no limit apply and only leave FluentValidation  or use database limits?</t>
  </si>
  <si>
    <t>4/23/26 SM - removed fluent validation. Added Nbr character limit is now 10</t>
  </si>
  <si>
    <t>Amount</t>
  </si>
  <si>
    <t>Does not have limit, no fluent validation appears
Existing window allows for 999,999,999.99
Data base limit is (15,2)</t>
  </si>
  <si>
    <t xml:space="preserve">User can attempt to save but errors out. Since it's not a required field, window should have character limit on front end. </t>
  </si>
  <si>
    <t>4/23/26 SM - removed fluent validation. Added Amount character limit is now 15</t>
  </si>
  <si>
    <t>Description</t>
  </si>
  <si>
    <t>Tooltip Placement</t>
  </si>
  <si>
    <t>Can this be dynamic and appear where cursor is? If not, can we right justify the tooltip so it's within the description section</t>
  </si>
  <si>
    <r>
      <t xml:space="preserve">2/6/26 SM - tooltip placement has been set to </t>
    </r>
    <r>
      <rPr>
        <b/>
        <sz val="11"/>
        <color rgb="FF000000"/>
        <rFont val="Calibri"/>
        <family val="2"/>
      </rPr>
      <t>Top Center</t>
    </r>
    <r>
      <rPr>
        <sz val="11"/>
        <color rgb="FF000000"/>
        <rFont val="Calibri"/>
        <family val="2"/>
      </rPr>
      <t>. Entries that have less than 89 characters will not display tooltip when hovered.</t>
    </r>
  </si>
  <si>
    <t>Value</t>
  </si>
  <si>
    <t>Add Tooltip</t>
  </si>
  <si>
    <t>Can we add a tooltip to this column?</t>
  </si>
  <si>
    <t>2/5/26 SM - added tooltip to value. Entries that have less than 35 characters will not display tooltip when hovered.</t>
  </si>
  <si>
    <t>Current location is on the bottom right of the cell so it overlaps with the Dt. Effective column. Can this be dynamic and appear where cursor is? If not, can we right justify the tooltip so it's within the description section</t>
  </si>
  <si>
    <t xml:space="preserve">2/6/26 SM - tooltip placement has been set to Top Center. </t>
  </si>
  <si>
    <t>Dt. Effective</t>
  </si>
  <si>
    <t>Date FluentValidation missing</t>
  </si>
  <si>
    <t>Able to save date prior to 01/01/1900</t>
  </si>
  <si>
    <t>3/19/26 SM - Added Fluent Validation to prevent dates from exceeding 12/31/1899. Need to revisit later
Also need to discuss about strict mode. For example, the user enters 12/31/2124, before the fluent validation message appears, strict mode changes it to 12/31/2099. This might not be good to the user. Maybe we should get rid of it or discuss this?
x</t>
  </si>
  <si>
    <t>Dt. Invalid</t>
  </si>
  <si>
    <t>Able to save date past 12/31/2099</t>
  </si>
  <si>
    <t>3/19/26 SM - Added Fluent Validation to prevent dates from exceeding 01/01/2100. Need to revisit later
x</t>
  </si>
  <si>
    <t>Latency in words appearing in field</t>
  </si>
  <si>
    <t>Both windows experience latency when typing Description</t>
  </si>
  <si>
    <t>UI Guidelines #8</t>
  </si>
  <si>
    <t>2/10/26 SM - issue addressed by turning on virtualization.</t>
  </si>
  <si>
    <t>Bolded font missing after edit</t>
  </si>
  <si>
    <t>Description field is the only row missing when exiting edit mode</t>
  </si>
  <si>
    <t>UI Guidelines #31</t>
  </si>
  <si>
    <t>2/5/26 SM - issue addressed. This occured because we had a new flavor (tooltips inside editable rows). CSS added globally for when row has visionchanged applies &amp; is tooltip</t>
  </si>
  <si>
    <t>After edit, ENTER key does not work to exit row</t>
  </si>
  <si>
    <t xml:space="preserve">Current PB version allows for enter to be used to move curser to subsequent line within Description. If </t>
  </si>
  <si>
    <t>UI Guidelines #55; workaround is that user must tab to a different field or click to exit edit mode</t>
  </si>
  <si>
    <t>2/6/26 SM - removed textarea in favor for textbox</t>
  </si>
  <si>
    <t>FluentValidation Messages appearing</t>
  </si>
  <si>
    <r>
      <t xml:space="preserve">1. Enter New row with data, attempt to click out, the following messages appear:
Court Control: Please enter Control Code.
Description: Please enter Description.
Dt. Effective: Please enter Dt. Effective.
Nbr: Either Nbr, Amount, or Value column must be entered.
2. Enter value in </t>
    </r>
    <r>
      <rPr>
        <b/>
        <sz val="11"/>
        <rFont val="Calibri"/>
        <family val="2"/>
      </rPr>
      <t>Amount</t>
    </r>
    <r>
      <rPr>
        <sz val="11"/>
        <rFont val="Calibri"/>
        <family val="2"/>
      </rPr>
      <t xml:space="preserve"> then tab: Either Nbr, Amount, or Value column must be entered. FluentValidation message remains and others disappear</t>
    </r>
  </si>
  <si>
    <t>FluentValidation messages that have not been addressed should remain and one(s) that have been addressed should be removed.
Note: if I click away from row after fixing, the correct messages appear</t>
  </si>
  <si>
    <t>2/10/26 SM - updated the fluent validation order validation messages as displayed.</t>
  </si>
  <si>
    <t>FluentValidation Messages appearing in wrong Field</t>
  </si>
  <si>
    <t>Enter Control Code with same value as existing row, message appears in Dt. Effective column
"Record already exists. Please select different values for Court Control and Dt. Effective."</t>
  </si>
  <si>
    <t xml:space="preserve">Validation should appear in Control Code cell, also not sure why the validation takes place at the Dt. Effective Cell </t>
  </si>
  <si>
    <t>2/5/26 SM - added validation to control code. Validation previously occured in dt effective because the validation needs both control code and dt. effective but fluent validation only can place it in one spot.</t>
  </si>
  <si>
    <t>Edit Mode then Filter column abandons pending changes</t>
  </si>
  <si>
    <t>1. Open window with no filters applied
2. Open existing row in edit mode and make changes
3. Apply sorting filter on a column - pending changes should commit and row should be bolded. User can then open subsequent row in edit mode</t>
  </si>
  <si>
    <t>Issue previously occurred in Error Codes (ID # 53); current NG window is abandoning pending changes when filter is applied</t>
  </si>
  <si>
    <t>2/6/26 SM - added the helper.</t>
  </si>
  <si>
    <t>Prevent Concurrent Updates missing on editing rows</t>
  </si>
  <si>
    <t>1. Update Description in Vision App. Save
2. Update Description of same row in Vision Web. Save - success</t>
  </si>
  <si>
    <t>Issue occurs on all updateable fields when editing existing rows</t>
  </si>
  <si>
    <t>2/5/26 SM - concurrency issue has been addressed. Will throw an error now if you try saving same record.</t>
  </si>
  <si>
    <t>Concurrent Update for Dt. Effective creates Duplicate Row</t>
  </si>
  <si>
    <t>1. Update Dt. Effective in Vision App. Save
2. Update Dt. Effective of same row in Vision Web. Save - success
3. Refresh - duplicate Control Code/row created with new Dt. Effective</t>
  </si>
  <si>
    <t>Duplicate created while testing concurrent updates</t>
  </si>
  <si>
    <t>2/5/26 SM - concurrency issue addressed above. Please let me know if this still creates another record.</t>
  </si>
  <si>
    <t>Nbr.</t>
  </si>
  <si>
    <t>Cannot enter value less than 0</t>
  </si>
  <si>
    <t>PB window allows for "-20" but NG window displays "Nbr. must be 0 or greater"</t>
  </si>
  <si>
    <t>Not clear why validation was added; see existing row AWSSPENDCNT with "-20" Nbr. Value</t>
  </si>
  <si>
    <t>2/6/2026 SM - Fluent Validation has been added to Nbr column. FV now accepts negative Nbr and Amount</t>
  </si>
  <si>
    <t>PB window prevents "0.00" from being entered in the field but we have CRMP rows where the value for AMOUNT is "0" rather than NULL</t>
  </si>
  <si>
    <t>See existing row DAYSERRLOG with "0" Amount value</t>
  </si>
  <si>
    <t>2/5/26 SM - removed validation to prevent 0. Also see previous defect #24. Same wrong validation message/logic</t>
  </si>
  <si>
    <t>Nbr., Amount</t>
  </si>
  <si>
    <t>Disable Mouse Scrolling on Fields</t>
  </si>
  <si>
    <t>Scrolling up increases value, scrolling down decreases value</t>
  </si>
  <si>
    <t>Should not be enabled</t>
  </si>
  <si>
    <t>Pass with Comments</t>
  </si>
  <si>
    <t>2/5/26 SM - numeric fields like amount, nbr are no longer allowed to use the mouse wheel.</t>
  </si>
  <si>
    <t>Web Only</t>
  </si>
  <si>
    <t>Menu</t>
  </si>
  <si>
    <t>Grouping</t>
  </si>
  <si>
    <t>New grouping introduced on 01/30 where folders are labeled as different paths that are in Vision. Adding as line item to discuss</t>
  </si>
  <si>
    <t>2/10/26 SM - Issue has been addressed. Grouping similar to vision</t>
  </si>
  <si>
    <t>Profile</t>
  </si>
  <si>
    <t>Determine LOE of adding profile and build number to web version, would help BSAs when testing other profiles and indicate when new releases have been completed</t>
  </si>
  <si>
    <t>2/10/26 SM - Issue addressed. Current web=5.02/API=5.02</t>
  </si>
  <si>
    <t>Read-only profiles should not have access to launch MOCS Dfn.</t>
  </si>
  <si>
    <t>PB window does not display button at all. Is there a way to remove for read-only profiles? If not, it needs to be disabled</t>
  </si>
  <si>
    <t>Web version launches the "Under Construction" message, however, button should be removed. If cannot remove, it needs to be disabled</t>
  </si>
  <si>
    <t>2/5/26 SM - removed MOCS button for readonly profiles</t>
  </si>
  <si>
    <t>1. Remove image from window load
2. Missing "Court Control Setup" before "Loading…" text
3. A smaller loading wheel is displaying ontop of the existing one. Screeshot attached for reference</t>
  </si>
  <si>
    <t>The flash was fixed and now displays a white screen before displaying the window load page
#3 only occurs in Vision app</t>
  </si>
  <si>
    <t>3/19 SM - has been addressed. Window name appears on load</t>
  </si>
  <si>
    <t>Add Row</t>
  </si>
  <si>
    <t>Add Row Functionality failing</t>
  </si>
  <si>
    <t>Window freezes in both Vision and web when trying to add row</t>
  </si>
  <si>
    <t>3/19 SM - has been addressed. Incorrect data type caused crashing</t>
  </si>
  <si>
    <t>Description, Amount</t>
  </si>
  <si>
    <t>FluentValidation remaining after correcting value</t>
  </si>
  <si>
    <t>1. Value entered is &gt; limit, tab
2. Green box highlights cell and FluentValidation displays
3. Correct issue and tab out of cell, red box highlights corrected cell and fluent validation remains</t>
  </si>
  <si>
    <t>Should be removed once corrected</t>
  </si>
  <si>
    <t>3/19 SM - validation now occurs whenever the user immediately changes focus from their column to another</t>
  </si>
  <si>
    <t>Font size increases briefly when scrolling in rows</t>
  </si>
  <si>
    <t>1. Scroll slowly through rows until "ATP_ACT" Control Code is the first row 
2. User sees font size temporarily enlarge then return to esmall size in various columns in window</t>
  </si>
  <si>
    <t>3/20 SM - has been addressed. Rendering issues caused a layout shift</t>
  </si>
  <si>
    <t>Modifying field triggers delete message</t>
  </si>
  <si>
    <t>After editing Dt.Effective date, user saves and save loading wheel displays over Validation Error "One or more validation errors occurred: - Only newly added rows can be deleted."</t>
  </si>
  <si>
    <t>Validation does not make sense as I was not deleting row</t>
  </si>
  <si>
    <t>3/19 SM - has been addressed. Occured bcz in backend we delete and add new row for modifications on compositite keys.</t>
  </si>
  <si>
    <t>No Action</t>
  </si>
  <si>
    <t>Value,
Dt. Updated</t>
  </si>
  <si>
    <t>Cells missing highlight</t>
  </si>
  <si>
    <t>1. Edit Row with Value and delete Value 
2. Tab out of field triggers FV
3. Click Nbr cell and enter valid number.
4. Tab out of Nbr cell to Value cell
5. ENTER keypress
6. F3 Refresh - select No
7. Repeat Steps 1-5</t>
  </si>
  <si>
    <t>Cosistently able to replicate missing Value and Dt. Updated highlights; occassionally can get all highlights to disappear except for Updated By - having trouble recreating this scenario</t>
  </si>
  <si>
    <t>4/22/026</t>
  </si>
  <si>
    <t>3/19 SM - I believe this is the same bug we identified in code entry that we were going to disregard
3/20 SM - leave as it</t>
  </si>
  <si>
    <t>New</t>
  </si>
  <si>
    <t>Description,
Value</t>
  </si>
  <si>
    <t>1. User enters &gt;255 characters and tabs/clicks next field
2. Cell turns red but Fluent Validation does not appear</t>
  </si>
  <si>
    <t>If ENTER keypress is used, then then FV is triggered. Shouldn't the FV be triggered upon leaving the field?</t>
  </si>
  <si>
    <t>4/23/26 SM - limited  description/value to 255 characters</t>
  </si>
  <si>
    <t>Control Code, Description, Dt. Effective</t>
  </si>
  <si>
    <t>Missing Underline on required value column headers</t>
  </si>
  <si>
    <t>Fields are required and should be identified with underline in column headers</t>
  </si>
  <si>
    <t>UI Guidelines #96; recently added guideline from decision made in Bail Schedule QA</t>
  </si>
  <si>
    <t>4/23/26 SM - added underlining to the grid columns that are required. (control code, description, dt. effective)</t>
  </si>
  <si>
    <t>Regression</t>
  </si>
  <si>
    <t>Previously corrected to allow for FV to limit to (15,2) 9,999,999,999,999.99 see image right on 02/06/26. User can now only enter (12,2)
123,456,789,012.34</t>
  </si>
  <si>
    <t>Date Fields</t>
  </si>
  <si>
    <t>Values are overriding</t>
  </si>
  <si>
    <t>Invalid dates are being overridden with min/max dates so user never sees FV entry</t>
  </si>
  <si>
    <t>Can we leave the invalid dates in the fields so that user has the chance to go back and fix entry?</t>
  </si>
  <si>
    <t>4/23/26 SM - removed StrictMode for date inputs in vision date component. Will be reflected across all windows currently using vision date components</t>
  </si>
  <si>
    <t>Nbr, Amount</t>
  </si>
  <si>
    <t>Disable Arrow Keys on Fields</t>
  </si>
  <si>
    <t>Arrow up keypress increases value, arrow down keypress decreases value</t>
  </si>
  <si>
    <t>4/23/26 SM - added step='0' to disable arrow up/down</t>
  </si>
  <si>
    <t>Count of Scenario Type</t>
  </si>
  <si>
    <t>Column Labels</t>
  </si>
  <si>
    <t>Row Labels</t>
  </si>
  <si>
    <t>Grand Total</t>
  </si>
  <si>
    <t>Count of Bug Type</t>
  </si>
  <si>
    <t>Count of Status</t>
  </si>
  <si>
    <t>Retest In Progress</t>
  </si>
  <si>
    <t>Dt. Effective/ Dt. Expires</t>
  </si>
  <si>
    <t>FluentValidation not appearing for invalid values</t>
  </si>
  <si>
    <t>FluentValidation incorrectly appearing</t>
  </si>
  <si>
    <t>1. Enter invalid date value for Dt. Effective or Dt. Invalid
2. Use TAB keypress to move to next cell</t>
  </si>
  <si>
    <t>Cell highlights to green which is incorrect since the values are invalid
Once ENTER keypress is used, then then FVs are triggered
Expected behavior is when user leaves cell (tab, clicks, enter keypress), the FV should appear; this was previously reported in ID 35</t>
  </si>
  <si>
    <t>Cell highlights to green which is incorrect since the values are invalid
Once ENTER keypress is used, then then FVs are triggered
Unclear why FV is triggered when 1234567890 is 10 digits</t>
  </si>
  <si>
    <t>1. Enter 10 digits for Nbr (e.g., 1234567890)</t>
  </si>
  <si>
    <r>
      <rPr>
        <b/>
        <sz val="11"/>
        <color theme="0" tint="-0.34998626667073579"/>
        <rFont val="Calibri"/>
        <family val="2"/>
      </rPr>
      <t xml:space="preserve">04/22: </t>
    </r>
    <r>
      <rPr>
        <sz val="11"/>
        <color theme="0" tint="-0.34998626667073579"/>
        <rFont val="Calibri"/>
        <family val="2"/>
      </rPr>
      <t xml:space="preserve">limit front end to 255 characters
</t>
    </r>
    <r>
      <rPr>
        <b/>
        <sz val="11"/>
        <color theme="0" tint="-0.34998626667073579"/>
        <rFont val="Calibri"/>
        <family val="2"/>
      </rPr>
      <t>04/28:</t>
    </r>
    <r>
      <rPr>
        <sz val="11"/>
        <color theme="0" tint="-0.34998626667073579"/>
        <rFont val="Calibri"/>
        <family val="2"/>
      </rPr>
      <t xml:space="preserve"> see ID 40, 41</t>
    </r>
  </si>
  <si>
    <t>Dt.Effective</t>
  </si>
  <si>
    <t>FluentValidation displaying wrong message</t>
  </si>
  <si>
    <t>If invalid value entered in Dt. Effective field, message says "Invalid date must be between 12/31/1899 and 01/01/2100."</t>
  </si>
  <si>
    <t>1. Dt. Effective should have a different message
2. Shouldn’t min/max dates be 01/01/1900 and 12/31/2099"?</t>
  </si>
  <si>
    <t>Control Code</t>
  </si>
  <si>
    <t>FluentValidation appearing late</t>
  </si>
  <si>
    <t>If user enters existing value in Control Code, it doesn't appear until the rest of the values are entered</t>
  </si>
  <si>
    <t>Shouldn't this be first?</t>
  </si>
  <si>
    <t>Seems that decimal is counted towards FE limit - can this be fixed? Issue occurs if negative symbol or decimal used</t>
  </si>
  <si>
    <r>
      <rPr>
        <b/>
        <sz val="11"/>
        <color theme="0" tint="-0.34998626667073579"/>
        <rFont val="Calibri"/>
        <family val="2"/>
      </rPr>
      <t>04/28:</t>
    </r>
    <r>
      <rPr>
        <sz val="11"/>
        <color theme="0" tint="-0.34998626667073579"/>
        <rFont val="Calibri"/>
        <family val="2"/>
      </rPr>
      <t xml:space="preserve"> regression retest &amp; pass</t>
    </r>
  </si>
  <si>
    <r>
      <t xml:space="preserve">04/22: </t>
    </r>
    <r>
      <rPr>
        <sz val="11"/>
        <color theme="0" tint="-0.34998626667073579"/>
        <rFont val="Calibri"/>
        <family val="2"/>
      </rPr>
      <t>read only profiles (impact) can view and launch MOCS (VISSEC/MCDEFN)</t>
    </r>
  </si>
  <si>
    <r>
      <rPr>
        <b/>
        <sz val="11"/>
        <color theme="0" tint="-0.34998626667073579"/>
        <rFont val="Calibri"/>
        <family val="2"/>
      </rPr>
      <t xml:space="preserve">04/28: </t>
    </r>
    <r>
      <rPr>
        <sz val="11"/>
        <color theme="0" tint="-0.34998626667073579"/>
        <rFont val="Calibri"/>
        <family val="2"/>
      </rPr>
      <t>no longer occurrs as field character limits are implemented</t>
    </r>
  </si>
  <si>
    <r>
      <rPr>
        <b/>
        <sz val="11"/>
        <color theme="0" tint="-0.34998626667073579"/>
        <rFont val="Calibri"/>
        <family val="2"/>
      </rPr>
      <t>04/28:</t>
    </r>
    <r>
      <rPr>
        <sz val="11"/>
        <color theme="0" tint="-0.34998626667073579"/>
        <rFont val="Calibri"/>
        <family val="2"/>
      </rPr>
      <t xml:space="preserve"> see ID 42</t>
    </r>
  </si>
  <si>
    <t>If 15 digits are entered (123456789012345), format updates to add ".00" at end totalling 17 digits (123456789012345.00) therefore input fails
If user tries to format with decimal, they are shorted 1 number and can only enter 14 (1234567890123.4)</t>
  </si>
  <si>
    <t>04/29/26 SM - has been addressed</t>
  </si>
  <si>
    <t>04/29/ SM - added max length to 17 characters + added Fluent validation that only permits 13 whole numbers and 2 decimal as per database limit.</t>
  </si>
  <si>
    <t>04/26/26 SM - modified FV message for Dt. Effective and Dt. Invalid</t>
  </si>
  <si>
    <t>03/18: see ID #29
04/22: regression retest &amp; pass
04/28: regression retest &amp; pass
04/30: regression retest &amp; pass</t>
  </si>
  <si>
    <t>04/22: regression retest &amp; pass
04/28: regression retest &amp; pass
04/30: regression retest &amp; pass</t>
  </si>
  <si>
    <r>
      <rPr>
        <b/>
        <sz val="11"/>
        <color theme="0" tint="-0.34998626667073579"/>
        <rFont val="Calibri"/>
        <family val="2"/>
      </rPr>
      <t>03/18:</t>
    </r>
    <r>
      <rPr>
        <sz val="11"/>
        <color theme="0" tint="-0.34998626667073579"/>
        <rFont val="Calibri"/>
        <family val="2"/>
      </rPr>
      <t xml:space="preserve"> cannot validate due to ID #30
</t>
    </r>
    <r>
      <rPr>
        <b/>
        <sz val="11"/>
        <color theme="0" tint="-0.34998626667073579"/>
        <rFont val="Calibri"/>
        <family val="2"/>
      </rPr>
      <t>04/22:</t>
    </r>
    <r>
      <rPr>
        <sz val="11"/>
        <color theme="0" tint="-0.34998626667073579"/>
        <rFont val="Calibri"/>
        <family val="2"/>
      </rPr>
      <t xml:space="preserve"> Court Control field resolved, </t>
    </r>
    <r>
      <rPr>
        <b/>
        <sz val="11"/>
        <color theme="0" tint="-0.34998626667073579"/>
        <rFont val="Calibri"/>
        <family val="2"/>
      </rPr>
      <t>Description &amp; Value</t>
    </r>
    <r>
      <rPr>
        <sz val="11"/>
        <color theme="0" tint="-0.34998626667073579"/>
        <rFont val="Calibri"/>
        <family val="2"/>
      </rPr>
      <t xml:space="preserve"> fields still allow user to enter &gt;255 characters; FluentValidation does not appear until user attempts to leave row (ENTER keypress) (see ID #35)
</t>
    </r>
    <r>
      <rPr>
        <b/>
        <sz val="11"/>
        <color theme="0" tint="-0.34998626667073579"/>
        <rFont val="Calibri"/>
        <family val="2"/>
      </rPr>
      <t>04/28:</t>
    </r>
    <r>
      <rPr>
        <sz val="11"/>
        <color theme="0" tint="-0.34998626667073579"/>
        <rFont val="Calibri"/>
        <family val="2"/>
      </rPr>
      <t xml:space="preserve"> regression retest &amp; pass
</t>
    </r>
    <r>
      <rPr>
        <b/>
        <sz val="11"/>
        <color theme="0" tint="-0.34998626667073579"/>
        <rFont val="Calibri"/>
        <family val="2"/>
      </rPr>
      <t>04/30:</t>
    </r>
    <r>
      <rPr>
        <sz val="11"/>
        <color theme="0" tint="-0.34998626667073579"/>
        <rFont val="Calibri"/>
        <family val="2"/>
      </rPr>
      <t xml:space="preserve"> regression retest &amp; pass
</t>
    </r>
  </si>
  <si>
    <r>
      <rPr>
        <b/>
        <sz val="11"/>
        <color theme="0" tint="-0.34998626667073579"/>
        <rFont val="Calibri"/>
        <family val="2"/>
      </rPr>
      <t xml:space="preserve">04/22: </t>
    </r>
    <r>
      <rPr>
        <sz val="11"/>
        <color theme="0" tint="-0.34998626667073579"/>
        <rFont val="Calibri"/>
        <family val="2"/>
      </rPr>
      <t xml:space="preserve">regression bug (see ID 37)
</t>
    </r>
    <r>
      <rPr>
        <b/>
        <sz val="11"/>
        <color theme="0" tint="-0.34998626667073579"/>
        <rFont val="Calibri"/>
        <family val="2"/>
      </rPr>
      <t xml:space="preserve">04/28: </t>
    </r>
    <r>
      <rPr>
        <sz val="11"/>
        <color theme="0" tint="-0.34998626667073579"/>
        <rFont val="Calibri"/>
        <family val="2"/>
      </rPr>
      <t xml:space="preserve">see ID 42
</t>
    </r>
    <r>
      <rPr>
        <b/>
        <sz val="11"/>
        <color theme="0" tint="-0.34998626667073579"/>
        <rFont val="Calibri"/>
        <family val="2"/>
      </rPr>
      <t xml:space="preserve">04/30: </t>
    </r>
    <r>
      <rPr>
        <sz val="11"/>
        <color theme="0" tint="-0.34998626667073579"/>
        <rFont val="Calibri"/>
        <family val="2"/>
      </rPr>
      <t>retest &amp; pass; can enter -1234567890123.45 successfully as this is DB limit</t>
    </r>
  </si>
  <si>
    <r>
      <rPr>
        <b/>
        <sz val="11"/>
        <color theme="0" tint="-0.34998626667073579"/>
        <rFont val="Calibri"/>
        <family val="2"/>
      </rPr>
      <t xml:space="preserve">03/18: </t>
    </r>
    <r>
      <rPr>
        <sz val="11"/>
        <color theme="0" tint="-0.34998626667073579"/>
        <rFont val="Calibri"/>
        <family val="2"/>
      </rPr>
      <t xml:space="preserve">No FluentValidation displays when number &gt;38 characters in field; if entered, all data is removed when user tabs out of field
</t>
    </r>
    <r>
      <rPr>
        <b/>
        <sz val="11"/>
        <color theme="0" tint="-0.34998626667073579"/>
        <rFont val="Calibri"/>
        <family val="2"/>
      </rPr>
      <t xml:space="preserve">04/22: </t>
    </r>
    <r>
      <rPr>
        <sz val="11"/>
        <color theme="0" tint="-0.34998626667073579"/>
        <rFont val="Calibri"/>
        <family val="2"/>
      </rPr>
      <t xml:space="preserve">Override with other numbers no longer occurs; Nbr field allows more than 10 characters, if &gt;38 numbers are entered, field is cleared and cell turns red; field should not clear field and should display FV
</t>
    </r>
    <r>
      <rPr>
        <b/>
        <sz val="11"/>
        <color theme="0" tint="-0.34998626667073579"/>
        <rFont val="Calibri"/>
        <family val="2"/>
      </rPr>
      <t>04/28:</t>
    </r>
    <r>
      <rPr>
        <sz val="11"/>
        <color theme="0" tint="-0.34998626667073579"/>
        <rFont val="Calibri"/>
        <family val="2"/>
      </rPr>
      <t xml:space="preserve"> FE limit is 9 digits, failing for 1234567890
</t>
    </r>
    <r>
      <rPr>
        <b/>
        <sz val="11"/>
        <color theme="0" tint="-0.34998626667073579"/>
        <rFont val="Calibri"/>
        <family val="2"/>
      </rPr>
      <t xml:space="preserve">04/30: </t>
    </r>
    <r>
      <rPr>
        <sz val="11"/>
        <color theme="0" tint="-0.34998626667073579"/>
        <rFont val="Calibri"/>
        <family val="2"/>
      </rPr>
      <t>retest test &amp; pass, saves for 1234567890</t>
    </r>
  </si>
  <si>
    <t>04/28: regression retest &amp; pass
04/30: regression retest &amp; pass</t>
  </si>
  <si>
    <r>
      <rPr>
        <b/>
        <sz val="11"/>
        <color theme="0" tint="-0.34998626667073579"/>
        <rFont val="Calibri"/>
        <family val="2"/>
      </rPr>
      <t xml:space="preserve">04/28: </t>
    </r>
    <r>
      <rPr>
        <sz val="11"/>
        <color theme="0" tint="-0.34998626667073579"/>
        <rFont val="Calibri"/>
        <family val="2"/>
      </rPr>
      <t xml:space="preserve">regression retest &amp; pass
</t>
    </r>
    <r>
      <rPr>
        <b/>
        <sz val="11"/>
        <color theme="0" tint="-0.34998626667073579"/>
        <rFont val="Calibri"/>
        <family val="2"/>
      </rPr>
      <t>04/30:</t>
    </r>
    <r>
      <rPr>
        <sz val="11"/>
        <color theme="0" tint="-0.34998626667073579"/>
        <rFont val="Calibri"/>
        <family val="2"/>
      </rPr>
      <t xml:space="preserve"> regression retest &amp; pass</t>
    </r>
  </si>
  <si>
    <t>1. User enters existing Court Control value (e.g., ZTEST8)
2. User enters Description, then enters invalid Dt. Effective
3. TAB keypress used - FV briefly appears, disappears, cell turns green, and user can continue</t>
  </si>
  <si>
    <t>1. FV should remain until Dt. Effective fixed and FV for Court Control should appear, or
2. FV should remain until Dt. Effective fixed, then display FV for Court Control as that needs to be fixed</t>
  </si>
  <si>
    <r>
      <rPr>
        <b/>
        <sz val="11"/>
        <color theme="0" tint="-0.34998626667073579"/>
        <rFont val="Calibri"/>
        <family val="2"/>
      </rPr>
      <t>03/18</t>
    </r>
    <r>
      <rPr>
        <sz val="11"/>
        <color theme="0" tint="-0.34998626667073579"/>
        <rFont val="Calibri"/>
        <family val="2"/>
      </rPr>
      <t xml:space="preserve">: retest pending until Add Row functionality fixed
</t>
    </r>
    <r>
      <rPr>
        <b/>
        <sz val="11"/>
        <color theme="0" tint="-0.34998626667073579"/>
        <rFont val="Calibri"/>
        <family val="2"/>
      </rPr>
      <t>04/22:</t>
    </r>
    <r>
      <rPr>
        <sz val="11"/>
        <color theme="0" tint="-0.34998626667073579"/>
        <rFont val="Calibri"/>
        <family val="2"/>
      </rPr>
      <t xml:space="preserve"> retest and pass
</t>
    </r>
    <r>
      <rPr>
        <b/>
        <sz val="11"/>
        <color theme="0" tint="-0.34998626667073579"/>
        <rFont val="Calibri"/>
        <family val="2"/>
      </rPr>
      <t xml:space="preserve">04/28: </t>
    </r>
    <r>
      <rPr>
        <sz val="11"/>
        <color theme="0" tint="-0.34998626667073579"/>
        <rFont val="Calibri"/>
        <family val="2"/>
      </rPr>
      <t xml:space="preserve">see ID 43
</t>
    </r>
    <r>
      <rPr>
        <b/>
        <sz val="11"/>
        <color theme="0" tint="-0.34998626667073579"/>
        <rFont val="Calibri"/>
        <family val="2"/>
      </rPr>
      <t xml:space="preserve">04/30: </t>
    </r>
    <r>
      <rPr>
        <sz val="11"/>
        <color theme="0" tint="-0.34998626667073579"/>
        <rFont val="Calibri"/>
        <family val="2"/>
      </rPr>
      <t>see ID 45</t>
    </r>
  </si>
  <si>
    <r>
      <rPr>
        <b/>
        <sz val="11"/>
        <color theme="0" tint="-0.34998626667073579"/>
        <rFont val="Calibri"/>
        <family val="2"/>
      </rPr>
      <t>03/18</t>
    </r>
    <r>
      <rPr>
        <sz val="11"/>
        <color theme="0" tint="-0.34998626667073579"/>
        <rFont val="Calibri"/>
        <family val="2"/>
      </rPr>
      <t xml:space="preserve">: retest pending until Add Row functionality fixed
</t>
    </r>
    <r>
      <rPr>
        <b/>
        <sz val="11"/>
        <color theme="0" tint="-0.34998626667073579"/>
        <rFont val="Calibri"/>
        <family val="2"/>
      </rPr>
      <t>04/22:</t>
    </r>
    <r>
      <rPr>
        <sz val="11"/>
        <color theme="0" tint="-0.34998626667073579"/>
        <rFont val="Calibri"/>
        <family val="2"/>
      </rPr>
      <t xml:space="preserve"> retest and pass
</t>
    </r>
    <r>
      <rPr>
        <b/>
        <sz val="11"/>
        <color theme="0" tint="-0.34998626667073579"/>
        <rFont val="Calibri"/>
        <family val="2"/>
      </rPr>
      <t>04/28:</t>
    </r>
    <r>
      <rPr>
        <sz val="11"/>
        <color theme="0" tint="-0.34998626667073579"/>
        <rFont val="Calibri"/>
        <family val="2"/>
      </rPr>
      <t xml:space="preserve"> see ID 43
</t>
    </r>
    <r>
      <rPr>
        <b/>
        <sz val="11"/>
        <color theme="0" tint="-0.34998626667073579"/>
        <rFont val="Calibri"/>
        <family val="2"/>
      </rPr>
      <t xml:space="preserve">04/30: </t>
    </r>
    <r>
      <rPr>
        <sz val="11"/>
        <color theme="0" tint="-0.34998626667073579"/>
        <rFont val="Calibri"/>
        <family val="2"/>
      </rPr>
      <t xml:space="preserve">see ID 46
</t>
    </r>
  </si>
  <si>
    <t>User can tab through all fields without FVs appearing</t>
  </si>
  <si>
    <r>
      <rPr>
        <b/>
        <sz val="11"/>
        <color theme="0" tint="-0.34998626667073579"/>
        <rFont val="Calibri"/>
        <family val="2"/>
      </rPr>
      <t>03/18</t>
    </r>
    <r>
      <rPr>
        <sz val="11"/>
        <color theme="0" tint="-0.34998626667073579"/>
        <rFont val="Calibri"/>
        <family val="2"/>
      </rPr>
      <t xml:space="preserve">: retest pending until Add Row functionality fixed
</t>
    </r>
    <r>
      <rPr>
        <b/>
        <sz val="11"/>
        <color theme="0" tint="-0.34998626667073579"/>
        <rFont val="Calibri"/>
        <family val="2"/>
      </rPr>
      <t>04/22:</t>
    </r>
    <r>
      <rPr>
        <sz val="11"/>
        <color theme="0" tint="-0.34998626667073579"/>
        <rFont val="Calibri"/>
        <family val="2"/>
      </rPr>
      <t xml:space="preserve"> retest and pass
</t>
    </r>
    <r>
      <rPr>
        <b/>
        <sz val="11"/>
        <color theme="0" tint="-0.34998626667073579"/>
        <rFont val="Calibri"/>
        <family val="2"/>
      </rPr>
      <t xml:space="preserve">04/28: </t>
    </r>
    <r>
      <rPr>
        <sz val="11"/>
        <color theme="0" tint="-0.34998626667073579"/>
        <rFont val="Calibri"/>
        <family val="2"/>
      </rPr>
      <t xml:space="preserve">see ID 44
</t>
    </r>
    <r>
      <rPr>
        <b/>
        <sz val="11"/>
        <color theme="0" tint="-0.34998626667073579"/>
        <rFont val="Calibri"/>
        <family val="2"/>
      </rPr>
      <t>04/30</t>
    </r>
    <r>
      <rPr>
        <sz val="11"/>
        <color theme="0" tint="-0.34998626667073579"/>
        <rFont val="Calibri"/>
        <family val="2"/>
      </rPr>
      <t>: retest and pass</t>
    </r>
  </si>
  <si>
    <r>
      <rPr>
        <b/>
        <sz val="11"/>
        <color theme="0" tint="-0.34998626667073579"/>
        <rFont val="Calibri"/>
        <family val="2"/>
      </rPr>
      <t>03/18</t>
    </r>
    <r>
      <rPr>
        <sz val="11"/>
        <color theme="0" tint="-0.34998626667073579"/>
        <rFont val="Calibri"/>
        <family val="2"/>
      </rPr>
      <t xml:space="preserve">: per daily NG meet, QA on pause until defects addressed
</t>
    </r>
    <r>
      <rPr>
        <b/>
        <sz val="11"/>
        <color theme="0" tint="-0.34998626667073579"/>
        <rFont val="Calibri"/>
        <family val="2"/>
      </rPr>
      <t>04/22:</t>
    </r>
    <r>
      <rPr>
        <sz val="11"/>
        <color theme="0" tint="-0.34998626667073579"/>
        <rFont val="Calibri"/>
        <family val="2"/>
      </rPr>
      <t xml:space="preserve"> retest and pass; once leave exist mode and filter applied, pending changes remain
</t>
    </r>
    <r>
      <rPr>
        <b/>
        <sz val="11"/>
        <color theme="0" tint="-0.34998626667073579"/>
        <rFont val="Calibri"/>
        <family val="2"/>
      </rPr>
      <t>04/28:</t>
    </r>
    <r>
      <rPr>
        <sz val="11"/>
        <color theme="0" tint="-0.34998626667073579"/>
        <rFont val="Calibri"/>
        <family val="2"/>
      </rPr>
      <t xml:space="preserve"> regression retest &amp; pass
</t>
    </r>
    <r>
      <rPr>
        <b/>
        <sz val="11"/>
        <color theme="0" tint="-0.34998626667073579"/>
        <rFont val="Calibri"/>
        <family val="2"/>
      </rPr>
      <t xml:space="preserve">04/30: </t>
    </r>
    <r>
      <rPr>
        <sz val="11"/>
        <color theme="0" tint="-0.34998626667073579"/>
        <rFont val="Calibri"/>
        <family val="2"/>
      </rPr>
      <t>regression test and pass</t>
    </r>
  </si>
  <si>
    <r>
      <rPr>
        <b/>
        <sz val="11"/>
        <color theme="0" tint="-0.34998626667073579"/>
        <rFont val="Calibri"/>
        <family val="2"/>
      </rPr>
      <t>04/28:</t>
    </r>
    <r>
      <rPr>
        <sz val="11"/>
        <color theme="0" tint="-0.34998626667073579"/>
        <rFont val="Calibri"/>
        <family val="2"/>
      </rPr>
      <t xml:space="preserve"> regression retest &amp; pass
</t>
    </r>
    <r>
      <rPr>
        <b/>
        <sz val="11"/>
        <color theme="0" tint="-0.34998626667073579"/>
        <rFont val="Calibri"/>
        <family val="2"/>
      </rPr>
      <t xml:space="preserve">04/30: </t>
    </r>
    <r>
      <rPr>
        <sz val="11"/>
        <color theme="0" tint="-0.34998626667073579"/>
        <rFont val="Calibri"/>
        <family val="2"/>
      </rPr>
      <t>regression retest &amp; pass</t>
    </r>
  </si>
  <si>
    <r>
      <rPr>
        <b/>
        <sz val="11"/>
        <color theme="0" tint="-0.34998626667073579"/>
        <rFont val="Calibri"/>
        <family val="2"/>
      </rPr>
      <t xml:space="preserve">04/22: </t>
    </r>
    <r>
      <rPr>
        <sz val="11"/>
        <color theme="0" tint="-0.34998626667073579"/>
        <rFont val="Calibri"/>
        <family val="2"/>
      </rPr>
      <t xml:space="preserve">user can make concurrent update on Dt. Effective and second row appears
</t>
    </r>
    <r>
      <rPr>
        <b/>
        <sz val="11"/>
        <color theme="0" tint="-0.34998626667073579"/>
        <rFont val="Calibri"/>
        <family val="2"/>
      </rPr>
      <t>04/28</t>
    </r>
    <r>
      <rPr>
        <sz val="11"/>
        <color theme="0" tint="-0.34998626667073579"/>
        <rFont val="Calibri"/>
        <family val="2"/>
      </rPr>
      <t xml:space="preserve">: retest &amp; pass
</t>
    </r>
    <r>
      <rPr>
        <b/>
        <sz val="11"/>
        <color theme="0" tint="-0.34998626667073579"/>
        <rFont val="Calibri"/>
        <family val="2"/>
      </rPr>
      <t>04/30:</t>
    </r>
    <r>
      <rPr>
        <sz val="11"/>
        <color theme="0" tint="-0.34998626667073579"/>
        <rFont val="Calibri"/>
        <family val="2"/>
      </rPr>
      <t xml:space="preserve"> regression retest &amp; pass</t>
    </r>
  </si>
  <si>
    <t>Cannot enter 10 digit negative value</t>
  </si>
  <si>
    <t>User can only enter "-123456789" in field - should they be able to enter additional digit? Seems to be similar issue to ID #42</t>
  </si>
  <si>
    <t>04/22: see ID 39
04/30: regression retest &amp; pass</t>
  </si>
  <si>
    <r>
      <rPr>
        <b/>
        <sz val="11"/>
        <color theme="0" tint="-0.34998626667073579"/>
        <rFont val="Calibri"/>
        <family val="2"/>
      </rPr>
      <t xml:space="preserve">04/30: </t>
    </r>
    <r>
      <rPr>
        <sz val="11"/>
        <color theme="0" tint="-0.34998626667073579"/>
        <rFont val="Calibri"/>
        <family val="2"/>
      </rPr>
      <t>regression test &amp; pass</t>
    </r>
  </si>
  <si>
    <r>
      <rPr>
        <b/>
        <sz val="11"/>
        <color theme="0" tint="-0.34998626667073579"/>
        <rFont val="Calibri"/>
        <family val="2"/>
      </rPr>
      <t xml:space="preserve">04/28: </t>
    </r>
    <r>
      <rPr>
        <sz val="11"/>
        <color theme="0" tint="-0.34998626667073579"/>
        <rFont val="Calibri"/>
        <family val="2"/>
      </rPr>
      <t>see ID 40, 41</t>
    </r>
  </si>
  <si>
    <t>04/30: see ID 43</t>
  </si>
  <si>
    <t>FluentValidation disappearing when existing Court Control value is entered</t>
  </si>
  <si>
    <r>
      <t xml:space="preserve">04/30: </t>
    </r>
    <r>
      <rPr>
        <sz val="11"/>
        <color theme="0" tint="-0.34998626667073579"/>
        <rFont val="Calibri"/>
        <family val="2"/>
      </rPr>
      <t>fixed in PM build, retest and pass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</si>
</sst>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0" x14ac:knownFonts="1">
    <font>
      <sz val="11"/>
      <color theme="1"/>
      <name val="Aptos Narrow"/>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name val="Calibri"/>
      <family val="2"/>
    </font>
    <font>
      <b/>
      <sz val="11"/>
      <name val="Calibri"/>
      <family val="2"/>
    </font>
    <font>
      <sz val="11"/>
      <color theme="0" tint="-0.34998626667073579"/>
      <name val="Calibri"/>
      <family val="2"/>
    </font>
    <font>
      <i/>
      <sz val="11"/>
      <name val="Calibri"/>
      <family val="2"/>
    </font>
    <font>
      <b/>
      <sz val="12"/>
      <color theme="0"/>
      <name val="Calibri"/>
      <family val="2"/>
    </font>
    <font>
      <sz val="12"/>
      <color theme="1"/>
      <name val="Calibri"/>
      <family val="2"/>
    </font>
    <font>
      <u/>
      <sz val="11"/>
      <color theme="10"/>
      <name val="Aptos Narrow"/>
      <family val="2"/>
      <scheme val="minor"/>
    </font>
    <font>
      <b/>
      <sz val="11"/>
      <color theme="0" tint="-0.34998626667073579"/>
      <name val="Calibri"/>
      <family val="2"/>
    </font>
    <font>
      <sz val="11"/>
      <color rgb="FF000000"/>
      <name val="Calibri"/>
      <family val="2"/>
    </font>
    <font>
      <b/>
      <sz val="11"/>
      <color rgb="FF000000"/>
      <name val="Calibri"/>
      <family val="2"/>
    </font>
    <font>
      <u/>
      <sz val="11"/>
      <color theme="10"/>
      <name val="Calibri"/>
      <family val="2"/>
    </font>
    <font>
      <sz val="11"/>
      <color rgb="FFBFBFBF"/>
      <name val="Calibri"/>
    </font>
    <font>
      <sz val="11"/>
      <color rgb="FF000000"/>
      <name val="Calibri"/>
    </font>
    <font>
      <sz val="11"/>
      <color theme="1"/>
      <name val="Calibri"/>
    </font>
    <font>
      <sz val="12"/>
      <color theme="0"/>
      <name val="Calibri"/>
      <family val="2"/>
    </font>
  </fonts>
  <fills count="4">
    <fill>
      <patternFill patternType="none"/>
    </fill>
    <fill>
      <patternFill patternType="gray125"/>
    </fill>
    <fill>
      <patternFill patternType="solid">
        <fgColor theme="5" tint="0.39997558519241921"/>
        <bgColor indexed="64"/>
      </patternFill>
    </fill>
    <fill>
      <patternFill patternType="solid">
        <fgColor theme="4"/>
        <bgColor indexed="64"/>
      </patternFill>
    </fill>
  </fills>
  <borders count="6">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s>
  <cellStyleXfs count="2">
    <xf numFmtId="0" fontId="0" fillId="0" borderId="0"/>
    <xf numFmtId="0" fontId="11" fillId="0" borderId="0" applyNumberFormat="0" applyFill="0" applyBorder="0" applyAlignment="0" applyProtection="0"/>
  </cellStyleXfs>
  <cellXfs count="53">
    <xf numFmtId="0" fontId="0" fillId="0" borderId="0" xfId="0"/>
    <xf numFmtId="0" fontId="4" fillId="0" borderId="0" xfId="0" applyFont="1"/>
    <xf numFmtId="0" fontId="4" fillId="0" borderId="0" xfId="0" applyFont="1" applyAlignment="1">
      <alignment horizontal="left" vertical="top" wrapText="1"/>
    </xf>
    <xf numFmtId="0" fontId="4" fillId="0" borderId="0" xfId="0" applyFont="1" applyAlignment="1">
      <alignment vertical="top" wrapText="1"/>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5" fillId="0" borderId="1" xfId="0" applyFont="1" applyBorder="1" applyAlignment="1">
      <alignment horizontal="left" vertical="top" wrapText="1"/>
    </xf>
    <xf numFmtId="0" fontId="4" fillId="0" borderId="0" xfId="0" applyFont="1" applyAlignment="1">
      <alignment vertical="top"/>
    </xf>
    <xf numFmtId="164" fontId="4" fillId="0" borderId="0" xfId="0" applyNumberFormat="1" applyFont="1" applyAlignment="1">
      <alignment horizontal="center" vertical="top"/>
    </xf>
    <xf numFmtId="0" fontId="7" fillId="0" borderId="1" xfId="0" applyFont="1" applyBorder="1" applyAlignment="1">
      <alignment vertical="top" wrapText="1"/>
    </xf>
    <xf numFmtId="0" fontId="7" fillId="0" borderId="1" xfId="0" applyFont="1" applyBorder="1" applyAlignment="1">
      <alignment horizontal="left" vertical="top" wrapText="1"/>
    </xf>
    <xf numFmtId="0" fontId="9" fillId="3" borderId="2" xfId="0" applyFont="1" applyFill="1" applyBorder="1" applyAlignment="1">
      <alignment horizontal="center"/>
    </xf>
    <xf numFmtId="20" fontId="9" fillId="3" borderId="3" xfId="0" applyNumberFormat="1" applyFont="1" applyFill="1" applyBorder="1" applyAlignment="1">
      <alignment horizontal="center"/>
    </xf>
    <xf numFmtId="0" fontId="10" fillId="0" borderId="0" xfId="0" applyFont="1"/>
    <xf numFmtId="0" fontId="13" fillId="0" borderId="0" xfId="0" applyFont="1" applyFill="1" applyAlignment="1">
      <alignment wrapText="1"/>
    </xf>
    <xf numFmtId="0" fontId="15" fillId="0" borderId="1" xfId="1" applyFont="1" applyBorder="1" applyAlignment="1">
      <alignment vertical="top" wrapText="1"/>
    </xf>
    <xf numFmtId="0" fontId="0" fillId="0" borderId="0" xfId="0" pivotButton="1"/>
    <xf numFmtId="0" fontId="0" fillId="0" borderId="0" xfId="0" applyAlignment="1">
      <alignment horizontal="left"/>
    </xf>
    <xf numFmtId="0" fontId="0" fillId="0" borderId="0" xfId="0" applyNumberFormat="1"/>
    <xf numFmtId="0" fontId="3" fillId="0" borderId="1" xfId="0" applyFont="1" applyBorder="1" applyAlignment="1">
      <alignment horizontal="left" vertical="top" wrapText="1"/>
    </xf>
    <xf numFmtId="0" fontId="3" fillId="0" borderId="1" xfId="0" applyFont="1" applyBorder="1" applyAlignment="1">
      <alignment vertical="top" wrapText="1"/>
    </xf>
    <xf numFmtId="164" fontId="3" fillId="0" borderId="1" xfId="0" applyNumberFormat="1" applyFont="1" applyBorder="1" applyAlignment="1">
      <alignment horizontal="center" vertical="top"/>
    </xf>
    <xf numFmtId="0" fontId="3" fillId="0" borderId="1" xfId="0" applyFont="1" applyBorder="1" applyAlignment="1">
      <alignment vertical="top"/>
    </xf>
    <xf numFmtId="0" fontId="18" fillId="0" borderId="1" xfId="0" applyFont="1" applyBorder="1" applyAlignment="1">
      <alignment horizontal="left" vertical="top" wrapText="1"/>
    </xf>
    <xf numFmtId="0" fontId="3" fillId="0" borderId="0" xfId="0" applyFont="1"/>
    <xf numFmtId="0" fontId="3" fillId="0" borderId="1" xfId="0" applyFont="1" applyBorder="1" applyAlignment="1">
      <alignment horizontal="center" vertical="top" wrapText="1"/>
    </xf>
    <xf numFmtId="164" fontId="3" fillId="0" borderId="1" xfId="0" applyNumberFormat="1" applyFont="1" applyFill="1" applyBorder="1" applyAlignment="1">
      <alignment horizontal="center" vertical="top" wrapText="1"/>
    </xf>
    <xf numFmtId="0" fontId="3" fillId="0" borderId="0" xfId="0" applyFont="1" applyAlignment="1">
      <alignment vertical="top"/>
    </xf>
    <xf numFmtId="0" fontId="3" fillId="0" borderId="1" xfId="0" applyFont="1" applyFill="1" applyBorder="1" applyAlignment="1">
      <alignment horizontal="center" vertical="top" wrapText="1"/>
    </xf>
    <xf numFmtId="0" fontId="3" fillId="0" borderId="1" xfId="0" applyFont="1" applyFill="1" applyBorder="1" applyAlignment="1">
      <alignment vertical="top" wrapText="1"/>
    </xf>
    <xf numFmtId="0" fontId="3" fillId="0" borderId="0" xfId="0" applyFont="1" applyAlignment="1">
      <alignment horizontal="left" vertical="top" wrapText="1"/>
    </xf>
    <xf numFmtId="0" fontId="3" fillId="0" borderId="0" xfId="0" applyFont="1" applyFill="1" applyAlignment="1">
      <alignment vertical="top" wrapText="1"/>
    </xf>
    <xf numFmtId="0" fontId="3" fillId="0" borderId="0" xfId="0" applyFont="1" applyAlignment="1">
      <alignment vertical="top" wrapText="1"/>
    </xf>
    <xf numFmtId="14" fontId="3" fillId="0" borderId="1" xfId="0" applyNumberFormat="1" applyFont="1" applyBorder="1" applyAlignment="1">
      <alignment horizontal="left" vertical="top" wrapText="1"/>
    </xf>
    <xf numFmtId="164" fontId="3" fillId="0" borderId="0" xfId="0" applyNumberFormat="1" applyFont="1" applyAlignment="1">
      <alignment horizontal="center" vertical="top"/>
    </xf>
    <xf numFmtId="0" fontId="2" fillId="0" borderId="1" xfId="0" applyFont="1" applyBorder="1" applyAlignment="1">
      <alignment horizontal="left" vertical="top" wrapText="1"/>
    </xf>
    <xf numFmtId="0" fontId="2" fillId="0" borderId="1" xfId="0" applyFont="1" applyBorder="1" applyAlignment="1">
      <alignment vertical="top" wrapText="1"/>
    </xf>
    <xf numFmtId="0" fontId="2" fillId="0" borderId="1" xfId="0" applyFont="1" applyBorder="1" applyAlignment="1">
      <alignment vertical="top"/>
    </xf>
    <xf numFmtId="0" fontId="12" fillId="0" borderId="1" xfId="0" applyFont="1" applyBorder="1" applyAlignment="1">
      <alignment vertical="top" wrapText="1"/>
    </xf>
    <xf numFmtId="0" fontId="1" fillId="0" borderId="1" xfId="0" applyFont="1" applyBorder="1" applyAlignment="1">
      <alignment vertical="top"/>
    </xf>
    <xf numFmtId="0" fontId="1" fillId="0" borderId="1" xfId="0" applyFont="1" applyBorder="1" applyAlignment="1">
      <alignment vertical="top" wrapText="1"/>
    </xf>
    <xf numFmtId="0" fontId="10" fillId="0" borderId="0" xfId="0" pivotButton="1" applyFont="1"/>
    <xf numFmtId="0" fontId="10" fillId="0" borderId="2" xfId="0" applyNumberFormat="1" applyFont="1" applyBorder="1"/>
    <xf numFmtId="0" fontId="10" fillId="0" borderId="2" xfId="0" applyFont="1" applyBorder="1" applyAlignment="1">
      <alignment horizontal="left"/>
    </xf>
    <xf numFmtId="0" fontId="10" fillId="0" borderId="2" xfId="0" applyFont="1" applyBorder="1"/>
    <xf numFmtId="0" fontId="19" fillId="3" borderId="2" xfId="0" applyNumberFormat="1" applyFont="1" applyFill="1" applyBorder="1"/>
    <xf numFmtId="14" fontId="19" fillId="3" borderId="4" xfId="0" applyNumberFormat="1" applyFont="1" applyFill="1" applyBorder="1" applyAlignment="1">
      <alignment horizontal="left"/>
    </xf>
    <xf numFmtId="0" fontId="10" fillId="0" borderId="4" xfId="0" applyFont="1" applyBorder="1" applyAlignment="1">
      <alignment horizontal="left" indent="1"/>
    </xf>
    <xf numFmtId="0" fontId="10" fillId="0" borderId="3" xfId="0" applyFont="1" applyBorder="1" applyAlignment="1">
      <alignment horizontal="left" indent="2"/>
    </xf>
    <xf numFmtId="0" fontId="10" fillId="0" borderId="4" xfId="0" applyFont="1" applyBorder="1" applyAlignment="1">
      <alignment horizontal="left" indent="2"/>
    </xf>
    <xf numFmtId="14" fontId="19" fillId="3" borderId="5" xfId="0" applyNumberFormat="1" applyFont="1" applyFill="1" applyBorder="1" applyAlignment="1">
      <alignment horizontal="left"/>
    </xf>
    <xf numFmtId="0" fontId="10" fillId="0" borderId="5" xfId="0" applyFont="1" applyBorder="1" applyAlignment="1">
      <alignment horizontal="left" indent="1"/>
    </xf>
    <xf numFmtId="0" fontId="10" fillId="0" borderId="5" xfId="0" applyFont="1" applyBorder="1" applyAlignment="1">
      <alignment horizontal="left" indent="2"/>
    </xf>
  </cellXfs>
  <cellStyles count="2">
    <cellStyle name="Hyperlink" xfId="1" builtinId="8"/>
    <cellStyle name="Normal" xfId="0" builtinId="0"/>
  </cellStyles>
  <dxfs count="236">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ont>
        <color theme="0"/>
      </font>
    </dxf>
    <dxf>
      <font>
        <color theme="0"/>
      </font>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fill>
        <patternFill patternType="solid">
          <bgColor theme="4"/>
        </patternFill>
      </fill>
    </dxf>
    <dxf>
      <fill>
        <patternFill patternType="solid">
          <bgColor theme="4"/>
        </patternFill>
      </fill>
    </dxf>
    <dxf>
      <font>
        <color theme="0"/>
      </font>
    </dxf>
    <dxf>
      <font>
        <color theme="0"/>
      </font>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fill>
        <patternFill patternType="solid">
          <bgColor theme="4"/>
        </patternFill>
      </fill>
    </dxf>
    <dxf>
      <fill>
        <patternFill patternType="solid">
          <bgColor theme="4"/>
        </patternFill>
      </fill>
    </dxf>
    <dxf>
      <fill>
        <patternFill>
          <bgColor theme="4"/>
        </patternFill>
      </fill>
    </dxf>
    <dxf>
      <fill>
        <patternFill>
          <bgColor theme="4"/>
        </patternFill>
      </fill>
    </dxf>
    <dxf>
      <font>
        <color theme="0"/>
      </font>
    </dxf>
    <dxf>
      <font>
        <color theme="0"/>
      </font>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ont>
        <color theme="0"/>
      </font>
    </dxf>
    <dxf>
      <font>
        <color theme="0"/>
      </font>
    </dxf>
    <dxf>
      <font>
        <color theme="0"/>
      </font>
    </dxf>
    <dxf>
      <font>
        <color theme="0"/>
      </font>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fill>
        <patternFill patternType="solid">
          <bgColor theme="4"/>
        </patternFill>
      </fill>
    </dxf>
    <dxf>
      <fill>
        <patternFill patternType="solid">
          <bgColor theme="4"/>
        </patternFill>
      </fill>
    </dxf>
    <dxf>
      <font>
        <color theme="0"/>
      </font>
    </dxf>
    <dxf>
      <font>
        <color theme="0"/>
      </font>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fill>
        <patternFill patternType="solid">
          <bgColor theme="4"/>
        </patternFill>
      </fill>
    </dxf>
    <dxf>
      <fill>
        <patternFill patternType="solid">
          <bgColor theme="4"/>
        </patternFill>
      </fill>
    </dxf>
    <dxf>
      <fill>
        <patternFill>
          <bgColor theme="4"/>
        </patternFill>
      </fill>
    </dxf>
    <dxf>
      <fill>
        <patternFill>
          <bgColor theme="4"/>
        </patternFill>
      </fill>
    </dxf>
    <dxf>
      <font>
        <color theme="0"/>
      </font>
    </dxf>
    <dxf>
      <font>
        <color theme="0"/>
      </font>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font>
        <color theme="0"/>
      </font>
    </dxf>
    <dxf>
      <font>
        <color theme="0"/>
      </font>
    </dxf>
    <dxf>
      <fill>
        <patternFill>
          <bgColor theme="4"/>
        </patternFill>
      </fill>
    </dxf>
    <dxf>
      <fill>
        <patternFill>
          <bgColor theme="4"/>
        </patternFill>
      </fill>
    </dxf>
    <dxf>
      <fill>
        <patternFill patternType="solid">
          <bgColor theme="4"/>
        </patternFill>
      </fill>
    </dxf>
    <dxf>
      <fill>
        <patternFill patternType="solid">
          <bgColor theme="4"/>
        </patternFill>
      </fill>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font>
        <color theme="0"/>
      </font>
    </dxf>
    <dxf>
      <font>
        <color theme="0"/>
      </font>
    </dxf>
    <dxf>
      <fill>
        <patternFill patternType="solid">
          <bgColor theme="4"/>
        </patternFill>
      </fill>
    </dxf>
    <dxf>
      <fill>
        <patternFill patternType="solid">
          <bgColor theme="4"/>
        </patternFill>
      </fill>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font>
        <color theme="0"/>
      </font>
    </dxf>
    <dxf>
      <font>
        <color theme="0"/>
      </font>
    </dxf>
    <dxf>
      <font>
        <color theme="0"/>
      </font>
    </dxf>
    <dxf>
      <font>
        <color theme="0"/>
      </font>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30</xdr:col>
      <xdr:colOff>202520</xdr:colOff>
      <xdr:row>51</xdr:row>
      <xdr:rowOff>96593</xdr:rowOff>
    </xdr:to>
    <xdr:pic>
      <xdr:nvPicPr>
        <xdr:cNvPr id="3" name="Picture 2">
          <a:extLst>
            <a:ext uri="{FF2B5EF4-FFF2-40B4-BE49-F238E27FC236}">
              <a16:creationId xmlns:a16="http://schemas.microsoft.com/office/drawing/2014/main" id="{AAF49A9E-4D30-C053-4ED4-AA63FDB5E4A1}"/>
            </a:ext>
          </a:extLst>
        </xdr:cNvPr>
        <xdr:cNvPicPr>
          <a:picLocks noChangeAspect="1"/>
        </xdr:cNvPicPr>
      </xdr:nvPicPr>
      <xdr:blipFill>
        <a:blip xmlns:r="http://schemas.openxmlformats.org/officeDocument/2006/relationships" r:embed="rId1"/>
        <a:stretch>
          <a:fillRect/>
        </a:stretch>
      </xdr:blipFill>
      <xdr:spPr>
        <a:xfrm>
          <a:off x="609600" y="190500"/>
          <a:ext cx="17880920" cy="962159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30</xdr:col>
      <xdr:colOff>593100</xdr:colOff>
      <xdr:row>52</xdr:row>
      <xdr:rowOff>125198</xdr:rowOff>
    </xdr:to>
    <xdr:pic>
      <xdr:nvPicPr>
        <xdr:cNvPr id="2" name="Picture 1">
          <a:extLst>
            <a:ext uri="{FF2B5EF4-FFF2-40B4-BE49-F238E27FC236}">
              <a16:creationId xmlns:a16="http://schemas.microsoft.com/office/drawing/2014/main" id="{AC89C2FA-332B-2F5C-C531-23B9EC581DCF}"/>
            </a:ext>
          </a:extLst>
        </xdr:cNvPr>
        <xdr:cNvPicPr>
          <a:picLocks noChangeAspect="1"/>
        </xdr:cNvPicPr>
      </xdr:nvPicPr>
      <xdr:blipFill>
        <a:blip xmlns:r="http://schemas.openxmlformats.org/officeDocument/2006/relationships" r:embed="rId1"/>
        <a:stretch>
          <a:fillRect/>
        </a:stretch>
      </xdr:blipFill>
      <xdr:spPr>
        <a:xfrm>
          <a:off x="609600" y="190500"/>
          <a:ext cx="18271500" cy="984069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ie Uyehara" refreshedDate="46142.58100972222" createdVersion="8" refreshedVersion="8" minRefreshableVersion="3" recordCount="56" xr:uid="{74DF1AF7-E4E3-436D-B42F-1768221B77E1}">
  <cacheSource type="worksheet">
    <worksheetSource ref="B1:F1048576" sheet="DEFECTS"/>
  </cacheSource>
  <cacheFields count="7">
    <cacheField name="Date_x000a_Reported" numFmtId="0">
      <sharedItems containsNonDate="0" containsDate="1" containsString="0" containsBlank="1" minDate="2026-01-30T00:00:00" maxDate="2026-05-01T00:00:00" count="6">
        <d v="2026-01-30T00:00:00"/>
        <d v="2026-03-18T00:00:00"/>
        <d v="2026-04-22T00:00:00"/>
        <d v="2026-04-28T00:00:00"/>
        <d v="2026-04-30T00:00:00"/>
        <m/>
      </sharedItems>
      <fieldGroup par="6"/>
    </cacheField>
    <cacheField name="Interface" numFmtId="0">
      <sharedItems containsBlank="1"/>
    </cacheField>
    <cacheField name="Scenario Type" numFmtId="0">
      <sharedItems containsBlank="1" count="3">
        <s v="UI"/>
        <s v="Functionality"/>
        <m/>
      </sharedItems>
    </cacheField>
    <cacheField name="Bug Type" numFmtId="0">
      <sharedItems containsBlank="1" count="4">
        <s v="Minor"/>
        <s v="Major"/>
        <s v="Regression"/>
        <m/>
      </sharedItems>
    </cacheField>
    <cacheField name="Status" numFmtId="0">
      <sharedItems containsBlank="1" count="6">
        <s v="Resolved"/>
        <s v="No Action"/>
        <m/>
        <s v="New" u="1"/>
        <s v="Return to Dev" u="1"/>
        <s v="Retest In Progress" u="1"/>
      </sharedItems>
    </cacheField>
    <cacheField name="Days (Date_x000a_Reported)" numFmtId="0" databaseField="0">
      <fieldGroup base="0">
        <rangePr groupBy="days" startDate="2026-01-30T00:00:00" endDate="2026-05-01T00:00:00"/>
        <groupItems count="368">
          <s v="&lt;1/30/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5/1/2026"/>
        </groupItems>
      </fieldGroup>
    </cacheField>
    <cacheField name="Months (Date_x000a_Reported)" numFmtId="0" databaseField="0">
      <fieldGroup base="0">
        <rangePr groupBy="months" startDate="2026-01-30T00:00:00" endDate="2026-05-01T00:00:00"/>
        <groupItems count="14">
          <s v="&lt;1/30/2026"/>
          <s v="Jan"/>
          <s v="Feb"/>
          <s v="Mar"/>
          <s v="Apr"/>
          <s v="May"/>
          <s v="Jun"/>
          <s v="Jul"/>
          <s v="Aug"/>
          <s v="Sep"/>
          <s v="Oct"/>
          <s v="Nov"/>
          <s v="Dec"/>
          <s v="&gt;5/1/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s v="PB Only"/>
    <x v="0"/>
    <x v="0"/>
    <x v="0"/>
  </r>
  <r>
    <x v="0"/>
    <s v="Both"/>
    <x v="1"/>
    <x v="0"/>
    <x v="0"/>
  </r>
  <r>
    <x v="0"/>
    <s v="Both"/>
    <x v="1"/>
    <x v="1"/>
    <x v="0"/>
  </r>
  <r>
    <x v="0"/>
    <s v="Both"/>
    <x v="1"/>
    <x v="0"/>
    <x v="0"/>
  </r>
  <r>
    <x v="0"/>
    <s v="Both"/>
    <x v="1"/>
    <x v="1"/>
    <x v="0"/>
  </r>
  <r>
    <x v="0"/>
    <s v="Both"/>
    <x v="1"/>
    <x v="0"/>
    <x v="0"/>
  </r>
  <r>
    <x v="0"/>
    <s v="Both"/>
    <x v="1"/>
    <x v="1"/>
    <x v="0"/>
  </r>
  <r>
    <x v="0"/>
    <s v="Both"/>
    <x v="1"/>
    <x v="1"/>
    <x v="0"/>
  </r>
  <r>
    <x v="0"/>
    <s v="Both"/>
    <x v="1"/>
    <x v="1"/>
    <x v="0"/>
  </r>
  <r>
    <x v="0"/>
    <s v="Both"/>
    <x v="0"/>
    <x v="0"/>
    <x v="0"/>
  </r>
  <r>
    <x v="0"/>
    <s v="Both"/>
    <x v="0"/>
    <x v="0"/>
    <x v="0"/>
  </r>
  <r>
    <x v="0"/>
    <s v="Both"/>
    <x v="0"/>
    <x v="0"/>
    <x v="0"/>
  </r>
  <r>
    <x v="0"/>
    <s v="Both"/>
    <x v="1"/>
    <x v="1"/>
    <x v="0"/>
  </r>
  <r>
    <x v="0"/>
    <s v="Both"/>
    <x v="1"/>
    <x v="1"/>
    <x v="0"/>
  </r>
  <r>
    <x v="0"/>
    <s v="Both"/>
    <x v="1"/>
    <x v="1"/>
    <x v="0"/>
  </r>
  <r>
    <x v="0"/>
    <s v="Both"/>
    <x v="0"/>
    <x v="0"/>
    <x v="0"/>
  </r>
  <r>
    <x v="0"/>
    <s v="Both"/>
    <x v="0"/>
    <x v="0"/>
    <x v="0"/>
  </r>
  <r>
    <x v="0"/>
    <s v="Both"/>
    <x v="0"/>
    <x v="1"/>
    <x v="0"/>
  </r>
  <r>
    <x v="0"/>
    <s v="Both"/>
    <x v="0"/>
    <x v="1"/>
    <x v="0"/>
  </r>
  <r>
    <x v="0"/>
    <s v="Both"/>
    <x v="1"/>
    <x v="1"/>
    <x v="0"/>
  </r>
  <r>
    <x v="0"/>
    <s v="Both"/>
    <x v="1"/>
    <x v="1"/>
    <x v="0"/>
  </r>
  <r>
    <x v="0"/>
    <s v="Both"/>
    <x v="1"/>
    <x v="1"/>
    <x v="0"/>
  </r>
  <r>
    <x v="0"/>
    <s v="Both"/>
    <x v="1"/>
    <x v="1"/>
    <x v="0"/>
  </r>
  <r>
    <x v="0"/>
    <s v="Both"/>
    <x v="1"/>
    <x v="1"/>
    <x v="0"/>
  </r>
  <r>
    <x v="0"/>
    <s v="Both"/>
    <x v="1"/>
    <x v="1"/>
    <x v="0"/>
  </r>
  <r>
    <x v="0"/>
    <s v="Web Only"/>
    <x v="0"/>
    <x v="1"/>
    <x v="0"/>
  </r>
  <r>
    <x v="0"/>
    <s v="Web Only"/>
    <x v="0"/>
    <x v="1"/>
    <x v="0"/>
  </r>
  <r>
    <x v="0"/>
    <s v="Both"/>
    <x v="1"/>
    <x v="1"/>
    <x v="0"/>
  </r>
  <r>
    <x v="1"/>
    <s v="Both"/>
    <x v="0"/>
    <x v="0"/>
    <x v="0"/>
  </r>
  <r>
    <x v="1"/>
    <s v="Both"/>
    <x v="1"/>
    <x v="1"/>
    <x v="0"/>
  </r>
  <r>
    <x v="1"/>
    <s v="Both"/>
    <x v="1"/>
    <x v="1"/>
    <x v="0"/>
  </r>
  <r>
    <x v="1"/>
    <s v="Both"/>
    <x v="0"/>
    <x v="1"/>
    <x v="0"/>
  </r>
  <r>
    <x v="1"/>
    <s v="Both"/>
    <x v="1"/>
    <x v="1"/>
    <x v="0"/>
  </r>
  <r>
    <x v="1"/>
    <s v="Both"/>
    <x v="0"/>
    <x v="0"/>
    <x v="1"/>
  </r>
  <r>
    <x v="2"/>
    <s v="Both"/>
    <x v="1"/>
    <x v="1"/>
    <x v="0"/>
  </r>
  <r>
    <x v="2"/>
    <s v="Both"/>
    <x v="0"/>
    <x v="0"/>
    <x v="0"/>
  </r>
  <r>
    <x v="2"/>
    <s v="Both"/>
    <x v="1"/>
    <x v="2"/>
    <x v="0"/>
  </r>
  <r>
    <x v="2"/>
    <s v="Both"/>
    <x v="1"/>
    <x v="0"/>
    <x v="0"/>
  </r>
  <r>
    <x v="2"/>
    <s v="Both"/>
    <x v="1"/>
    <x v="1"/>
    <x v="0"/>
  </r>
  <r>
    <x v="3"/>
    <s v="Both"/>
    <x v="1"/>
    <x v="2"/>
    <x v="0"/>
  </r>
  <r>
    <x v="3"/>
    <s v="Both"/>
    <x v="1"/>
    <x v="2"/>
    <x v="0"/>
  </r>
  <r>
    <x v="3"/>
    <s v="Both"/>
    <x v="1"/>
    <x v="2"/>
    <x v="0"/>
  </r>
  <r>
    <x v="3"/>
    <s v="Both"/>
    <x v="1"/>
    <x v="2"/>
    <x v="0"/>
  </r>
  <r>
    <x v="3"/>
    <s v="Both"/>
    <x v="1"/>
    <x v="2"/>
    <x v="0"/>
  </r>
  <r>
    <x v="4"/>
    <s v="Both"/>
    <x v="1"/>
    <x v="1"/>
    <x v="0"/>
  </r>
  <r>
    <x v="4"/>
    <s v="Both"/>
    <x v="1"/>
    <x v="1"/>
    <x v="0"/>
  </r>
  <r>
    <x v="5"/>
    <m/>
    <x v="2"/>
    <x v="3"/>
    <x v="2"/>
  </r>
  <r>
    <x v="5"/>
    <m/>
    <x v="2"/>
    <x v="3"/>
    <x v="2"/>
  </r>
  <r>
    <x v="5"/>
    <m/>
    <x v="2"/>
    <x v="3"/>
    <x v="2"/>
  </r>
  <r>
    <x v="5"/>
    <m/>
    <x v="2"/>
    <x v="3"/>
    <x v="2"/>
  </r>
  <r>
    <x v="5"/>
    <m/>
    <x v="2"/>
    <x v="3"/>
    <x v="2"/>
  </r>
  <r>
    <x v="5"/>
    <m/>
    <x v="2"/>
    <x v="3"/>
    <x v="2"/>
  </r>
  <r>
    <x v="5"/>
    <m/>
    <x v="2"/>
    <x v="3"/>
    <x v="2"/>
  </r>
  <r>
    <x v="5"/>
    <m/>
    <x v="2"/>
    <x v="3"/>
    <x v="2"/>
  </r>
  <r>
    <x v="5"/>
    <m/>
    <x v="2"/>
    <x v="3"/>
    <x v="2"/>
  </r>
  <r>
    <x v="5"/>
    <m/>
    <x v="2"/>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AFE612-9FCB-47BF-BFA1-683371EEC86A}"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F29" firstHeaderRow="1" firstDataRow="2" firstDataCol="1"/>
  <pivotFields count="7">
    <pivotField axis="axisRow" showAll="0">
      <items count="7">
        <item x="0"/>
        <item x="1"/>
        <item x="2"/>
        <item x="5"/>
        <item x="3"/>
        <item x="4"/>
        <item t="default"/>
      </items>
    </pivotField>
    <pivotField showAll="0"/>
    <pivotField axis="axisRow" dataField="1" showAll="0">
      <items count="4">
        <item x="1"/>
        <item x="0"/>
        <item h="1" x="2"/>
        <item t="default"/>
      </items>
    </pivotField>
    <pivotField axis="axisRow" showAll="0">
      <items count="5">
        <item x="1"/>
        <item x="0"/>
        <item h="1" x="3"/>
        <item x="2"/>
        <item t="default"/>
      </items>
    </pivotField>
    <pivotField axis="axisCol" showAll="0">
      <items count="7">
        <item m="1" x="3"/>
        <item h="1" x="2"/>
        <item x="0"/>
        <item m="1" x="4"/>
        <item m="1" x="5"/>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3">
    <field x="0"/>
    <field x="2"/>
    <field x="3"/>
  </rowFields>
  <rowItems count="27">
    <i>
      <x/>
    </i>
    <i r="1">
      <x/>
    </i>
    <i r="2">
      <x/>
    </i>
    <i r="2">
      <x v="1"/>
    </i>
    <i r="1">
      <x v="1"/>
    </i>
    <i r="2">
      <x/>
    </i>
    <i r="2">
      <x v="1"/>
    </i>
    <i>
      <x v="1"/>
    </i>
    <i r="1">
      <x/>
    </i>
    <i r="2">
      <x/>
    </i>
    <i r="1">
      <x v="1"/>
    </i>
    <i r="2">
      <x/>
    </i>
    <i r="2">
      <x v="1"/>
    </i>
    <i>
      <x v="2"/>
    </i>
    <i r="1">
      <x/>
    </i>
    <i r="2">
      <x/>
    </i>
    <i r="2">
      <x v="1"/>
    </i>
    <i r="2">
      <x v="3"/>
    </i>
    <i r="1">
      <x v="1"/>
    </i>
    <i r="2">
      <x v="1"/>
    </i>
    <i>
      <x v="4"/>
    </i>
    <i r="1">
      <x/>
    </i>
    <i r="2">
      <x v="3"/>
    </i>
    <i>
      <x v="5"/>
    </i>
    <i r="1">
      <x/>
    </i>
    <i r="2">
      <x/>
    </i>
    <i t="grand">
      <x/>
    </i>
  </rowItems>
  <colFields count="1">
    <field x="4"/>
  </colFields>
  <colItems count="3">
    <i>
      <x v="2"/>
    </i>
    <i>
      <x v="5"/>
    </i>
    <i t="grand">
      <x/>
    </i>
  </colItems>
  <dataFields count="1">
    <dataField name="Count of Scenario Type" fld="2" subtotal="count" baseField="0" baseItem="0"/>
  </dataFields>
  <formats count="76">
    <format dxfId="235">
      <pivotArea type="all" dataOnly="0" outline="0" fieldPosition="0"/>
    </format>
    <format dxfId="234">
      <pivotArea outline="0" collapsedLevelsAreSubtotals="1" fieldPosition="0"/>
    </format>
    <format dxfId="233">
      <pivotArea type="origin" dataOnly="0" labelOnly="1" outline="0" fieldPosition="0"/>
    </format>
    <format dxfId="232">
      <pivotArea field="4" type="button" dataOnly="0" labelOnly="1" outline="0" axis="axisCol" fieldPosition="0"/>
    </format>
    <format dxfId="231">
      <pivotArea type="topRight" dataOnly="0" labelOnly="1" outline="0" fieldPosition="0"/>
    </format>
    <format dxfId="230">
      <pivotArea dataOnly="0" labelOnly="1" grandRow="1" outline="0" fieldPosition="0"/>
    </format>
    <format dxfId="229">
      <pivotArea dataOnly="0" labelOnly="1" fieldPosition="0">
        <references count="1">
          <reference field="4" count="0"/>
        </references>
      </pivotArea>
    </format>
    <format dxfId="228">
      <pivotArea dataOnly="0" labelOnly="1" grandCol="1" outline="0" fieldPosition="0"/>
    </format>
    <format dxfId="227">
      <pivotArea type="all" dataOnly="0" outline="0" fieldPosition="0"/>
    </format>
    <format dxfId="226">
      <pivotArea outline="0" collapsedLevelsAreSubtotals="1" fieldPosition="0"/>
    </format>
    <format dxfId="225">
      <pivotArea type="origin" dataOnly="0" labelOnly="1" outline="0" fieldPosition="0"/>
    </format>
    <format dxfId="224">
      <pivotArea field="4" type="button" dataOnly="0" labelOnly="1" outline="0" axis="axisCol" fieldPosition="0"/>
    </format>
    <format dxfId="223">
      <pivotArea type="topRight" dataOnly="0" labelOnly="1" outline="0" fieldPosition="0"/>
    </format>
    <format dxfId="222">
      <pivotArea dataOnly="0" labelOnly="1" grandRow="1" outline="0" fieldPosition="0"/>
    </format>
    <format dxfId="221">
      <pivotArea dataOnly="0" labelOnly="1" fieldPosition="0">
        <references count="1">
          <reference field="4" count="0"/>
        </references>
      </pivotArea>
    </format>
    <format dxfId="220">
      <pivotArea dataOnly="0" labelOnly="1" grandCol="1" outline="0" fieldPosition="0"/>
    </format>
    <format dxfId="219">
      <pivotArea outline="0" collapsedLevelsAreSubtotals="1" fieldPosition="0"/>
    </format>
    <format dxfId="218">
      <pivotArea dataOnly="0" labelOnly="1" grandRow="1" outline="0" fieldPosition="0"/>
    </format>
    <format dxfId="217">
      <pivotArea dataOnly="0" labelOnly="1" fieldPosition="0">
        <references count="1">
          <reference field="4" count="0"/>
        </references>
      </pivotArea>
    </format>
    <format dxfId="216">
      <pivotArea dataOnly="0" labelOnly="1" grandCol="1" outline="0" fieldPosition="0"/>
    </format>
    <format dxfId="215">
      <pivotArea collapsedLevelsAreSubtotals="1" fieldPosition="0">
        <references count="1">
          <reference field="0" count="1">
            <x v="2"/>
          </reference>
        </references>
      </pivotArea>
    </format>
    <format dxfId="214">
      <pivotArea dataOnly="0" labelOnly="1" fieldPosition="0">
        <references count="1">
          <reference field="0" count="1">
            <x v="2"/>
          </reference>
        </references>
      </pivotArea>
    </format>
    <format dxfId="213">
      <pivotArea collapsedLevelsAreSubtotals="1" fieldPosition="0">
        <references count="1">
          <reference field="0" count="1">
            <x v="1"/>
          </reference>
        </references>
      </pivotArea>
    </format>
    <format dxfId="212">
      <pivotArea dataOnly="0" labelOnly="1" fieldPosition="0">
        <references count="1">
          <reference field="0" count="1">
            <x v="1"/>
          </reference>
        </references>
      </pivotArea>
    </format>
    <format dxfId="211">
      <pivotArea collapsedLevelsAreSubtotals="1" fieldPosition="0">
        <references count="1">
          <reference field="0" count="1">
            <x v="0"/>
          </reference>
        </references>
      </pivotArea>
    </format>
    <format dxfId="210">
      <pivotArea dataOnly="0" labelOnly="1" fieldPosition="0">
        <references count="1">
          <reference field="0" count="1">
            <x v="0"/>
          </reference>
        </references>
      </pivotArea>
    </format>
    <format dxfId="209">
      <pivotArea collapsedLevelsAreSubtotals="1" fieldPosition="0">
        <references count="1">
          <reference field="0" count="1">
            <x v="2"/>
          </reference>
        </references>
      </pivotArea>
    </format>
    <format dxfId="208">
      <pivotArea dataOnly="0" labelOnly="1" fieldPosition="0">
        <references count="1">
          <reference field="0" count="1">
            <x v="2"/>
          </reference>
        </references>
      </pivotArea>
    </format>
    <format dxfId="207">
      <pivotArea collapsedLevelsAreSubtotals="1" fieldPosition="0">
        <references count="1">
          <reference field="0" count="1">
            <x v="1"/>
          </reference>
        </references>
      </pivotArea>
    </format>
    <format dxfId="206">
      <pivotArea dataOnly="0" labelOnly="1" fieldPosition="0">
        <references count="1">
          <reference field="0" count="1">
            <x v="1"/>
          </reference>
        </references>
      </pivotArea>
    </format>
    <format dxfId="205">
      <pivotArea collapsedLevelsAreSubtotals="1" fieldPosition="0">
        <references count="1">
          <reference field="0" count="1">
            <x v="0"/>
          </reference>
        </references>
      </pivotArea>
    </format>
    <format dxfId="204">
      <pivotArea dataOnly="0" labelOnly="1" fieldPosition="0">
        <references count="1">
          <reference field="0" count="1">
            <x v="0"/>
          </reference>
        </references>
      </pivotArea>
    </format>
    <format dxfId="203">
      <pivotArea outline="0" collapsedLevelsAreSubtotals="1" fieldPosition="0"/>
    </format>
    <format dxfId="202">
      <pivotArea dataOnly="0" labelOnly="1" fieldPosition="0">
        <references count="1">
          <reference field="0" count="3">
            <x v="0"/>
            <x v="1"/>
            <x v="2"/>
          </reference>
        </references>
      </pivotArea>
    </format>
    <format dxfId="201">
      <pivotArea dataOnly="0" labelOnly="1" grandRow="1" outline="0" fieldPosition="0"/>
    </format>
    <format dxfId="200">
      <pivotArea dataOnly="0" labelOnly="1" fieldPosition="0">
        <references count="2">
          <reference field="0" count="1" selected="0">
            <x v="0"/>
          </reference>
          <reference field="2" count="0"/>
        </references>
      </pivotArea>
    </format>
    <format dxfId="199">
      <pivotArea dataOnly="0" labelOnly="1" fieldPosition="0">
        <references count="2">
          <reference field="0" count="1" selected="0">
            <x v="1"/>
          </reference>
          <reference field="2" count="0"/>
        </references>
      </pivotArea>
    </format>
    <format dxfId="198">
      <pivotArea dataOnly="0" labelOnly="1" fieldPosition="0">
        <references count="2">
          <reference field="0" count="1" selected="0">
            <x v="2"/>
          </reference>
          <reference field="2" count="0"/>
        </references>
      </pivotArea>
    </format>
    <format dxfId="197">
      <pivotArea dataOnly="0" labelOnly="1" fieldPosition="0">
        <references count="3">
          <reference field="0" count="1" selected="0">
            <x v="0"/>
          </reference>
          <reference field="2" count="1" selected="0">
            <x v="0"/>
          </reference>
          <reference field="3" count="2">
            <x v="0"/>
            <x v="1"/>
          </reference>
        </references>
      </pivotArea>
    </format>
    <format dxfId="196">
      <pivotArea dataOnly="0" labelOnly="1" fieldPosition="0">
        <references count="3">
          <reference field="0" count="1" selected="0">
            <x v="0"/>
          </reference>
          <reference field="2" count="1" selected="0">
            <x v="1"/>
          </reference>
          <reference field="3" count="2">
            <x v="0"/>
            <x v="1"/>
          </reference>
        </references>
      </pivotArea>
    </format>
    <format dxfId="195">
      <pivotArea dataOnly="0" labelOnly="1" fieldPosition="0">
        <references count="3">
          <reference field="0" count="1" selected="0">
            <x v="1"/>
          </reference>
          <reference field="2" count="1" selected="0">
            <x v="0"/>
          </reference>
          <reference field="3" count="1">
            <x v="0"/>
          </reference>
        </references>
      </pivotArea>
    </format>
    <format dxfId="194">
      <pivotArea dataOnly="0" labelOnly="1" fieldPosition="0">
        <references count="3">
          <reference field="0" count="1" selected="0">
            <x v="1"/>
          </reference>
          <reference field="2" count="1" selected="0">
            <x v="1"/>
          </reference>
          <reference field="3" count="2">
            <x v="0"/>
            <x v="1"/>
          </reference>
        </references>
      </pivotArea>
    </format>
    <format dxfId="193">
      <pivotArea dataOnly="0" labelOnly="1" fieldPosition="0">
        <references count="3">
          <reference field="0" count="1" selected="0">
            <x v="2"/>
          </reference>
          <reference field="2" count="1" selected="0">
            <x v="0"/>
          </reference>
          <reference field="3" count="0"/>
        </references>
      </pivotArea>
    </format>
    <format dxfId="192">
      <pivotArea dataOnly="0" labelOnly="1" fieldPosition="0">
        <references count="3">
          <reference field="0" count="1" selected="0">
            <x v="2"/>
          </reference>
          <reference field="2" count="1" selected="0">
            <x v="1"/>
          </reference>
          <reference field="3" count="1">
            <x v="1"/>
          </reference>
        </references>
      </pivotArea>
    </format>
    <format dxfId="191">
      <pivotArea collapsedLevelsAreSubtotals="1" fieldPosition="0">
        <references count="1">
          <reference field="0" count="1">
            <x v="4"/>
          </reference>
        </references>
      </pivotArea>
    </format>
    <format dxfId="190">
      <pivotArea dataOnly="0" labelOnly="1" fieldPosition="0">
        <references count="1">
          <reference field="0" count="1">
            <x v="4"/>
          </reference>
        </references>
      </pivotArea>
    </format>
    <format dxfId="189">
      <pivotArea collapsedLevelsAreSubtotals="1" fieldPosition="0">
        <references count="1">
          <reference field="0" count="1">
            <x v="4"/>
          </reference>
        </references>
      </pivotArea>
    </format>
    <format dxfId="188">
      <pivotArea dataOnly="0" labelOnly="1" fieldPosition="0">
        <references count="1">
          <reference field="0" count="1">
            <x v="4"/>
          </reference>
        </references>
      </pivotArea>
    </format>
    <format dxfId="187">
      <pivotArea collapsedLevelsAreSubtotals="1" fieldPosition="0">
        <references count="3">
          <reference field="0" count="1" selected="0">
            <x v="2"/>
          </reference>
          <reference field="2" count="1" selected="0">
            <x v="1"/>
          </reference>
          <reference field="3" count="1">
            <x v="1"/>
          </reference>
        </references>
      </pivotArea>
    </format>
    <format dxfId="186">
      <pivotArea collapsedLevelsAreSubtotals="1" fieldPosition="0">
        <references count="1">
          <reference field="0" count="1">
            <x v="4"/>
          </reference>
        </references>
      </pivotArea>
    </format>
    <format dxfId="185">
      <pivotArea collapsedLevelsAreSubtotals="1" fieldPosition="0">
        <references count="2">
          <reference field="0" count="1" selected="0">
            <x v="4"/>
          </reference>
          <reference field="2" count="1">
            <x v="0"/>
          </reference>
        </references>
      </pivotArea>
    </format>
    <format dxfId="184">
      <pivotArea collapsedLevelsAreSubtotals="1" fieldPosition="0">
        <references count="3">
          <reference field="0" count="1" selected="0">
            <x v="4"/>
          </reference>
          <reference field="2" count="1" selected="0">
            <x v="0"/>
          </reference>
          <reference field="3" count="1">
            <x v="3"/>
          </reference>
        </references>
      </pivotArea>
    </format>
    <format dxfId="183">
      <pivotArea grandRow="1" outline="0" collapsedLevelsAreSubtotals="1" fieldPosition="0"/>
    </format>
    <format dxfId="182">
      <pivotArea dataOnly="0" labelOnly="1" fieldPosition="0">
        <references count="1">
          <reference field="0" count="1">
            <x v="4"/>
          </reference>
        </references>
      </pivotArea>
    </format>
    <format dxfId="181">
      <pivotArea collapsedLevelsAreSubtotals="1" fieldPosition="0">
        <references count="1">
          <reference field="0" count="1">
            <x v="5"/>
          </reference>
        </references>
      </pivotArea>
    </format>
    <format dxfId="180">
      <pivotArea dataOnly="0" labelOnly="1" fieldPosition="0">
        <references count="1">
          <reference field="0" count="1">
            <x v="5"/>
          </reference>
        </references>
      </pivotArea>
    </format>
    <format dxfId="179">
      <pivotArea collapsedLevelsAreSubtotals="1" fieldPosition="0">
        <references count="1">
          <reference field="0" count="1">
            <x v="5"/>
          </reference>
        </references>
      </pivotArea>
    </format>
    <format dxfId="178">
      <pivotArea dataOnly="0" labelOnly="1" fieldPosition="0">
        <references count="1">
          <reference field="0" count="1">
            <x v="5"/>
          </reference>
        </references>
      </pivotArea>
    </format>
    <format dxfId="177">
      <pivotArea collapsedLevelsAreSubtotals="1" fieldPosition="0">
        <references count="1">
          <reference field="0" count="1">
            <x v="5"/>
          </reference>
        </references>
      </pivotArea>
    </format>
    <format dxfId="176">
      <pivotArea dataOnly="0" labelOnly="1" fieldPosition="0">
        <references count="1">
          <reference field="0" count="1">
            <x v="5"/>
          </reference>
        </references>
      </pivotArea>
    </format>
    <format dxfId="175">
      <pivotArea outline="0" collapsedLevelsAreSubtotals="1" fieldPosition="0"/>
    </format>
    <format dxfId="174">
      <pivotArea dataOnly="0" labelOnly="1" fieldPosition="0">
        <references count="1">
          <reference field="0" count="5">
            <x v="0"/>
            <x v="1"/>
            <x v="2"/>
            <x v="4"/>
            <x v="5"/>
          </reference>
        </references>
      </pivotArea>
    </format>
    <format dxfId="173">
      <pivotArea dataOnly="0" labelOnly="1" grandRow="1" outline="0" fieldPosition="0"/>
    </format>
    <format dxfId="172">
      <pivotArea dataOnly="0" labelOnly="1" fieldPosition="0">
        <references count="2">
          <reference field="0" count="1" selected="0">
            <x v="0"/>
          </reference>
          <reference field="2" count="0"/>
        </references>
      </pivotArea>
    </format>
    <format dxfId="171">
      <pivotArea dataOnly="0" labelOnly="1" fieldPosition="0">
        <references count="2">
          <reference field="0" count="1" selected="0">
            <x v="1"/>
          </reference>
          <reference field="2" count="0"/>
        </references>
      </pivotArea>
    </format>
    <format dxfId="170">
      <pivotArea dataOnly="0" labelOnly="1" fieldPosition="0">
        <references count="2">
          <reference field="0" count="1" selected="0">
            <x v="2"/>
          </reference>
          <reference field="2" count="0"/>
        </references>
      </pivotArea>
    </format>
    <format dxfId="169">
      <pivotArea dataOnly="0" labelOnly="1" fieldPosition="0">
        <references count="2">
          <reference field="0" count="1" selected="0">
            <x v="4"/>
          </reference>
          <reference field="2" count="1">
            <x v="0"/>
          </reference>
        </references>
      </pivotArea>
    </format>
    <format dxfId="168">
      <pivotArea dataOnly="0" labelOnly="1" fieldPosition="0">
        <references count="2">
          <reference field="0" count="1" selected="0">
            <x v="5"/>
          </reference>
          <reference field="2" count="1">
            <x v="0"/>
          </reference>
        </references>
      </pivotArea>
    </format>
    <format dxfId="167">
      <pivotArea dataOnly="0" labelOnly="1" fieldPosition="0">
        <references count="3">
          <reference field="0" count="1" selected="0">
            <x v="0"/>
          </reference>
          <reference field="2" count="1" selected="0">
            <x v="0"/>
          </reference>
          <reference field="3" count="2">
            <x v="0"/>
            <x v="1"/>
          </reference>
        </references>
      </pivotArea>
    </format>
    <format dxfId="166">
      <pivotArea dataOnly="0" labelOnly="1" fieldPosition="0">
        <references count="3">
          <reference field="0" count="1" selected="0">
            <x v="0"/>
          </reference>
          <reference field="2" count="1" selected="0">
            <x v="1"/>
          </reference>
          <reference field="3" count="2">
            <x v="0"/>
            <x v="1"/>
          </reference>
        </references>
      </pivotArea>
    </format>
    <format dxfId="165">
      <pivotArea dataOnly="0" labelOnly="1" fieldPosition="0">
        <references count="3">
          <reference field="0" count="1" selected="0">
            <x v="1"/>
          </reference>
          <reference field="2" count="1" selected="0">
            <x v="0"/>
          </reference>
          <reference field="3" count="1">
            <x v="0"/>
          </reference>
        </references>
      </pivotArea>
    </format>
    <format dxfId="164">
      <pivotArea dataOnly="0" labelOnly="1" fieldPosition="0">
        <references count="3">
          <reference field="0" count="1" selected="0">
            <x v="1"/>
          </reference>
          <reference field="2" count="1" selected="0">
            <x v="1"/>
          </reference>
          <reference field="3" count="2">
            <x v="0"/>
            <x v="1"/>
          </reference>
        </references>
      </pivotArea>
    </format>
    <format dxfId="163">
      <pivotArea dataOnly="0" labelOnly="1" fieldPosition="0">
        <references count="3">
          <reference field="0" count="1" selected="0">
            <x v="2"/>
          </reference>
          <reference field="2" count="1" selected="0">
            <x v="0"/>
          </reference>
          <reference field="3" count="0"/>
        </references>
      </pivotArea>
    </format>
    <format dxfId="162">
      <pivotArea dataOnly="0" labelOnly="1" fieldPosition="0">
        <references count="3">
          <reference field="0" count="1" selected="0">
            <x v="2"/>
          </reference>
          <reference field="2" count="1" selected="0">
            <x v="1"/>
          </reference>
          <reference field="3" count="1">
            <x v="1"/>
          </reference>
        </references>
      </pivotArea>
    </format>
    <format dxfId="161">
      <pivotArea dataOnly="0" labelOnly="1" fieldPosition="0">
        <references count="3">
          <reference field="0" count="1" selected="0">
            <x v="4"/>
          </reference>
          <reference field="2" count="1" selected="0">
            <x v="0"/>
          </reference>
          <reference field="3" count="1">
            <x v="3"/>
          </reference>
        </references>
      </pivotArea>
    </format>
    <format dxfId="160">
      <pivotArea dataOnly="0" labelOnly="1" fieldPosition="0">
        <references count="3">
          <reference field="0" count="1" selected="0">
            <x v="5"/>
          </reference>
          <reference field="2" count="1" selected="0">
            <x v="0"/>
          </reference>
          <reference field="3"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A29938-E37C-4DF7-AC94-4FB3ADCCF020}"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P6" firstHeaderRow="1" firstDataRow="1" firstDataCol="1"/>
  <pivotFields count="7">
    <pivotField showAll="0">
      <items count="7">
        <item x="0"/>
        <item x="1"/>
        <item x="2"/>
        <item x="5"/>
        <item x="3"/>
        <item x="4"/>
        <item t="default"/>
      </items>
    </pivotField>
    <pivotField showAll="0"/>
    <pivotField showAll="0"/>
    <pivotField showAll="0"/>
    <pivotField axis="axisRow" dataField="1" showAll="0">
      <items count="7">
        <item m="1" x="3"/>
        <item x="0"/>
        <item m="1" x="5"/>
        <item m="1" x="4"/>
        <item h="1"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v="1"/>
    </i>
    <i>
      <x v="5"/>
    </i>
    <i t="grand">
      <x/>
    </i>
  </rowItems>
  <colItems count="1">
    <i/>
  </colItems>
  <dataFields count="1">
    <dataField name="Count of Statu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378445-6FC7-4A2D-A820-2A994CD1DA95}"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7" firstHeaderRow="1" firstDataRow="1" firstDataCol="1"/>
  <pivotFields count="7">
    <pivotField showAll="0">
      <items count="7">
        <item x="0"/>
        <item x="1"/>
        <item x="2"/>
        <item x="5"/>
        <item x="3"/>
        <item x="4"/>
        <item t="default"/>
      </items>
    </pivotField>
    <pivotField showAll="0"/>
    <pivotField showAll="0"/>
    <pivotField axis="axisRow" dataField="1" showAll="0">
      <items count="5">
        <item x="1"/>
        <item x="0"/>
        <item h="1" x="3"/>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3"/>
    </i>
    <i t="grand">
      <x/>
    </i>
  </rowItems>
  <colItems count="1">
    <i/>
  </colItems>
  <dataFields count="1">
    <dataField name="Count of Bug 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O56"/>
  <sheetViews>
    <sheetView tabSelected="1" zoomScaleNormal="100" workbookViewId="0">
      <pane ySplit="1" topLeftCell="A2" activePane="bottomLeft" state="frozen"/>
      <selection activeCell="E2" sqref="A2:F1048576"/>
      <selection pane="bottomLeft" activeCell="F48" sqref="F48"/>
    </sheetView>
  </sheetViews>
  <sheetFormatPr defaultRowHeight="15" x14ac:dyDescent="0.25"/>
  <cols>
    <col min="1" max="1" width="3" style="7" bestFit="1" customWidth="1"/>
    <col min="2" max="3" width="10.7109375" style="7" customWidth="1"/>
    <col min="4" max="4" width="12.5703125" style="7" bestFit="1" customWidth="1"/>
    <col min="5" max="5" width="10.7109375" style="7" bestFit="1" customWidth="1"/>
    <col min="6" max="6" width="17" style="7" bestFit="1" customWidth="1"/>
    <col min="7" max="7" width="14" style="7" bestFit="1" customWidth="1"/>
    <col min="8" max="8" width="20.7109375" style="3" customWidth="1"/>
    <col min="9" max="10" width="60.7109375" style="7" customWidth="1"/>
    <col min="11" max="11" width="10.7109375" style="8" customWidth="1"/>
    <col min="12" max="12" width="13.42578125" style="7" bestFit="1" customWidth="1"/>
    <col min="13" max="14" width="50.7109375" style="3" customWidth="1"/>
    <col min="15" max="16384" width="9.140625" style="7"/>
  </cols>
  <sheetData>
    <row r="1" spans="1:15" s="1" customFormat="1" ht="30" x14ac:dyDescent="0.25">
      <c r="A1" s="4" t="s">
        <v>0</v>
      </c>
      <c r="B1" s="5" t="s">
        <v>1</v>
      </c>
      <c r="C1" s="5" t="s">
        <v>2</v>
      </c>
      <c r="D1" s="5" t="s">
        <v>3</v>
      </c>
      <c r="E1" s="4" t="s">
        <v>4</v>
      </c>
      <c r="F1" s="5" t="s">
        <v>5</v>
      </c>
      <c r="G1" s="5" t="s">
        <v>6</v>
      </c>
      <c r="H1" s="4" t="s">
        <v>7</v>
      </c>
      <c r="I1" s="5" t="s">
        <v>8</v>
      </c>
      <c r="J1" s="4" t="s">
        <v>9</v>
      </c>
      <c r="K1" s="5" t="s">
        <v>10</v>
      </c>
      <c r="L1" s="5" t="s">
        <v>11</v>
      </c>
      <c r="M1" s="4" t="s">
        <v>12</v>
      </c>
      <c r="N1" s="4" t="s">
        <v>13</v>
      </c>
      <c r="O1" s="24"/>
    </row>
    <row r="2" spans="1:15" ht="60" x14ac:dyDescent="0.25">
      <c r="A2" s="25">
        <v>1</v>
      </c>
      <c r="B2" s="21">
        <v>46052</v>
      </c>
      <c r="C2" s="21" t="s">
        <v>14</v>
      </c>
      <c r="D2" s="19" t="s">
        <v>15</v>
      </c>
      <c r="E2" s="19" t="s">
        <v>16</v>
      </c>
      <c r="F2" s="19" t="s">
        <v>17</v>
      </c>
      <c r="G2" s="22" t="s">
        <v>18</v>
      </c>
      <c r="H2" s="20" t="s">
        <v>19</v>
      </c>
      <c r="I2" s="20" t="s">
        <v>20</v>
      </c>
      <c r="J2" s="19" t="s">
        <v>21</v>
      </c>
      <c r="K2" s="26">
        <v>46142</v>
      </c>
      <c r="L2" s="19" t="s">
        <v>22</v>
      </c>
      <c r="M2" s="9" t="s">
        <v>214</v>
      </c>
      <c r="N2" s="20" t="s">
        <v>23</v>
      </c>
      <c r="O2" s="27"/>
    </row>
    <row r="3" spans="1:15" ht="45" x14ac:dyDescent="0.25">
      <c r="A3" s="28">
        <v>2</v>
      </c>
      <c r="B3" s="21">
        <v>46052</v>
      </c>
      <c r="C3" s="21" t="s">
        <v>24</v>
      </c>
      <c r="D3" s="19" t="s">
        <v>25</v>
      </c>
      <c r="E3" s="19" t="s">
        <v>16</v>
      </c>
      <c r="F3" s="19" t="s">
        <v>17</v>
      </c>
      <c r="G3" s="22" t="s">
        <v>26</v>
      </c>
      <c r="H3" s="20" t="s">
        <v>27</v>
      </c>
      <c r="I3" s="20" t="s">
        <v>28</v>
      </c>
      <c r="J3" s="22" t="s">
        <v>29</v>
      </c>
      <c r="K3" s="26">
        <v>46142</v>
      </c>
      <c r="L3" s="19" t="s">
        <v>22</v>
      </c>
      <c r="M3" s="9" t="s">
        <v>215</v>
      </c>
      <c r="N3" s="29" t="s">
        <v>30</v>
      </c>
      <c r="O3" s="27"/>
    </row>
    <row r="4" spans="1:15" ht="75" x14ac:dyDescent="0.25">
      <c r="A4" s="25">
        <v>3</v>
      </c>
      <c r="B4" s="21">
        <v>46052</v>
      </c>
      <c r="C4" s="21" t="s">
        <v>24</v>
      </c>
      <c r="D4" s="19" t="s">
        <v>25</v>
      </c>
      <c r="E4" s="19" t="s">
        <v>31</v>
      </c>
      <c r="F4" s="19" t="s">
        <v>17</v>
      </c>
      <c r="G4" s="19" t="s">
        <v>18</v>
      </c>
      <c r="H4" s="19" t="s">
        <v>32</v>
      </c>
      <c r="I4" s="19" t="s">
        <v>33</v>
      </c>
      <c r="J4" s="19" t="s">
        <v>34</v>
      </c>
      <c r="K4" s="26">
        <v>46142</v>
      </c>
      <c r="L4" s="19" t="s">
        <v>22</v>
      </c>
      <c r="M4" s="9" t="s">
        <v>215</v>
      </c>
      <c r="N4" s="20" t="s">
        <v>35</v>
      </c>
      <c r="O4" s="27"/>
    </row>
    <row r="5" spans="1:15" ht="45" x14ac:dyDescent="0.25">
      <c r="A5" s="25">
        <v>4</v>
      </c>
      <c r="B5" s="21">
        <v>46052</v>
      </c>
      <c r="C5" s="21" t="s">
        <v>24</v>
      </c>
      <c r="D5" s="19" t="s">
        <v>25</v>
      </c>
      <c r="E5" s="19" t="s">
        <v>16</v>
      </c>
      <c r="F5" s="19" t="s">
        <v>17</v>
      </c>
      <c r="G5" s="19" t="s">
        <v>18</v>
      </c>
      <c r="H5" s="19" t="s">
        <v>32</v>
      </c>
      <c r="I5" s="19" t="s">
        <v>36</v>
      </c>
      <c r="J5" s="19"/>
      <c r="K5" s="26">
        <v>46142</v>
      </c>
      <c r="L5" s="19" t="s">
        <v>22</v>
      </c>
      <c r="M5" s="9" t="s">
        <v>215</v>
      </c>
      <c r="N5" s="20" t="s">
        <v>37</v>
      </c>
      <c r="O5" s="27"/>
    </row>
    <row r="6" spans="1:15" ht="45" x14ac:dyDescent="0.25">
      <c r="A6" s="25">
        <v>5</v>
      </c>
      <c r="B6" s="21">
        <v>46052</v>
      </c>
      <c r="C6" s="21" t="s">
        <v>24</v>
      </c>
      <c r="D6" s="19" t="s">
        <v>25</v>
      </c>
      <c r="E6" s="19" t="s">
        <v>31</v>
      </c>
      <c r="F6" s="19" t="s">
        <v>17</v>
      </c>
      <c r="G6" s="19" t="s">
        <v>18</v>
      </c>
      <c r="H6" s="19" t="s">
        <v>32</v>
      </c>
      <c r="I6" s="19" t="s">
        <v>38</v>
      </c>
      <c r="J6" s="19" t="s">
        <v>39</v>
      </c>
      <c r="K6" s="26">
        <v>46142</v>
      </c>
      <c r="L6" s="19" t="s">
        <v>22</v>
      </c>
      <c r="M6" s="9" t="s">
        <v>215</v>
      </c>
      <c r="N6" s="20" t="s">
        <v>40</v>
      </c>
      <c r="O6" s="27"/>
    </row>
    <row r="7" spans="1:15" ht="45" x14ac:dyDescent="0.25">
      <c r="A7" s="25">
        <v>6</v>
      </c>
      <c r="B7" s="21">
        <v>46052</v>
      </c>
      <c r="C7" s="21" t="s">
        <v>24</v>
      </c>
      <c r="D7" s="19" t="s">
        <v>25</v>
      </c>
      <c r="E7" s="19" t="s">
        <v>16</v>
      </c>
      <c r="F7" s="19" t="s">
        <v>17</v>
      </c>
      <c r="G7" s="19" t="s">
        <v>41</v>
      </c>
      <c r="H7" s="19" t="s">
        <v>42</v>
      </c>
      <c r="I7" s="19" t="s">
        <v>43</v>
      </c>
      <c r="J7" s="19"/>
      <c r="K7" s="26">
        <v>46142</v>
      </c>
      <c r="L7" s="19" t="s">
        <v>22</v>
      </c>
      <c r="M7" s="9" t="s">
        <v>215</v>
      </c>
      <c r="N7" s="20" t="s">
        <v>44</v>
      </c>
      <c r="O7" s="27"/>
    </row>
    <row r="8" spans="1:15" s="2" customFormat="1" ht="180" x14ac:dyDescent="0.25">
      <c r="A8" s="25">
        <v>7</v>
      </c>
      <c r="B8" s="21">
        <v>46052</v>
      </c>
      <c r="C8" s="21" t="s">
        <v>24</v>
      </c>
      <c r="D8" s="19" t="s">
        <v>25</v>
      </c>
      <c r="E8" s="19" t="s">
        <v>31</v>
      </c>
      <c r="F8" s="19" t="s">
        <v>17</v>
      </c>
      <c r="G8" s="19" t="s">
        <v>46</v>
      </c>
      <c r="H8" s="6" t="s">
        <v>47</v>
      </c>
      <c r="I8" s="6" t="s">
        <v>48</v>
      </c>
      <c r="J8" s="6" t="s">
        <v>49</v>
      </c>
      <c r="K8" s="26">
        <v>46142</v>
      </c>
      <c r="L8" s="19" t="s">
        <v>22</v>
      </c>
      <c r="M8" s="10" t="s">
        <v>216</v>
      </c>
      <c r="N8" s="23" t="s">
        <v>51</v>
      </c>
      <c r="O8" s="30"/>
    </row>
    <row r="9" spans="1:15" s="2" customFormat="1" ht="135" x14ac:dyDescent="0.25">
      <c r="A9" s="28">
        <v>8</v>
      </c>
      <c r="B9" s="21">
        <v>46052</v>
      </c>
      <c r="C9" s="21" t="s">
        <v>24</v>
      </c>
      <c r="D9" s="19" t="s">
        <v>25</v>
      </c>
      <c r="E9" s="19" t="s">
        <v>31</v>
      </c>
      <c r="F9" s="19" t="s">
        <v>17</v>
      </c>
      <c r="G9" s="19" t="s">
        <v>52</v>
      </c>
      <c r="H9" s="6" t="s">
        <v>47</v>
      </c>
      <c r="I9" s="6" t="s">
        <v>53</v>
      </c>
      <c r="J9" s="6" t="s">
        <v>54</v>
      </c>
      <c r="K9" s="26">
        <v>46142</v>
      </c>
      <c r="L9" s="19" t="s">
        <v>22</v>
      </c>
      <c r="M9" s="10" t="s">
        <v>218</v>
      </c>
      <c r="N9" s="19" t="s">
        <v>55</v>
      </c>
      <c r="O9" s="30"/>
    </row>
    <row r="10" spans="1:15" s="2" customFormat="1" ht="60" x14ac:dyDescent="0.25">
      <c r="A10" s="25">
        <v>9</v>
      </c>
      <c r="B10" s="21">
        <v>46052</v>
      </c>
      <c r="C10" s="21" t="s">
        <v>24</v>
      </c>
      <c r="D10" s="19" t="s">
        <v>25</v>
      </c>
      <c r="E10" s="19" t="s">
        <v>31</v>
      </c>
      <c r="F10" s="19" t="s">
        <v>17</v>
      </c>
      <c r="G10" s="19" t="s">
        <v>56</v>
      </c>
      <c r="H10" s="6" t="s">
        <v>47</v>
      </c>
      <c r="I10" s="6" t="s">
        <v>57</v>
      </c>
      <c r="J10" s="6" t="s">
        <v>58</v>
      </c>
      <c r="K10" s="26">
        <v>46142</v>
      </c>
      <c r="L10" s="19" t="s">
        <v>22</v>
      </c>
      <c r="M10" s="10" t="s">
        <v>217</v>
      </c>
      <c r="N10" s="19" t="s">
        <v>59</v>
      </c>
      <c r="O10" s="30"/>
    </row>
    <row r="11" spans="1:15" s="2" customFormat="1" ht="45" x14ac:dyDescent="0.25">
      <c r="A11" s="25">
        <v>10</v>
      </c>
      <c r="B11" s="21">
        <v>46052</v>
      </c>
      <c r="C11" s="21" t="s">
        <v>24</v>
      </c>
      <c r="D11" s="19" t="s">
        <v>15</v>
      </c>
      <c r="E11" s="19" t="s">
        <v>16</v>
      </c>
      <c r="F11" s="19" t="s">
        <v>17</v>
      </c>
      <c r="G11" s="19" t="s">
        <v>60</v>
      </c>
      <c r="H11" s="19" t="s">
        <v>61</v>
      </c>
      <c r="I11" s="19" t="s">
        <v>62</v>
      </c>
      <c r="J11" s="19"/>
      <c r="K11" s="26">
        <v>46142</v>
      </c>
      <c r="L11" s="19" t="s">
        <v>22</v>
      </c>
      <c r="M11" s="10" t="s">
        <v>219</v>
      </c>
      <c r="N11" s="14" t="s">
        <v>63</v>
      </c>
      <c r="O11" s="30"/>
    </row>
    <row r="12" spans="1:15" ht="45" x14ac:dyDescent="0.25">
      <c r="A12" s="25">
        <v>11</v>
      </c>
      <c r="B12" s="21">
        <v>46052</v>
      </c>
      <c r="C12" s="21" t="s">
        <v>24</v>
      </c>
      <c r="D12" s="19" t="s">
        <v>15</v>
      </c>
      <c r="E12" s="19" t="s">
        <v>16</v>
      </c>
      <c r="F12" s="19" t="s">
        <v>17</v>
      </c>
      <c r="G12" s="19" t="s">
        <v>64</v>
      </c>
      <c r="H12" s="19" t="s">
        <v>65</v>
      </c>
      <c r="I12" s="19" t="s">
        <v>66</v>
      </c>
      <c r="J12" s="19"/>
      <c r="K12" s="26">
        <v>46142</v>
      </c>
      <c r="L12" s="19" t="s">
        <v>22</v>
      </c>
      <c r="M12" s="9" t="s">
        <v>220</v>
      </c>
      <c r="N12" s="20" t="s">
        <v>67</v>
      </c>
      <c r="O12" s="27"/>
    </row>
    <row r="13" spans="1:15" ht="60" x14ac:dyDescent="0.25">
      <c r="A13" s="25">
        <v>12</v>
      </c>
      <c r="B13" s="21">
        <v>46052</v>
      </c>
      <c r="C13" s="21" t="s">
        <v>24</v>
      </c>
      <c r="D13" s="19" t="s">
        <v>15</v>
      </c>
      <c r="E13" s="19" t="s">
        <v>16</v>
      </c>
      <c r="F13" s="19" t="s">
        <v>17</v>
      </c>
      <c r="G13" s="19" t="s">
        <v>60</v>
      </c>
      <c r="H13" s="19" t="s">
        <v>61</v>
      </c>
      <c r="I13" s="19" t="s">
        <v>68</v>
      </c>
      <c r="J13" s="19"/>
      <c r="K13" s="26">
        <v>46142</v>
      </c>
      <c r="L13" s="19" t="s">
        <v>22</v>
      </c>
      <c r="M13" s="9" t="s">
        <v>220</v>
      </c>
      <c r="N13" s="31" t="s">
        <v>69</v>
      </c>
      <c r="O13" s="27"/>
    </row>
    <row r="14" spans="1:15" ht="135" x14ac:dyDescent="0.25">
      <c r="A14" s="25">
        <v>13</v>
      </c>
      <c r="B14" s="21">
        <v>46052</v>
      </c>
      <c r="C14" s="21" t="s">
        <v>24</v>
      </c>
      <c r="D14" s="19" t="s">
        <v>25</v>
      </c>
      <c r="E14" s="19" t="s">
        <v>31</v>
      </c>
      <c r="F14" s="19" t="s">
        <v>17</v>
      </c>
      <c r="G14" s="19" t="s">
        <v>70</v>
      </c>
      <c r="H14" s="19" t="s">
        <v>71</v>
      </c>
      <c r="I14" s="19" t="s">
        <v>72</v>
      </c>
      <c r="J14" s="19"/>
      <c r="K14" s="26">
        <v>46142</v>
      </c>
      <c r="L14" s="19" t="s">
        <v>22</v>
      </c>
      <c r="M14" s="9" t="s">
        <v>223</v>
      </c>
      <c r="N14" s="20" t="s">
        <v>73</v>
      </c>
      <c r="O14" s="27"/>
    </row>
    <row r="15" spans="1:15" ht="75" x14ac:dyDescent="0.25">
      <c r="A15" s="25">
        <v>14</v>
      </c>
      <c r="B15" s="21">
        <v>46052</v>
      </c>
      <c r="C15" s="21" t="s">
        <v>24</v>
      </c>
      <c r="D15" s="19" t="s">
        <v>25</v>
      </c>
      <c r="E15" s="19" t="s">
        <v>31</v>
      </c>
      <c r="F15" s="19" t="s">
        <v>17</v>
      </c>
      <c r="G15" s="19" t="s">
        <v>74</v>
      </c>
      <c r="H15" s="19" t="s">
        <v>71</v>
      </c>
      <c r="I15" s="19" t="s">
        <v>75</v>
      </c>
      <c r="J15" s="19"/>
      <c r="K15" s="26">
        <v>46142</v>
      </c>
      <c r="L15" s="19" t="s">
        <v>22</v>
      </c>
      <c r="M15" s="9" t="s">
        <v>223</v>
      </c>
      <c r="N15" s="20" t="s">
        <v>76</v>
      </c>
      <c r="O15" s="27"/>
    </row>
    <row r="16" spans="1:15" ht="30" x14ac:dyDescent="0.25">
      <c r="A16" s="25">
        <v>15</v>
      </c>
      <c r="B16" s="21">
        <v>46052</v>
      </c>
      <c r="C16" s="21" t="s">
        <v>24</v>
      </c>
      <c r="D16" s="19" t="s">
        <v>25</v>
      </c>
      <c r="E16" s="19" t="s">
        <v>31</v>
      </c>
      <c r="F16" s="19" t="s">
        <v>17</v>
      </c>
      <c r="G16" s="19" t="s">
        <v>60</v>
      </c>
      <c r="H16" s="19" t="s">
        <v>77</v>
      </c>
      <c r="I16" s="6" t="s">
        <v>78</v>
      </c>
      <c r="J16" s="19" t="s">
        <v>79</v>
      </c>
      <c r="K16" s="26">
        <v>46142</v>
      </c>
      <c r="L16" s="19" t="s">
        <v>22</v>
      </c>
      <c r="M16" s="9" t="s">
        <v>219</v>
      </c>
      <c r="N16" s="20" t="s">
        <v>80</v>
      </c>
      <c r="O16" s="27"/>
    </row>
    <row r="17" spans="1:15" ht="60" x14ac:dyDescent="0.25">
      <c r="A17" s="25">
        <v>16</v>
      </c>
      <c r="B17" s="21">
        <v>46052</v>
      </c>
      <c r="C17" s="21" t="s">
        <v>24</v>
      </c>
      <c r="D17" s="19" t="s">
        <v>15</v>
      </c>
      <c r="E17" s="19" t="s">
        <v>16</v>
      </c>
      <c r="F17" s="19" t="s">
        <v>17</v>
      </c>
      <c r="G17" s="6" t="s">
        <v>60</v>
      </c>
      <c r="H17" s="19" t="s">
        <v>81</v>
      </c>
      <c r="I17" s="6" t="s">
        <v>82</v>
      </c>
      <c r="J17" s="6" t="s">
        <v>83</v>
      </c>
      <c r="K17" s="26">
        <v>46142</v>
      </c>
      <c r="L17" s="19" t="s">
        <v>22</v>
      </c>
      <c r="M17" s="9" t="s">
        <v>219</v>
      </c>
      <c r="N17" s="20" t="s">
        <v>84</v>
      </c>
      <c r="O17" s="27"/>
    </row>
    <row r="18" spans="1:15" ht="45" x14ac:dyDescent="0.25">
      <c r="A18" s="25">
        <v>17</v>
      </c>
      <c r="B18" s="21">
        <v>46052</v>
      </c>
      <c r="C18" s="21" t="s">
        <v>24</v>
      </c>
      <c r="D18" s="19" t="s">
        <v>15</v>
      </c>
      <c r="E18" s="19" t="s">
        <v>16</v>
      </c>
      <c r="F18" s="19" t="s">
        <v>17</v>
      </c>
      <c r="G18" s="6" t="s">
        <v>60</v>
      </c>
      <c r="H18" s="19" t="s">
        <v>85</v>
      </c>
      <c r="I18" s="6" t="s">
        <v>86</v>
      </c>
      <c r="J18" s="19" t="s">
        <v>87</v>
      </c>
      <c r="K18" s="26">
        <v>46142</v>
      </c>
      <c r="L18" s="19" t="s">
        <v>22</v>
      </c>
      <c r="M18" s="9" t="s">
        <v>219</v>
      </c>
      <c r="N18" s="20" t="s">
        <v>88</v>
      </c>
      <c r="O18" s="27"/>
    </row>
    <row r="19" spans="1:15" ht="135" x14ac:dyDescent="0.25">
      <c r="A19" s="25">
        <v>18</v>
      </c>
      <c r="B19" s="21">
        <v>46052</v>
      </c>
      <c r="C19" s="21" t="s">
        <v>24</v>
      </c>
      <c r="D19" s="19" t="s">
        <v>15</v>
      </c>
      <c r="E19" s="19" t="s">
        <v>31</v>
      </c>
      <c r="F19" s="19" t="s">
        <v>17</v>
      </c>
      <c r="G19" s="19" t="s">
        <v>18</v>
      </c>
      <c r="H19" s="19" t="s">
        <v>89</v>
      </c>
      <c r="I19" s="6" t="s">
        <v>90</v>
      </c>
      <c r="J19" s="19" t="s">
        <v>91</v>
      </c>
      <c r="K19" s="26">
        <v>46142</v>
      </c>
      <c r="L19" s="19" t="s">
        <v>22</v>
      </c>
      <c r="M19" s="9" t="s">
        <v>224</v>
      </c>
      <c r="N19" s="20" t="s">
        <v>92</v>
      </c>
      <c r="O19" s="27"/>
    </row>
    <row r="20" spans="1:15" ht="75" x14ac:dyDescent="0.25">
      <c r="A20" s="25">
        <v>19</v>
      </c>
      <c r="B20" s="21">
        <v>46052</v>
      </c>
      <c r="C20" s="21" t="s">
        <v>24</v>
      </c>
      <c r="D20" s="19" t="s">
        <v>15</v>
      </c>
      <c r="E20" s="19" t="s">
        <v>31</v>
      </c>
      <c r="F20" s="19" t="s">
        <v>17</v>
      </c>
      <c r="G20" s="19" t="s">
        <v>18</v>
      </c>
      <c r="H20" s="19" t="s">
        <v>93</v>
      </c>
      <c r="I20" s="6" t="s">
        <v>94</v>
      </c>
      <c r="J20" s="20" t="s">
        <v>95</v>
      </c>
      <c r="K20" s="26">
        <v>46142</v>
      </c>
      <c r="L20" s="19" t="s">
        <v>22</v>
      </c>
      <c r="M20" s="9" t="s">
        <v>226</v>
      </c>
      <c r="N20" s="20" t="s">
        <v>96</v>
      </c>
      <c r="O20" s="27"/>
    </row>
    <row r="21" spans="1:15" ht="90" x14ac:dyDescent="0.25">
      <c r="A21" s="25">
        <v>20</v>
      </c>
      <c r="B21" s="21">
        <v>46052</v>
      </c>
      <c r="C21" s="21" t="s">
        <v>24</v>
      </c>
      <c r="D21" s="19" t="s">
        <v>25</v>
      </c>
      <c r="E21" s="19" t="s">
        <v>31</v>
      </c>
      <c r="F21" s="19" t="s">
        <v>17</v>
      </c>
      <c r="G21" s="19" t="s">
        <v>18</v>
      </c>
      <c r="H21" s="32" t="s">
        <v>97</v>
      </c>
      <c r="I21" s="20" t="s">
        <v>98</v>
      </c>
      <c r="J21" s="6" t="s">
        <v>99</v>
      </c>
      <c r="K21" s="26">
        <v>46142</v>
      </c>
      <c r="L21" s="19" t="s">
        <v>22</v>
      </c>
      <c r="M21" s="9" t="s">
        <v>227</v>
      </c>
      <c r="N21" s="20" t="s">
        <v>100</v>
      </c>
      <c r="O21" s="27"/>
    </row>
    <row r="22" spans="1:15" ht="45" x14ac:dyDescent="0.25">
      <c r="A22" s="25">
        <v>21</v>
      </c>
      <c r="B22" s="21">
        <v>46052</v>
      </c>
      <c r="C22" s="21" t="s">
        <v>24</v>
      </c>
      <c r="D22" s="19" t="s">
        <v>25</v>
      </c>
      <c r="E22" s="19" t="s">
        <v>31</v>
      </c>
      <c r="F22" s="19" t="s">
        <v>17</v>
      </c>
      <c r="G22" s="19" t="s">
        <v>18</v>
      </c>
      <c r="H22" s="19" t="s">
        <v>101</v>
      </c>
      <c r="I22" s="6" t="s">
        <v>102</v>
      </c>
      <c r="J22" s="20" t="s">
        <v>103</v>
      </c>
      <c r="K22" s="26">
        <v>46142</v>
      </c>
      <c r="L22" s="19" t="s">
        <v>22</v>
      </c>
      <c r="M22" s="9" t="s">
        <v>228</v>
      </c>
      <c r="N22" s="20" t="s">
        <v>104</v>
      </c>
      <c r="O22" s="27"/>
    </row>
    <row r="23" spans="1:15" ht="60" x14ac:dyDescent="0.25">
      <c r="A23" s="25">
        <v>22</v>
      </c>
      <c r="B23" s="21">
        <v>46052</v>
      </c>
      <c r="C23" s="21" t="s">
        <v>24</v>
      </c>
      <c r="D23" s="19" t="s">
        <v>25</v>
      </c>
      <c r="E23" s="19" t="s">
        <v>31</v>
      </c>
      <c r="F23" s="19" t="s">
        <v>17</v>
      </c>
      <c r="G23" s="19" t="s">
        <v>70</v>
      </c>
      <c r="H23" s="20" t="s">
        <v>105</v>
      </c>
      <c r="I23" s="6" t="s">
        <v>106</v>
      </c>
      <c r="J23" s="22" t="s">
        <v>107</v>
      </c>
      <c r="K23" s="26">
        <v>46142</v>
      </c>
      <c r="L23" s="19" t="s">
        <v>22</v>
      </c>
      <c r="M23" s="9" t="s">
        <v>229</v>
      </c>
      <c r="N23" s="20" t="s">
        <v>108</v>
      </c>
      <c r="O23" s="27"/>
    </row>
    <row r="24" spans="1:15" ht="30" x14ac:dyDescent="0.25">
      <c r="A24" s="25">
        <v>23</v>
      </c>
      <c r="B24" s="21">
        <v>46052</v>
      </c>
      <c r="C24" s="21" t="s">
        <v>24</v>
      </c>
      <c r="D24" s="19" t="s">
        <v>25</v>
      </c>
      <c r="E24" s="19" t="s">
        <v>31</v>
      </c>
      <c r="F24" s="19" t="s">
        <v>17</v>
      </c>
      <c r="G24" s="22" t="s">
        <v>109</v>
      </c>
      <c r="H24" s="20" t="s">
        <v>110</v>
      </c>
      <c r="I24" s="20" t="s">
        <v>111</v>
      </c>
      <c r="J24" s="20" t="s">
        <v>112</v>
      </c>
      <c r="K24" s="26">
        <v>46142</v>
      </c>
      <c r="L24" s="19" t="s">
        <v>22</v>
      </c>
      <c r="M24" s="38" t="s">
        <v>219</v>
      </c>
      <c r="N24" s="33" t="s">
        <v>113</v>
      </c>
      <c r="O24" s="27"/>
    </row>
    <row r="25" spans="1:15" ht="45" x14ac:dyDescent="0.25">
      <c r="A25" s="25">
        <v>24</v>
      </c>
      <c r="B25" s="21">
        <v>46052</v>
      </c>
      <c r="C25" s="21" t="s">
        <v>24</v>
      </c>
      <c r="D25" s="19" t="s">
        <v>25</v>
      </c>
      <c r="E25" s="19" t="s">
        <v>31</v>
      </c>
      <c r="F25" s="19" t="s">
        <v>17</v>
      </c>
      <c r="G25" s="22" t="s">
        <v>56</v>
      </c>
      <c r="H25" s="20" t="s">
        <v>110</v>
      </c>
      <c r="I25" s="20" t="s">
        <v>114</v>
      </c>
      <c r="J25" s="20" t="s">
        <v>115</v>
      </c>
      <c r="K25" s="26">
        <v>46142</v>
      </c>
      <c r="L25" s="19" t="s">
        <v>22</v>
      </c>
      <c r="M25" s="38" t="s">
        <v>219</v>
      </c>
      <c r="N25" s="20" t="s">
        <v>116</v>
      </c>
      <c r="O25" s="27"/>
    </row>
    <row r="26" spans="1:15" ht="30" x14ac:dyDescent="0.25">
      <c r="A26" s="25">
        <v>25</v>
      </c>
      <c r="B26" s="21">
        <v>46052</v>
      </c>
      <c r="C26" s="21" t="s">
        <v>24</v>
      </c>
      <c r="D26" s="19" t="s">
        <v>25</v>
      </c>
      <c r="E26" s="19" t="s">
        <v>31</v>
      </c>
      <c r="F26" s="19" t="s">
        <v>17</v>
      </c>
      <c r="G26" s="22" t="s">
        <v>117</v>
      </c>
      <c r="H26" s="20" t="s">
        <v>118</v>
      </c>
      <c r="I26" s="20" t="s">
        <v>119</v>
      </c>
      <c r="J26" s="22" t="s">
        <v>120</v>
      </c>
      <c r="K26" s="26">
        <v>46142</v>
      </c>
      <c r="L26" s="19" t="s">
        <v>22</v>
      </c>
      <c r="M26" s="9" t="s">
        <v>232</v>
      </c>
      <c r="N26" s="20" t="s">
        <v>122</v>
      </c>
      <c r="O26" s="27"/>
    </row>
    <row r="27" spans="1:15" ht="30" x14ac:dyDescent="0.25">
      <c r="A27" s="25">
        <v>26</v>
      </c>
      <c r="B27" s="21">
        <v>46052</v>
      </c>
      <c r="C27" s="21" t="s">
        <v>123</v>
      </c>
      <c r="D27" s="19" t="s">
        <v>15</v>
      </c>
      <c r="E27" s="19" t="s">
        <v>31</v>
      </c>
      <c r="F27" s="19" t="s">
        <v>17</v>
      </c>
      <c r="G27" s="22" t="s">
        <v>124</v>
      </c>
      <c r="H27" s="20" t="s">
        <v>125</v>
      </c>
      <c r="I27" s="20" t="s">
        <v>126</v>
      </c>
      <c r="J27" s="22"/>
      <c r="K27" s="26">
        <v>46142</v>
      </c>
      <c r="L27" s="19" t="s">
        <v>22</v>
      </c>
      <c r="M27" s="38" t="s">
        <v>219</v>
      </c>
      <c r="N27" s="20" t="s">
        <v>127</v>
      </c>
      <c r="O27" s="27"/>
    </row>
    <row r="28" spans="1:15" ht="45" x14ac:dyDescent="0.25">
      <c r="A28" s="25">
        <v>27</v>
      </c>
      <c r="B28" s="21">
        <v>46052</v>
      </c>
      <c r="C28" s="21" t="s">
        <v>123</v>
      </c>
      <c r="D28" s="19" t="s">
        <v>15</v>
      </c>
      <c r="E28" s="19" t="s">
        <v>31</v>
      </c>
      <c r="F28" s="19" t="s">
        <v>17</v>
      </c>
      <c r="G28" s="22" t="s">
        <v>18</v>
      </c>
      <c r="H28" s="20" t="s">
        <v>128</v>
      </c>
      <c r="I28" s="20" t="s">
        <v>129</v>
      </c>
      <c r="J28" s="22"/>
      <c r="K28" s="26">
        <v>46142</v>
      </c>
      <c r="L28" s="19" t="s">
        <v>22</v>
      </c>
      <c r="M28" s="38" t="s">
        <v>219</v>
      </c>
      <c r="N28" s="20" t="s">
        <v>130</v>
      </c>
      <c r="O28" s="27"/>
    </row>
    <row r="29" spans="1:15" ht="60" x14ac:dyDescent="0.25">
      <c r="A29" s="25">
        <v>28</v>
      </c>
      <c r="B29" s="21">
        <v>46052</v>
      </c>
      <c r="C29" s="21" t="s">
        <v>24</v>
      </c>
      <c r="D29" s="19" t="s">
        <v>25</v>
      </c>
      <c r="E29" s="19" t="s">
        <v>31</v>
      </c>
      <c r="F29" s="19" t="s">
        <v>17</v>
      </c>
      <c r="G29" s="22" t="s">
        <v>18</v>
      </c>
      <c r="H29" s="20" t="s">
        <v>131</v>
      </c>
      <c r="I29" s="20" t="s">
        <v>132</v>
      </c>
      <c r="J29" s="20" t="s">
        <v>133</v>
      </c>
      <c r="K29" s="26">
        <v>46142</v>
      </c>
      <c r="L29" s="19" t="s">
        <v>22</v>
      </c>
      <c r="M29" s="38" t="s">
        <v>207</v>
      </c>
      <c r="N29" s="20" t="s">
        <v>134</v>
      </c>
      <c r="O29" s="27"/>
    </row>
    <row r="30" spans="1:15" ht="60" x14ac:dyDescent="0.25">
      <c r="A30" s="25">
        <v>29</v>
      </c>
      <c r="B30" s="21">
        <v>46099</v>
      </c>
      <c r="C30" s="21" t="s">
        <v>24</v>
      </c>
      <c r="D30" s="19" t="s">
        <v>15</v>
      </c>
      <c r="E30" s="19" t="s">
        <v>16</v>
      </c>
      <c r="F30" s="19" t="s">
        <v>17</v>
      </c>
      <c r="G30" s="22" t="s">
        <v>18</v>
      </c>
      <c r="H30" s="15" t="s">
        <v>19</v>
      </c>
      <c r="I30" s="20" t="s">
        <v>135</v>
      </c>
      <c r="J30" s="20" t="s">
        <v>136</v>
      </c>
      <c r="K30" s="26">
        <v>46142</v>
      </c>
      <c r="L30" s="19" t="s">
        <v>22</v>
      </c>
      <c r="M30" s="9" t="s">
        <v>206</v>
      </c>
      <c r="N30" s="20" t="s">
        <v>137</v>
      </c>
      <c r="O30" s="27"/>
    </row>
    <row r="31" spans="1:15" ht="30" x14ac:dyDescent="0.25">
      <c r="A31" s="25">
        <v>30</v>
      </c>
      <c r="B31" s="21">
        <v>46099</v>
      </c>
      <c r="C31" s="21" t="s">
        <v>24</v>
      </c>
      <c r="D31" s="19" t="s">
        <v>25</v>
      </c>
      <c r="E31" s="19" t="s">
        <v>31</v>
      </c>
      <c r="F31" s="19" t="s">
        <v>17</v>
      </c>
      <c r="G31" s="22" t="s">
        <v>138</v>
      </c>
      <c r="H31" s="20" t="s">
        <v>139</v>
      </c>
      <c r="I31" s="19" t="s">
        <v>140</v>
      </c>
      <c r="J31" s="20"/>
      <c r="K31" s="26">
        <v>46142</v>
      </c>
      <c r="L31" s="19" t="s">
        <v>22</v>
      </c>
      <c r="M31" s="9" t="s">
        <v>206</v>
      </c>
      <c r="N31" s="20" t="s">
        <v>141</v>
      </c>
      <c r="O31" s="27"/>
    </row>
    <row r="32" spans="1:15" ht="60" x14ac:dyDescent="0.25">
      <c r="A32" s="25">
        <v>31</v>
      </c>
      <c r="B32" s="21">
        <v>46099</v>
      </c>
      <c r="C32" s="21" t="s">
        <v>24</v>
      </c>
      <c r="D32" s="19" t="s">
        <v>25</v>
      </c>
      <c r="E32" s="19" t="s">
        <v>31</v>
      </c>
      <c r="F32" s="19" t="s">
        <v>17</v>
      </c>
      <c r="G32" s="19" t="s">
        <v>142</v>
      </c>
      <c r="H32" s="6" t="s">
        <v>143</v>
      </c>
      <c r="I32" s="6" t="s">
        <v>144</v>
      </c>
      <c r="J32" s="6" t="s">
        <v>145</v>
      </c>
      <c r="K32" s="26">
        <v>46142</v>
      </c>
      <c r="L32" s="19" t="s">
        <v>22</v>
      </c>
      <c r="M32" s="10" t="s">
        <v>208</v>
      </c>
      <c r="N32" s="19" t="s">
        <v>146</v>
      </c>
      <c r="O32" s="27"/>
    </row>
    <row r="33" spans="1:15" ht="60" x14ac:dyDescent="0.25">
      <c r="A33" s="25">
        <v>32</v>
      </c>
      <c r="B33" s="21">
        <v>46099</v>
      </c>
      <c r="C33" s="21" t="s">
        <v>24</v>
      </c>
      <c r="D33" s="19" t="s">
        <v>15</v>
      </c>
      <c r="E33" s="19" t="s">
        <v>31</v>
      </c>
      <c r="F33" s="19" t="s">
        <v>17</v>
      </c>
      <c r="G33" s="22" t="s">
        <v>18</v>
      </c>
      <c r="H33" s="20" t="s">
        <v>147</v>
      </c>
      <c r="I33" s="20" t="s">
        <v>148</v>
      </c>
      <c r="J33" s="22"/>
      <c r="K33" s="26">
        <v>46142</v>
      </c>
      <c r="L33" s="19" t="s">
        <v>22</v>
      </c>
      <c r="M33" s="9" t="s">
        <v>206</v>
      </c>
      <c r="N33" s="20" t="s">
        <v>149</v>
      </c>
      <c r="O33" s="27"/>
    </row>
    <row r="34" spans="1:15" ht="45" x14ac:dyDescent="0.25">
      <c r="A34" s="25">
        <v>33</v>
      </c>
      <c r="B34" s="21">
        <v>46099</v>
      </c>
      <c r="C34" s="21" t="s">
        <v>24</v>
      </c>
      <c r="D34" s="19" t="s">
        <v>25</v>
      </c>
      <c r="E34" s="19" t="s">
        <v>31</v>
      </c>
      <c r="F34" s="19" t="s">
        <v>17</v>
      </c>
      <c r="G34" s="22" t="s">
        <v>70</v>
      </c>
      <c r="H34" s="20" t="s">
        <v>150</v>
      </c>
      <c r="I34" s="20" t="s">
        <v>151</v>
      </c>
      <c r="J34" s="22" t="s">
        <v>152</v>
      </c>
      <c r="K34" s="26">
        <v>46142</v>
      </c>
      <c r="L34" s="19" t="s">
        <v>22</v>
      </c>
      <c r="M34" s="9" t="s">
        <v>206</v>
      </c>
      <c r="N34" s="20" t="s">
        <v>153</v>
      </c>
      <c r="O34" s="27"/>
    </row>
    <row r="35" spans="1:15" ht="105" x14ac:dyDescent="0.25">
      <c r="A35" s="25">
        <v>34</v>
      </c>
      <c r="B35" s="21">
        <v>46099</v>
      </c>
      <c r="C35" s="21" t="s">
        <v>24</v>
      </c>
      <c r="D35" s="19" t="s">
        <v>15</v>
      </c>
      <c r="E35" s="19" t="s">
        <v>16</v>
      </c>
      <c r="F35" s="19" t="s">
        <v>154</v>
      </c>
      <c r="G35" s="20" t="s">
        <v>155</v>
      </c>
      <c r="H35" s="15" t="s">
        <v>156</v>
      </c>
      <c r="I35" s="20" t="s">
        <v>157</v>
      </c>
      <c r="J35" s="20" t="s">
        <v>158</v>
      </c>
      <c r="K35" s="21" t="s">
        <v>159</v>
      </c>
      <c r="L35" s="19" t="s">
        <v>121</v>
      </c>
      <c r="M35" s="20"/>
      <c r="N35" s="20" t="s">
        <v>160</v>
      </c>
      <c r="O35" s="27"/>
    </row>
    <row r="36" spans="1:15" ht="30" x14ac:dyDescent="0.25">
      <c r="A36" s="25">
        <v>35</v>
      </c>
      <c r="B36" s="21">
        <v>46134</v>
      </c>
      <c r="C36" s="21" t="s">
        <v>24</v>
      </c>
      <c r="D36" s="19" t="s">
        <v>25</v>
      </c>
      <c r="E36" s="19" t="s">
        <v>31</v>
      </c>
      <c r="F36" s="19" t="s">
        <v>17</v>
      </c>
      <c r="G36" s="19" t="s">
        <v>162</v>
      </c>
      <c r="H36" s="6" t="s">
        <v>47</v>
      </c>
      <c r="I36" s="20" t="s">
        <v>163</v>
      </c>
      <c r="J36" s="20" t="s">
        <v>164</v>
      </c>
      <c r="K36" s="26">
        <v>46142</v>
      </c>
      <c r="L36" s="19" t="s">
        <v>22</v>
      </c>
      <c r="M36" s="9" t="s">
        <v>196</v>
      </c>
      <c r="N36" s="20" t="s">
        <v>165</v>
      </c>
      <c r="O36" s="27"/>
    </row>
    <row r="37" spans="1:15" ht="45" x14ac:dyDescent="0.25">
      <c r="A37" s="25">
        <v>36</v>
      </c>
      <c r="B37" s="21">
        <v>46134</v>
      </c>
      <c r="C37" s="21" t="s">
        <v>24</v>
      </c>
      <c r="D37" s="19" t="s">
        <v>15</v>
      </c>
      <c r="E37" s="19" t="s">
        <v>16</v>
      </c>
      <c r="F37" s="19" t="s">
        <v>17</v>
      </c>
      <c r="G37" s="20" t="s">
        <v>166</v>
      </c>
      <c r="H37" s="6" t="s">
        <v>167</v>
      </c>
      <c r="I37" s="20" t="s">
        <v>168</v>
      </c>
      <c r="J37" s="20" t="s">
        <v>169</v>
      </c>
      <c r="K37" s="26">
        <v>46142</v>
      </c>
      <c r="L37" s="19" t="s">
        <v>22</v>
      </c>
      <c r="M37" s="9" t="s">
        <v>233</v>
      </c>
      <c r="N37" s="20" t="s">
        <v>170</v>
      </c>
      <c r="O37" s="27"/>
    </row>
    <row r="38" spans="1:15" ht="75" x14ac:dyDescent="0.25">
      <c r="A38" s="25">
        <v>37</v>
      </c>
      <c r="B38" s="21">
        <v>46134</v>
      </c>
      <c r="C38" s="21" t="s">
        <v>24</v>
      </c>
      <c r="D38" s="19" t="s">
        <v>25</v>
      </c>
      <c r="E38" s="19" t="s">
        <v>171</v>
      </c>
      <c r="F38" s="19" t="s">
        <v>17</v>
      </c>
      <c r="G38" s="19" t="s">
        <v>56</v>
      </c>
      <c r="H38" s="6" t="s">
        <v>47</v>
      </c>
      <c r="I38" s="6" t="s">
        <v>57</v>
      </c>
      <c r="J38" s="6" t="s">
        <v>172</v>
      </c>
      <c r="K38" s="26">
        <v>46142</v>
      </c>
      <c r="L38" s="19" t="s">
        <v>22</v>
      </c>
      <c r="M38" s="9" t="s">
        <v>209</v>
      </c>
      <c r="N38" s="19" t="s">
        <v>59</v>
      </c>
      <c r="O38" s="27"/>
    </row>
    <row r="39" spans="1:15" ht="45" x14ac:dyDescent="0.25">
      <c r="A39" s="25">
        <v>38</v>
      </c>
      <c r="B39" s="21">
        <v>46134</v>
      </c>
      <c r="C39" s="21" t="s">
        <v>24</v>
      </c>
      <c r="D39" s="19" t="s">
        <v>25</v>
      </c>
      <c r="E39" s="19" t="s">
        <v>16</v>
      </c>
      <c r="F39" s="19" t="s">
        <v>17</v>
      </c>
      <c r="G39" s="19" t="s">
        <v>173</v>
      </c>
      <c r="H39" s="6" t="s">
        <v>174</v>
      </c>
      <c r="I39" s="6" t="s">
        <v>175</v>
      </c>
      <c r="J39" s="6" t="s">
        <v>176</v>
      </c>
      <c r="K39" s="26">
        <v>46142</v>
      </c>
      <c r="L39" s="19" t="s">
        <v>22</v>
      </c>
      <c r="M39" s="9" t="s">
        <v>234</v>
      </c>
      <c r="N39" s="20" t="s">
        <v>177</v>
      </c>
      <c r="O39" s="27"/>
    </row>
    <row r="40" spans="1:15" ht="30" x14ac:dyDescent="0.25">
      <c r="A40" s="25">
        <v>39</v>
      </c>
      <c r="B40" s="21">
        <v>46134</v>
      </c>
      <c r="C40" s="21" t="s">
        <v>24</v>
      </c>
      <c r="D40" s="19" t="s">
        <v>25</v>
      </c>
      <c r="E40" s="19" t="s">
        <v>31</v>
      </c>
      <c r="F40" s="19" t="s">
        <v>17</v>
      </c>
      <c r="G40" s="22" t="s">
        <v>178</v>
      </c>
      <c r="H40" s="20" t="s">
        <v>179</v>
      </c>
      <c r="I40" s="20" t="s">
        <v>180</v>
      </c>
      <c r="J40" s="22" t="s">
        <v>120</v>
      </c>
      <c r="K40" s="26">
        <v>46142</v>
      </c>
      <c r="L40" s="19" t="s">
        <v>22</v>
      </c>
      <c r="M40" s="20"/>
      <c r="N40" s="20" t="s">
        <v>181</v>
      </c>
      <c r="O40" s="27"/>
    </row>
    <row r="41" spans="1:15" ht="105" x14ac:dyDescent="0.25">
      <c r="A41" s="25">
        <v>40</v>
      </c>
      <c r="B41" s="21">
        <v>46140</v>
      </c>
      <c r="C41" s="21" t="s">
        <v>24</v>
      </c>
      <c r="D41" s="19" t="s">
        <v>25</v>
      </c>
      <c r="E41" s="19" t="s">
        <v>171</v>
      </c>
      <c r="F41" s="19" t="s">
        <v>17</v>
      </c>
      <c r="G41" s="35" t="s">
        <v>189</v>
      </c>
      <c r="H41" s="6" t="s">
        <v>190</v>
      </c>
      <c r="I41" s="35" t="s">
        <v>192</v>
      </c>
      <c r="J41" s="36" t="s">
        <v>193</v>
      </c>
      <c r="K41" s="26">
        <v>46142</v>
      </c>
      <c r="L41" s="19" t="s">
        <v>22</v>
      </c>
      <c r="M41" s="9" t="s">
        <v>235</v>
      </c>
      <c r="N41" s="20" t="s">
        <v>211</v>
      </c>
      <c r="O41" s="27"/>
    </row>
    <row r="42" spans="1:15" ht="75" x14ac:dyDescent="0.25">
      <c r="A42" s="25">
        <v>41</v>
      </c>
      <c r="B42" s="21">
        <v>46140</v>
      </c>
      <c r="C42" s="21" t="s">
        <v>24</v>
      </c>
      <c r="D42" s="19" t="s">
        <v>25</v>
      </c>
      <c r="E42" s="19" t="s">
        <v>171</v>
      </c>
      <c r="F42" s="19" t="s">
        <v>17</v>
      </c>
      <c r="G42" s="35" t="s">
        <v>52</v>
      </c>
      <c r="H42" s="6" t="s">
        <v>191</v>
      </c>
      <c r="I42" s="35" t="s">
        <v>195</v>
      </c>
      <c r="J42" s="36" t="s">
        <v>194</v>
      </c>
      <c r="K42" s="26">
        <v>46142</v>
      </c>
      <c r="L42" s="19" t="s">
        <v>22</v>
      </c>
      <c r="M42" s="20"/>
      <c r="N42" s="20" t="s">
        <v>211</v>
      </c>
      <c r="O42" s="27"/>
    </row>
    <row r="43" spans="1:15" ht="90" x14ac:dyDescent="0.25">
      <c r="A43" s="25">
        <v>42</v>
      </c>
      <c r="B43" s="21">
        <v>46140</v>
      </c>
      <c r="C43" s="21" t="s">
        <v>24</v>
      </c>
      <c r="D43" s="19" t="s">
        <v>25</v>
      </c>
      <c r="E43" s="19" t="s">
        <v>171</v>
      </c>
      <c r="F43" s="19" t="s">
        <v>17</v>
      </c>
      <c r="G43" s="35" t="s">
        <v>56</v>
      </c>
      <c r="H43" s="6" t="s">
        <v>191</v>
      </c>
      <c r="I43" s="35" t="s">
        <v>210</v>
      </c>
      <c r="J43" s="36" t="s">
        <v>205</v>
      </c>
      <c r="K43" s="26">
        <v>46142</v>
      </c>
      <c r="L43" s="19" t="s">
        <v>22</v>
      </c>
      <c r="M43" s="20"/>
      <c r="N43" s="20" t="s">
        <v>212</v>
      </c>
      <c r="O43" s="27"/>
    </row>
    <row r="44" spans="1:15" ht="45" x14ac:dyDescent="0.25">
      <c r="A44" s="25">
        <v>43</v>
      </c>
      <c r="B44" s="21">
        <v>46140</v>
      </c>
      <c r="C44" s="21" t="s">
        <v>24</v>
      </c>
      <c r="D44" s="19" t="s">
        <v>25</v>
      </c>
      <c r="E44" s="19" t="s">
        <v>171</v>
      </c>
      <c r="F44" s="19" t="s">
        <v>17</v>
      </c>
      <c r="G44" s="35" t="s">
        <v>197</v>
      </c>
      <c r="H44" s="36" t="s">
        <v>198</v>
      </c>
      <c r="I44" s="36" t="s">
        <v>199</v>
      </c>
      <c r="J44" s="36" t="s">
        <v>200</v>
      </c>
      <c r="K44" s="26">
        <v>46142</v>
      </c>
      <c r="L44" s="19" t="s">
        <v>22</v>
      </c>
      <c r="M44" s="20"/>
      <c r="N44" s="20" t="s">
        <v>213</v>
      </c>
      <c r="O44" s="27"/>
    </row>
    <row r="45" spans="1:15" ht="30" x14ac:dyDescent="0.25">
      <c r="A45" s="25">
        <v>44</v>
      </c>
      <c r="B45" s="21">
        <v>46140</v>
      </c>
      <c r="C45" s="21" t="s">
        <v>24</v>
      </c>
      <c r="D45" s="19" t="s">
        <v>25</v>
      </c>
      <c r="E45" s="19" t="s">
        <v>171</v>
      </c>
      <c r="F45" s="19" t="s">
        <v>17</v>
      </c>
      <c r="G45" s="37" t="s">
        <v>201</v>
      </c>
      <c r="H45" s="36" t="s">
        <v>202</v>
      </c>
      <c r="I45" s="36" t="s">
        <v>203</v>
      </c>
      <c r="J45" s="37" t="s">
        <v>204</v>
      </c>
      <c r="K45" s="26">
        <v>46142</v>
      </c>
      <c r="L45" s="19" t="s">
        <v>22</v>
      </c>
      <c r="M45" s="20"/>
      <c r="N45" s="20" t="s">
        <v>211</v>
      </c>
      <c r="O45" s="27"/>
    </row>
    <row r="46" spans="1:15" ht="60" x14ac:dyDescent="0.25">
      <c r="A46" s="25">
        <v>45</v>
      </c>
      <c r="B46" s="21">
        <v>46142</v>
      </c>
      <c r="C46" s="21" t="s">
        <v>24</v>
      </c>
      <c r="D46" s="19" t="s">
        <v>25</v>
      </c>
      <c r="E46" s="19" t="s">
        <v>31</v>
      </c>
      <c r="F46" s="19" t="s">
        <v>17</v>
      </c>
      <c r="G46" s="39" t="s">
        <v>70</v>
      </c>
      <c r="H46" s="40" t="s">
        <v>236</v>
      </c>
      <c r="I46" s="40" t="s">
        <v>221</v>
      </c>
      <c r="J46" s="40" t="s">
        <v>222</v>
      </c>
      <c r="K46" s="26">
        <v>46142</v>
      </c>
      <c r="L46" s="19" t="s">
        <v>22</v>
      </c>
      <c r="M46" s="38" t="s">
        <v>237</v>
      </c>
      <c r="N46" s="20"/>
      <c r="O46" s="27"/>
    </row>
    <row r="47" spans="1:15" ht="30" x14ac:dyDescent="0.25">
      <c r="A47" s="25">
        <v>46</v>
      </c>
      <c r="B47" s="21">
        <v>46142</v>
      </c>
      <c r="C47" s="21" t="s">
        <v>24</v>
      </c>
      <c r="D47" s="19" t="s">
        <v>25</v>
      </c>
      <c r="E47" s="19" t="s">
        <v>31</v>
      </c>
      <c r="F47" s="19" t="s">
        <v>17</v>
      </c>
      <c r="G47" s="39" t="s">
        <v>109</v>
      </c>
      <c r="H47" s="40" t="s">
        <v>230</v>
      </c>
      <c r="I47" s="40" t="s">
        <v>231</v>
      </c>
      <c r="J47" s="39" t="s">
        <v>225</v>
      </c>
      <c r="K47" s="26">
        <v>46142</v>
      </c>
      <c r="L47" s="19" t="s">
        <v>22</v>
      </c>
      <c r="M47" s="38" t="s">
        <v>237</v>
      </c>
      <c r="N47" s="20"/>
      <c r="O47" s="27"/>
    </row>
    <row r="48" spans="1:15" x14ac:dyDescent="0.25">
      <c r="A48" s="25">
        <v>47</v>
      </c>
      <c r="B48" s="21"/>
      <c r="C48" s="21"/>
      <c r="D48" s="19"/>
      <c r="E48" s="19"/>
      <c r="F48" s="19"/>
      <c r="G48" s="39"/>
      <c r="H48" s="40"/>
      <c r="I48" s="40"/>
      <c r="J48" s="22"/>
      <c r="K48" s="21"/>
      <c r="L48" s="19"/>
      <c r="M48" s="20"/>
      <c r="N48" s="20"/>
      <c r="O48" s="27"/>
    </row>
    <row r="49" spans="1:15" x14ac:dyDescent="0.25">
      <c r="A49" s="25">
        <v>48</v>
      </c>
      <c r="B49" s="22"/>
      <c r="C49" s="21"/>
      <c r="D49" s="19"/>
      <c r="E49" s="19"/>
      <c r="F49" s="19"/>
      <c r="G49" s="22"/>
      <c r="H49" s="20"/>
      <c r="I49" s="22"/>
      <c r="J49" s="22"/>
      <c r="K49" s="21"/>
      <c r="L49" s="19"/>
      <c r="M49" s="20"/>
      <c r="N49" s="20"/>
      <c r="O49" s="27"/>
    </row>
    <row r="50" spans="1:15" x14ac:dyDescent="0.25">
      <c r="A50" s="25">
        <v>49</v>
      </c>
      <c r="B50" s="22"/>
      <c r="C50" s="21"/>
      <c r="D50" s="19"/>
      <c r="E50" s="19"/>
      <c r="F50" s="19"/>
      <c r="G50" s="22"/>
      <c r="H50" s="20"/>
      <c r="I50" s="22"/>
      <c r="J50" s="22"/>
      <c r="K50" s="21"/>
      <c r="L50" s="19"/>
      <c r="M50" s="20"/>
      <c r="N50" s="20"/>
      <c r="O50" s="27"/>
    </row>
    <row r="51" spans="1:15" x14ac:dyDescent="0.25">
      <c r="A51" s="25">
        <v>50</v>
      </c>
      <c r="B51" s="22"/>
      <c r="C51" s="21"/>
      <c r="D51" s="19"/>
      <c r="E51" s="19"/>
      <c r="F51" s="19"/>
      <c r="G51" s="22"/>
      <c r="H51" s="20"/>
      <c r="I51" s="22"/>
      <c r="J51" s="22"/>
      <c r="K51" s="21"/>
      <c r="L51" s="19"/>
      <c r="M51" s="20"/>
      <c r="N51" s="20"/>
      <c r="O51" s="27"/>
    </row>
    <row r="52" spans="1:15" x14ac:dyDescent="0.25">
      <c r="A52" s="25">
        <v>51</v>
      </c>
      <c r="B52" s="22"/>
      <c r="C52" s="21"/>
      <c r="D52" s="19"/>
      <c r="E52" s="19"/>
      <c r="F52" s="19"/>
      <c r="G52" s="22"/>
      <c r="H52" s="20"/>
      <c r="I52" s="22"/>
      <c r="J52" s="22"/>
      <c r="K52" s="21"/>
      <c r="L52" s="19"/>
      <c r="M52" s="20"/>
      <c r="N52" s="20"/>
      <c r="O52" s="27"/>
    </row>
    <row r="53" spans="1:15" x14ac:dyDescent="0.25">
      <c r="A53" s="25">
        <v>52</v>
      </c>
      <c r="B53" s="22"/>
      <c r="C53" s="21"/>
      <c r="D53" s="19"/>
      <c r="E53" s="19"/>
      <c r="F53" s="19"/>
      <c r="G53" s="22"/>
      <c r="H53" s="20"/>
      <c r="I53" s="22"/>
      <c r="J53" s="22"/>
      <c r="K53" s="21"/>
      <c r="L53" s="19"/>
      <c r="M53" s="20"/>
      <c r="N53" s="20"/>
      <c r="O53" s="27"/>
    </row>
    <row r="54" spans="1:15" x14ac:dyDescent="0.25">
      <c r="A54" s="25">
        <v>53</v>
      </c>
      <c r="B54" s="22"/>
      <c r="C54" s="21"/>
      <c r="D54" s="19"/>
      <c r="E54" s="19"/>
      <c r="F54" s="19"/>
      <c r="G54" s="22"/>
      <c r="H54" s="20"/>
      <c r="I54" s="22"/>
      <c r="J54" s="22"/>
      <c r="K54" s="21"/>
      <c r="L54" s="19"/>
      <c r="M54" s="20"/>
      <c r="N54" s="20"/>
      <c r="O54" s="27"/>
    </row>
    <row r="55" spans="1:15" x14ac:dyDescent="0.25">
      <c r="A55" s="25">
        <v>54</v>
      </c>
      <c r="B55" s="22"/>
      <c r="C55" s="21"/>
      <c r="D55" s="19"/>
      <c r="E55" s="19"/>
      <c r="F55" s="19"/>
      <c r="G55" s="22"/>
      <c r="H55" s="20"/>
      <c r="I55" s="22"/>
      <c r="J55" s="22"/>
      <c r="K55" s="21"/>
      <c r="L55" s="19"/>
      <c r="M55" s="20"/>
      <c r="N55" s="20"/>
      <c r="O55" s="27"/>
    </row>
    <row r="56" spans="1:15" x14ac:dyDescent="0.25">
      <c r="A56" s="27"/>
      <c r="B56" s="27"/>
      <c r="C56" s="27"/>
      <c r="D56" s="27"/>
      <c r="E56" s="27"/>
      <c r="F56" s="27"/>
      <c r="G56" s="27"/>
      <c r="H56" s="32"/>
      <c r="I56" s="27"/>
      <c r="J56" s="27"/>
      <c r="K56" s="34"/>
      <c r="L56" s="27"/>
      <c r="M56" s="32"/>
      <c r="N56" s="32"/>
      <c r="O56" s="27"/>
    </row>
  </sheetData>
  <autoFilter ref="A1:N55" xr:uid="{AC2894D6-04F1-40B9-AE17-FEC113C806B4}"/>
  <conditionalFormatting sqref="F1:F1048576">
    <cfRule type="containsText" dxfId="159" priority="4" operator="containsText" text="Resolved">
      <formula>NOT(ISERROR(SEARCH("Resolved",F1)))</formula>
    </cfRule>
  </conditionalFormatting>
  <conditionalFormatting sqref="F2:F1048576">
    <cfRule type="containsText" dxfId="158" priority="1" operator="containsText" text="No Action">
      <formula>NOT(ISERROR(SEARCH("No Action",F2)))</formula>
    </cfRule>
    <cfRule type="containsText" dxfId="157" priority="2" operator="containsText" text="New">
      <formula>NOT(ISERROR(SEARCH("New",F2)))</formula>
    </cfRule>
    <cfRule type="containsText" dxfId="156" priority="3" operator="containsText" text="Retest In Progress">
      <formula>NOT(ISERROR(SEARCH("Retest In Progress",F2)))</formula>
    </cfRule>
    <cfRule type="containsText" dxfId="155" priority="5" operator="containsText" text="Return to Dev">
      <formula>NOT(ISERROR(SEARCH("Return to Dev",F2)))</formula>
    </cfRule>
  </conditionalFormatting>
  <conditionalFormatting sqref="L2:L1048576">
    <cfRule type="containsText" dxfId="154" priority="25" operator="containsText" text="Pass with Comments">
      <formula>NOT(ISERROR(SEARCH("Pass with Comments",L2)))</formula>
    </cfRule>
    <cfRule type="containsText" dxfId="153" priority="26" operator="containsText" text="Fail">
      <formula>NOT(ISERROR(SEARCH("Fail",L2)))</formula>
    </cfRule>
    <cfRule type="containsText" dxfId="152" priority="27" operator="containsText" text="Pass">
      <formula>NOT(ISERROR(SEARCH("Pass",L2)))</formula>
    </cfRule>
  </conditionalFormatting>
  <dataValidations count="1">
    <dataValidation type="list" allowBlank="1" showInputMessage="1" showErrorMessage="1" sqref="C2:C55" xr:uid="{A0E44C65-F303-4B81-90E6-640E3027D3BB}">
      <formula1>"Both,Web Only,PB Only"</formula1>
    </dataValidation>
  </dataValidations>
  <hyperlinks>
    <hyperlink ref="H35" location="'36'!A1" display="Cells missing highlight if Nbr or Amount are entered without data" xr:uid="{315D66ED-52E9-4C22-9405-1489EE87B0C9}"/>
    <hyperlink ref="H30" location="'31'!A1" display="Window Load" xr:uid="{D6ADBB63-2450-4630-B9D1-1DD253EE8611}"/>
  </hyperlink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E7C9154B-8A5C-4F27-AF31-58E8AF26A163}">
          <x14:formula1>
            <xm:f>Sheet2!$F$1:$F$3</xm:f>
          </x14:formula1>
          <xm:sqref>E4:E7 E11:E31 E33:E1048576</xm:sqref>
        </x14:dataValidation>
        <x14:dataValidation type="list" allowBlank="1" showInputMessage="1" showErrorMessage="1" xr:uid="{3906557F-AEE2-41CE-81DC-5F122F965822}">
          <x14:formula1>
            <xm:f>Sheet2!$H$1:$H$2</xm:f>
          </x14:formula1>
          <xm:sqref>D4:D7 D11:D31 D49:D55</xm:sqref>
        </x14:dataValidation>
        <x14:dataValidation type="list" allowBlank="1" showInputMessage="1" showErrorMessage="1" xr:uid="{13D3BE25-BF98-4733-B1E7-AA4DB88ADC41}">
          <x14:formula1>
            <xm:f>Sheet2!$C$2:$C$6</xm:f>
          </x14:formula1>
          <xm:sqref>F2:F1048576</xm:sqref>
        </x14:dataValidation>
        <x14:dataValidation type="list" allowBlank="1" showInputMessage="1" showErrorMessage="1" xr:uid="{A20A9F25-0DE4-45B6-B5B3-B6F8EA25DBA6}">
          <x14:formula1>
            <xm:f>Sheet2!$A$1:$A$3</xm:f>
          </x14:formula1>
          <xm:sqref>L2:L55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1EDD0-779B-43B0-AF35-F10D9A1D3E5F}">
  <dimension ref="A1:Q34"/>
  <sheetViews>
    <sheetView topLeftCell="A2" workbookViewId="0">
      <selection activeCell="D29" sqref="D29"/>
    </sheetView>
  </sheetViews>
  <sheetFormatPr defaultRowHeight="15.75" x14ac:dyDescent="0.25"/>
  <cols>
    <col min="1" max="2" width="9.140625" style="13"/>
    <col min="3" max="3" width="24.140625" style="13" bestFit="1" customWidth="1"/>
    <col min="4" max="4" width="17.42578125" style="13" bestFit="1" customWidth="1"/>
    <col min="5" max="5" width="10.85546875" style="13" bestFit="1" customWidth="1"/>
    <col min="6" max="8" width="12.5703125" style="13" bestFit="1" customWidth="1"/>
    <col min="9" max="9" width="11.28515625" style="13" bestFit="1" customWidth="1"/>
    <col min="10" max="10" width="18.140625" style="13" bestFit="1" customWidth="1"/>
    <col min="11" max="11" width="16.28515625" style="13" bestFit="1" customWidth="1"/>
    <col min="12" max="12" width="13.42578125" style="13" bestFit="1" customWidth="1"/>
    <col min="13" max="13" width="17.5703125" style="13" bestFit="1" customWidth="1"/>
    <col min="14" max="14" width="9.140625" style="13"/>
    <col min="15" max="15" width="13.42578125" style="13" bestFit="1" customWidth="1"/>
    <col min="16" max="16" width="15.140625" style="13" bestFit="1" customWidth="1"/>
    <col min="17" max="16384" width="9.140625" style="13"/>
  </cols>
  <sheetData>
    <row r="1" spans="1:17" hidden="1" x14ac:dyDescent="0.25">
      <c r="C1" s="41" t="s">
        <v>182</v>
      </c>
      <c r="D1" s="41" t="s">
        <v>183</v>
      </c>
      <c r="G1"/>
      <c r="H1"/>
      <c r="I1"/>
      <c r="J1"/>
      <c r="K1"/>
      <c r="L1"/>
    </row>
    <row r="2" spans="1:17" x14ac:dyDescent="0.25">
      <c r="C2" s="41" t="s">
        <v>184</v>
      </c>
      <c r="D2" s="44" t="s">
        <v>17</v>
      </c>
      <c r="E2" s="44" t="s">
        <v>154</v>
      </c>
      <c r="F2" s="44" t="s">
        <v>185</v>
      </c>
      <c r="G2"/>
      <c r="H2"/>
      <c r="I2"/>
      <c r="J2"/>
      <c r="K2"/>
      <c r="L2"/>
    </row>
    <row r="3" spans="1:17" x14ac:dyDescent="0.25">
      <c r="A3" s="11">
        <v>1</v>
      </c>
      <c r="B3" s="12">
        <v>0.33333333333333331</v>
      </c>
      <c r="C3" s="46">
        <v>46052</v>
      </c>
      <c r="D3" s="45">
        <v>28</v>
      </c>
      <c r="E3" s="45"/>
      <c r="F3" s="45">
        <v>28</v>
      </c>
      <c r="G3"/>
      <c r="H3"/>
      <c r="I3"/>
      <c r="J3"/>
      <c r="K3"/>
      <c r="L3" s="16" t="s">
        <v>184</v>
      </c>
      <c r="M3" t="s">
        <v>186</v>
      </c>
      <c r="N3"/>
      <c r="O3" s="16" t="s">
        <v>184</v>
      </c>
      <c r="P3" t="s">
        <v>187</v>
      </c>
      <c r="Q3"/>
    </row>
    <row r="4" spans="1:17" x14ac:dyDescent="0.25">
      <c r="C4" s="47" t="s">
        <v>25</v>
      </c>
      <c r="D4" s="42">
        <v>18</v>
      </c>
      <c r="E4" s="42"/>
      <c r="F4" s="42">
        <v>18</v>
      </c>
      <c r="G4"/>
      <c r="H4"/>
      <c r="I4"/>
      <c r="J4"/>
      <c r="K4"/>
      <c r="L4" s="17" t="s">
        <v>31</v>
      </c>
      <c r="M4" s="18">
        <v>27</v>
      </c>
      <c r="N4"/>
      <c r="O4" s="17" t="s">
        <v>17</v>
      </c>
      <c r="P4" s="18">
        <v>45</v>
      </c>
      <c r="Q4"/>
    </row>
    <row r="5" spans="1:17" x14ac:dyDescent="0.25">
      <c r="C5" s="48" t="s">
        <v>31</v>
      </c>
      <c r="D5" s="42">
        <v>15</v>
      </c>
      <c r="E5" s="42"/>
      <c r="F5" s="42">
        <v>15</v>
      </c>
      <c r="G5"/>
      <c r="H5"/>
      <c r="I5"/>
      <c r="J5"/>
      <c r="K5"/>
      <c r="L5" s="17" t="s">
        <v>16</v>
      </c>
      <c r="M5" s="18">
        <v>13</v>
      </c>
      <c r="N5"/>
      <c r="O5" s="17" t="s">
        <v>154</v>
      </c>
      <c r="P5" s="18">
        <v>1</v>
      </c>
      <c r="Q5"/>
    </row>
    <row r="6" spans="1:17" x14ac:dyDescent="0.25">
      <c r="C6" s="49" t="s">
        <v>16</v>
      </c>
      <c r="D6" s="42">
        <v>3</v>
      </c>
      <c r="E6" s="42"/>
      <c r="F6" s="42">
        <v>3</v>
      </c>
      <c r="G6"/>
      <c r="H6"/>
      <c r="I6"/>
      <c r="J6"/>
      <c r="K6"/>
      <c r="L6" s="17" t="s">
        <v>171</v>
      </c>
      <c r="M6" s="18">
        <v>6</v>
      </c>
      <c r="N6"/>
      <c r="O6" s="17" t="s">
        <v>185</v>
      </c>
      <c r="P6" s="18">
        <v>46</v>
      </c>
      <c r="Q6"/>
    </row>
    <row r="7" spans="1:17" x14ac:dyDescent="0.25">
      <c r="C7" s="47" t="s">
        <v>15</v>
      </c>
      <c r="D7" s="42">
        <v>10</v>
      </c>
      <c r="E7" s="42"/>
      <c r="F7" s="42">
        <v>10</v>
      </c>
      <c r="G7"/>
      <c r="H7"/>
      <c r="I7"/>
      <c r="J7"/>
      <c r="K7"/>
      <c r="L7" s="17" t="s">
        <v>185</v>
      </c>
      <c r="M7" s="18">
        <v>46</v>
      </c>
      <c r="N7"/>
      <c r="O7"/>
      <c r="P7"/>
      <c r="Q7"/>
    </row>
    <row r="8" spans="1:17" x14ac:dyDescent="0.25">
      <c r="C8" s="48" t="s">
        <v>31</v>
      </c>
      <c r="D8" s="42">
        <v>4</v>
      </c>
      <c r="E8" s="42"/>
      <c r="F8" s="42">
        <v>4</v>
      </c>
      <c r="G8"/>
      <c r="H8"/>
      <c r="I8"/>
      <c r="J8"/>
      <c r="K8"/>
      <c r="L8"/>
      <c r="M8"/>
      <c r="N8"/>
      <c r="O8"/>
      <c r="P8"/>
      <c r="Q8"/>
    </row>
    <row r="9" spans="1:17" x14ac:dyDescent="0.25">
      <c r="C9" s="49" t="s">
        <v>16</v>
      </c>
      <c r="D9" s="42">
        <v>6</v>
      </c>
      <c r="E9" s="42"/>
      <c r="F9" s="42">
        <v>6</v>
      </c>
      <c r="G9"/>
      <c r="H9"/>
      <c r="I9"/>
      <c r="J9"/>
      <c r="K9"/>
      <c r="L9"/>
      <c r="M9"/>
      <c r="N9"/>
      <c r="O9"/>
      <c r="P9"/>
      <c r="Q9"/>
    </row>
    <row r="10" spans="1:17" x14ac:dyDescent="0.25">
      <c r="A10" s="11">
        <v>2</v>
      </c>
      <c r="B10" s="12">
        <v>0.16666666666666666</v>
      </c>
      <c r="C10" s="46">
        <v>46099</v>
      </c>
      <c r="D10" s="45">
        <v>5</v>
      </c>
      <c r="E10" s="45">
        <v>1</v>
      </c>
      <c r="F10" s="45">
        <v>6</v>
      </c>
      <c r="G10"/>
      <c r="H10"/>
      <c r="I10"/>
      <c r="J10"/>
      <c r="K10"/>
      <c r="L10"/>
      <c r="M10"/>
      <c r="N10"/>
      <c r="O10"/>
      <c r="P10"/>
      <c r="Q10"/>
    </row>
    <row r="11" spans="1:17" x14ac:dyDescent="0.25">
      <c r="C11" s="47" t="s">
        <v>25</v>
      </c>
      <c r="D11" s="42">
        <v>3</v>
      </c>
      <c r="E11" s="42"/>
      <c r="F11" s="42">
        <v>3</v>
      </c>
      <c r="G11"/>
      <c r="H11"/>
      <c r="I11"/>
      <c r="J11"/>
      <c r="K11"/>
      <c r="L11"/>
      <c r="M11"/>
      <c r="N11"/>
      <c r="O11"/>
      <c r="P11"/>
      <c r="Q11"/>
    </row>
    <row r="12" spans="1:17" x14ac:dyDescent="0.25">
      <c r="C12" s="49" t="s">
        <v>31</v>
      </c>
      <c r="D12" s="42">
        <v>3</v>
      </c>
      <c r="E12" s="42"/>
      <c r="F12" s="42">
        <v>3</v>
      </c>
      <c r="G12"/>
      <c r="H12"/>
      <c r="I12"/>
      <c r="J12"/>
      <c r="K12"/>
      <c r="L12"/>
      <c r="M12"/>
      <c r="N12"/>
      <c r="O12"/>
      <c r="P12"/>
      <c r="Q12"/>
    </row>
    <row r="13" spans="1:17" x14ac:dyDescent="0.25">
      <c r="C13" s="47" t="s">
        <v>15</v>
      </c>
      <c r="D13" s="42">
        <v>2</v>
      </c>
      <c r="E13" s="42">
        <v>1</v>
      </c>
      <c r="F13" s="42">
        <v>3</v>
      </c>
      <c r="G13"/>
      <c r="H13"/>
      <c r="I13"/>
      <c r="J13"/>
      <c r="K13"/>
      <c r="L13"/>
      <c r="M13"/>
      <c r="N13"/>
      <c r="O13"/>
      <c r="P13"/>
      <c r="Q13"/>
    </row>
    <row r="14" spans="1:17" x14ac:dyDescent="0.25">
      <c r="C14" s="48" t="s">
        <v>31</v>
      </c>
      <c r="D14" s="42">
        <v>1</v>
      </c>
      <c r="E14" s="42"/>
      <c r="F14" s="42">
        <v>1</v>
      </c>
      <c r="G14"/>
      <c r="H14"/>
      <c r="I14"/>
      <c r="J14"/>
      <c r="K14"/>
      <c r="L14"/>
      <c r="M14"/>
      <c r="N14"/>
      <c r="O14"/>
      <c r="P14"/>
      <c r="Q14"/>
    </row>
    <row r="15" spans="1:17" x14ac:dyDescent="0.25">
      <c r="C15" s="49" t="s">
        <v>16</v>
      </c>
      <c r="D15" s="42">
        <v>1</v>
      </c>
      <c r="E15" s="42">
        <v>1</v>
      </c>
      <c r="F15" s="42">
        <v>2</v>
      </c>
      <c r="G15"/>
      <c r="H15"/>
      <c r="L15"/>
      <c r="M15"/>
      <c r="N15"/>
      <c r="O15"/>
      <c r="P15"/>
      <c r="Q15"/>
    </row>
    <row r="16" spans="1:17" x14ac:dyDescent="0.25">
      <c r="A16" s="11">
        <v>3</v>
      </c>
      <c r="B16" s="12">
        <v>0.16666666666666666</v>
      </c>
      <c r="C16" s="46">
        <v>46134</v>
      </c>
      <c r="D16" s="45">
        <v>5</v>
      </c>
      <c r="E16" s="45"/>
      <c r="F16" s="45">
        <v>5</v>
      </c>
      <c r="G16"/>
      <c r="H16"/>
      <c r="L16"/>
      <c r="M16"/>
      <c r="N16"/>
      <c r="O16"/>
      <c r="P16"/>
      <c r="Q16"/>
    </row>
    <row r="17" spans="1:17" x14ac:dyDescent="0.25">
      <c r="C17" s="47" t="s">
        <v>25</v>
      </c>
      <c r="D17" s="42">
        <v>4</v>
      </c>
      <c r="E17" s="42"/>
      <c r="F17" s="42">
        <v>4</v>
      </c>
      <c r="G17"/>
      <c r="H17"/>
      <c r="L17"/>
      <c r="M17"/>
      <c r="N17"/>
      <c r="O17"/>
      <c r="P17"/>
      <c r="Q17"/>
    </row>
    <row r="18" spans="1:17" x14ac:dyDescent="0.25">
      <c r="C18" s="48" t="s">
        <v>31</v>
      </c>
      <c r="D18" s="42">
        <v>2</v>
      </c>
      <c r="E18" s="42"/>
      <c r="F18" s="42">
        <v>2</v>
      </c>
      <c r="G18"/>
      <c r="H18"/>
      <c r="L18"/>
      <c r="M18"/>
      <c r="N18"/>
      <c r="O18"/>
      <c r="P18"/>
      <c r="Q18"/>
    </row>
    <row r="19" spans="1:17" x14ac:dyDescent="0.25">
      <c r="C19" s="48" t="s">
        <v>16</v>
      </c>
      <c r="D19" s="42">
        <v>1</v>
      </c>
      <c r="E19" s="42"/>
      <c r="F19" s="42">
        <v>1</v>
      </c>
      <c r="G19"/>
      <c r="H19"/>
      <c r="L19"/>
      <c r="M19"/>
      <c r="N19"/>
      <c r="O19"/>
      <c r="P19"/>
      <c r="Q19"/>
    </row>
    <row r="20" spans="1:17" x14ac:dyDescent="0.25">
      <c r="C20" s="49" t="s">
        <v>171</v>
      </c>
      <c r="D20" s="42">
        <v>1</v>
      </c>
      <c r="E20" s="42"/>
      <c r="F20" s="42">
        <v>1</v>
      </c>
      <c r="G20"/>
      <c r="H20"/>
      <c r="L20"/>
      <c r="M20"/>
      <c r="N20"/>
      <c r="O20"/>
      <c r="P20"/>
      <c r="Q20"/>
    </row>
    <row r="21" spans="1:17" x14ac:dyDescent="0.25">
      <c r="C21" s="47" t="s">
        <v>15</v>
      </c>
      <c r="D21" s="42">
        <v>1</v>
      </c>
      <c r="E21" s="42"/>
      <c r="F21" s="42">
        <v>1</v>
      </c>
      <c r="G21"/>
      <c r="H21"/>
    </row>
    <row r="22" spans="1:17" x14ac:dyDescent="0.25">
      <c r="C22" s="49" t="s">
        <v>16</v>
      </c>
      <c r="D22" s="42">
        <v>1</v>
      </c>
      <c r="E22" s="42"/>
      <c r="F22" s="42">
        <v>1</v>
      </c>
      <c r="G22"/>
      <c r="H22"/>
    </row>
    <row r="23" spans="1:17" x14ac:dyDescent="0.25">
      <c r="A23" s="11">
        <v>4</v>
      </c>
      <c r="B23" s="12">
        <v>8.3333333333333329E-2</v>
      </c>
      <c r="C23" s="50">
        <v>46140</v>
      </c>
      <c r="D23" s="45">
        <v>5</v>
      </c>
      <c r="E23" s="45"/>
      <c r="F23" s="45">
        <v>5</v>
      </c>
      <c r="G23"/>
      <c r="H23"/>
    </row>
    <row r="24" spans="1:17" x14ac:dyDescent="0.25">
      <c r="C24" s="51" t="s">
        <v>25</v>
      </c>
      <c r="D24" s="42">
        <v>5</v>
      </c>
      <c r="E24" s="42"/>
      <c r="F24" s="42">
        <v>5</v>
      </c>
      <c r="G24"/>
      <c r="H24"/>
    </row>
    <row r="25" spans="1:17" x14ac:dyDescent="0.25">
      <c r="C25" s="52" t="s">
        <v>171</v>
      </c>
      <c r="D25" s="42">
        <v>5</v>
      </c>
      <c r="E25" s="42"/>
      <c r="F25" s="42">
        <v>5</v>
      </c>
      <c r="G25"/>
      <c r="H25"/>
    </row>
    <row r="26" spans="1:17" x14ac:dyDescent="0.25">
      <c r="A26" s="11">
        <v>5</v>
      </c>
      <c r="B26" s="12">
        <v>4.1666666666666664E-2</v>
      </c>
      <c r="C26" s="50">
        <v>46142</v>
      </c>
      <c r="D26" s="45">
        <v>2</v>
      </c>
      <c r="E26" s="45"/>
      <c r="F26" s="45">
        <v>2</v>
      </c>
      <c r="G26"/>
      <c r="H26"/>
    </row>
    <row r="27" spans="1:17" x14ac:dyDescent="0.25">
      <c r="C27" s="51" t="s">
        <v>25</v>
      </c>
      <c r="D27" s="42">
        <v>2</v>
      </c>
      <c r="E27" s="42"/>
      <c r="F27" s="42">
        <v>2</v>
      </c>
      <c r="G27"/>
      <c r="H27"/>
    </row>
    <row r="28" spans="1:17" x14ac:dyDescent="0.25">
      <c r="C28" s="52" t="s">
        <v>31</v>
      </c>
      <c r="D28" s="42">
        <v>2</v>
      </c>
      <c r="E28" s="42"/>
      <c r="F28" s="42">
        <v>2</v>
      </c>
      <c r="G28"/>
      <c r="H28"/>
    </row>
    <row r="29" spans="1:17" x14ac:dyDescent="0.25">
      <c r="C29" s="43" t="s">
        <v>185</v>
      </c>
      <c r="D29" s="42">
        <v>45</v>
      </c>
      <c r="E29" s="42">
        <v>1</v>
      </c>
      <c r="F29" s="42">
        <v>46</v>
      </c>
      <c r="G29"/>
      <c r="H29"/>
    </row>
    <row r="30" spans="1:17" x14ac:dyDescent="0.25">
      <c r="C30"/>
      <c r="D30"/>
      <c r="E30"/>
      <c r="F30"/>
      <c r="G30"/>
      <c r="H30"/>
    </row>
    <row r="31" spans="1:17" x14ac:dyDescent="0.25">
      <c r="C31"/>
      <c r="D31"/>
      <c r="E31"/>
      <c r="F31"/>
      <c r="G31"/>
      <c r="H31"/>
    </row>
    <row r="32" spans="1:17" x14ac:dyDescent="0.25">
      <c r="C32"/>
      <c r="D32"/>
      <c r="E32"/>
      <c r="F32"/>
      <c r="G32"/>
      <c r="H32"/>
    </row>
    <row r="33" spans="3:8" x14ac:dyDescent="0.25">
      <c r="C33"/>
      <c r="D33"/>
      <c r="E33"/>
      <c r="F33"/>
      <c r="G33"/>
      <c r="H33"/>
    </row>
    <row r="34" spans="3:8" x14ac:dyDescent="0.25">
      <c r="C34"/>
      <c r="D34"/>
      <c r="E34"/>
      <c r="F34"/>
      <c r="G34"/>
      <c r="H3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2D91A-83DA-4D1D-B471-B25E645CE7BA}">
  <dimension ref="A1"/>
  <sheetViews>
    <sheetView topLeftCell="A21" workbookViewId="0">
      <selection activeCell="B2" sqref="B2"/>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AF586-53F9-4C46-8E87-69CB4746A22C}">
  <dimension ref="A1"/>
  <sheetViews>
    <sheetView topLeftCell="I32" workbookViewId="0">
      <selection activeCell="B2" sqref="B2"/>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5" x14ac:dyDescent="0.25"/>
  <cols>
    <col min="1" max="1" width="19.5703125" bestFit="1" customWidth="1"/>
  </cols>
  <sheetData>
    <row r="1" spans="1:8" x14ac:dyDescent="0.25">
      <c r="A1" t="s">
        <v>22</v>
      </c>
      <c r="F1" t="s">
        <v>171</v>
      </c>
      <c r="H1" t="s">
        <v>25</v>
      </c>
    </row>
    <row r="2" spans="1:8" x14ac:dyDescent="0.25">
      <c r="A2" t="s">
        <v>50</v>
      </c>
      <c r="C2" t="s">
        <v>188</v>
      </c>
      <c r="F2" t="s">
        <v>31</v>
      </c>
      <c r="H2" t="s">
        <v>15</v>
      </c>
    </row>
    <row r="3" spans="1:8" x14ac:dyDescent="0.25">
      <c r="A3" t="s">
        <v>121</v>
      </c>
      <c r="C3" t="s">
        <v>45</v>
      </c>
      <c r="F3" t="s">
        <v>16</v>
      </c>
    </row>
    <row r="4" spans="1:8" x14ac:dyDescent="0.25">
      <c r="C4" t="s">
        <v>17</v>
      </c>
    </row>
    <row r="5" spans="1:8" x14ac:dyDescent="0.25">
      <c r="C5" t="s">
        <v>161</v>
      </c>
    </row>
    <row r="6" spans="1:8" x14ac:dyDescent="0.25">
      <c r="C6" t="s">
        <v>154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6</xvqq>
    <Notes xmlns="3d05c41d-42c7-4345-8236-8005f0c89855">Dev: SM | BSA: MU</Notes>
    <lcf76f155ced4ddcb4097134ff3c332f xmlns="3d05c41d-42c7-4345-8236-8005f0c8985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4EED5A-6E5F-40C5-9AEF-0B62B473C06D}">
  <ds:schemaRefs>
    <ds:schemaRef ds:uri="http://schemas.microsoft.com/office/infopath/2007/PartnerControls"/>
    <ds:schemaRef ds:uri="3d05c41d-42c7-4345-8236-8005f0c89855"/>
    <ds:schemaRef ds:uri="http://purl.org/dc/terms/"/>
    <ds:schemaRef ds:uri="http://schemas.microsoft.com/office/2006/metadata/properties"/>
    <ds:schemaRef ds:uri="http://schemas.microsoft.com/office/2006/documentManagement/types"/>
    <ds:schemaRef ds:uri="29065daa-3ce8-4783-94b0-fa366394ba57"/>
    <ds:schemaRef ds:uri="http://purl.org/dc/elements/1.1/"/>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6B5146E5-CF4E-4085-BE9F-ED12D10E8B13}">
  <ds:schemaRefs>
    <ds:schemaRef ds:uri="http://schemas.microsoft.com/sharepoint/v3/contenttype/forms"/>
  </ds:schemaRefs>
</ds:datastoreItem>
</file>

<file path=customXml/itemProps3.xml><?xml version="1.0" encoding="utf-8"?>
<ds:datastoreItem xmlns:ds="http://schemas.openxmlformats.org/officeDocument/2006/customXml" ds:itemID="{F2AD43FE-5F08-459D-A7E2-3AA7DDD8396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05c41d-42c7-4345-8236-8005f0c89855"/>
    <ds:schemaRef ds:uri="29065daa-3ce8-4783-94b0-fa366394ba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DEFECTS</vt:lpstr>
      <vt:lpstr>SUMMARY</vt:lpstr>
      <vt:lpstr>31</vt:lpstr>
      <vt:lpstr>36</vt:lpstr>
      <vt:lpstr>Sheet2</vt:lpstr>
    </vt:vector>
  </TitlesOfParts>
  <Manager/>
  <Company>Orange County Superior Court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Melanie Uyehara</cp:lastModifiedBy>
  <cp:revision/>
  <dcterms:created xsi:type="dcterms:W3CDTF">2025-10-01T18:45:47Z</dcterms:created>
  <dcterms:modified xsi:type="dcterms:W3CDTF">2026-04-30T20:58:06Z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