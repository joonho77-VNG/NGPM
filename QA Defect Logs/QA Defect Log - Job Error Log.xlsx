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hidePivotFieldList="1"/>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1828" documentId="8_{32BC0B0E-3EE8-43AB-8119-D28931438715}" xr6:coauthVersionLast="47" xr6:coauthVersionMax="47" xr10:uidLastSave="{2BD50AAE-3460-46DD-96F0-A11AFE0853D7}"/>
  <bookViews>
    <workbookView xWindow="-28920" yWindow="3525" windowWidth="29040" windowHeight="15720" firstSheet="1" activeTab="1" xr2:uid="{7496AAB9-9610-4154-B91D-ED1C66077D08}"/>
  </bookViews>
  <sheets>
    <sheet name="DEFECTS" sheetId="1" r:id="rId1"/>
    <sheet name="SUMMARY" sheetId="4" r:id="rId2"/>
    <sheet name="Sheet2" sheetId="3" state="hidden" r:id="rId3"/>
  </sheets>
  <definedNames>
    <definedName name="_xlnm._FilterDatabase" localSheetId="0" hidden="1">DEFECTS!$A$1:$M$62</definedName>
  </definedNames>
  <calcPr calcId="191028"/>
  <pivotCaches>
    <pivotCache cacheId="1345" r:id="rId4"/>
    <pivotCache cacheId="1346" r:id="rId5"/>
    <pivotCache cacheId="1347" r:id="rId6"/>
    <pivotCache cacheId="1348" r:id="rId7"/>
    <pivotCache cacheId="1349" r:id="rId8"/>
    <pivotCache cacheId="138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5" i="1" l="1"/>
  <c r="A57" i="1"/>
  <c r="A58" i="1"/>
  <c r="A59" i="1"/>
  <c r="A60" i="1"/>
  <c r="A61" i="1"/>
  <c r="A62" i="1"/>
  <c r="A63" i="1"/>
  <c r="A64" i="1"/>
  <c r="A47" i="1"/>
  <c r="A50" i="1"/>
  <c r="A49" i="1"/>
  <c r="A51" i="1"/>
  <c r="A48" i="1"/>
  <c r="A6" i="1"/>
  <c r="A21" i="1"/>
  <c r="A31" i="1"/>
  <c r="A22" i="1"/>
  <c r="A26" i="1"/>
  <c r="A8" i="1"/>
  <c r="A23" i="1"/>
  <c r="A15" i="1"/>
  <c r="A12" i="1"/>
  <c r="A36" i="1"/>
  <c r="A37" i="1"/>
  <c r="A33" i="1"/>
  <c r="A24" i="1"/>
  <c r="A25" i="1"/>
  <c r="A29" i="1"/>
  <c r="A16" i="1"/>
  <c r="A17" i="1"/>
  <c r="A18" i="1"/>
  <c r="A19" i="1"/>
  <c r="A2" i="1"/>
  <c r="A38" i="1"/>
  <c r="A34" i="1"/>
  <c r="A32" i="1"/>
  <c r="A27" i="1"/>
  <c r="A28" i="1"/>
  <c r="A9" i="1"/>
  <c r="A10" i="1"/>
  <c r="A3" i="1"/>
  <c r="A11" i="1"/>
  <c r="A35" i="1"/>
  <c r="A5" i="1"/>
  <c r="A4" i="1"/>
  <c r="A14" i="1"/>
  <c r="A13" i="1"/>
  <c r="A20" i="1"/>
  <c r="A7" i="1"/>
  <c r="A39" i="1"/>
  <c r="A40" i="1"/>
  <c r="A41" i="1"/>
  <c r="A42" i="1"/>
  <c r="A43" i="1"/>
  <c r="A44" i="1"/>
  <c r="A45" i="1"/>
  <c r="A46" i="1"/>
  <c r="A52" i="1"/>
  <c r="A53" i="1"/>
  <c r="A54" i="1"/>
  <c r="A56" i="1"/>
  <c r="A30" i="1"/>
</calcChain>
</file>

<file path=xl/sharedStrings.xml><?xml version="1.0" encoding="utf-8"?>
<sst xmlns="http://schemas.openxmlformats.org/spreadsheetml/2006/main" count="687" uniqueCount="291">
  <si>
    <t>ID</t>
  </si>
  <si>
    <t>Date Reported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</si>
  <si>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</si>
  <si>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</si>
  <si>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</si>
  <si>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</si>
  <si>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</si>
  <si>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</si>
  <si>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</si>
  <si>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</si>
  <si>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</si>
  <si>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</si>
  <si>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</si>
  <si>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</si>
  <si>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</si>
  <si>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Functionality</t>
  </si>
  <si>
    <t>Major</t>
  </si>
  <si>
    <t>Resolved</t>
  </si>
  <si>
    <t>Window</t>
  </si>
  <si>
    <t>Window Load Time</t>
  </si>
  <si>
    <t>CRMD: 6 seconds
CRMQ: 40 seconds</t>
  </si>
  <si>
    <t>CRMD: 2 seconds
CRMQ: 35 seconds</t>
  </si>
  <si>
    <t>Pass</t>
  </si>
  <si>
    <r>
      <rPr>
        <b/>
        <sz val="11"/>
        <color rgb="FF000000"/>
        <rFont val="Calibri"/>
      </rPr>
      <t>10/29:</t>
    </r>
    <r>
      <rPr>
        <sz val="11"/>
        <color rgb="FF000000"/>
        <rFont val="Calibri"/>
      </rPr>
      <t xml:space="preserve"> devs to review
</t>
    </r>
    <r>
      <rPr>
        <b/>
        <sz val="11"/>
        <color rgb="FF000000"/>
        <rFont val="Calibri"/>
      </rPr>
      <t>11/13:</t>
    </r>
    <r>
      <rPr>
        <sz val="11"/>
        <color rgb="FF000000"/>
        <rFont val="Calibri"/>
      </rPr>
      <t xml:space="preserve"> Pass. 4 seconds to load in CRMQ!</t>
    </r>
  </si>
  <si>
    <t>11/6 SM - loads slow 1st time, but ~3s after</t>
  </si>
  <si>
    <t>Load Time - Results Expected</t>
  </si>
  <si>
    <t>CRMD 10/10/25 - 10/20/25 Job ID All: (Morning) 50 seconds to load 19,712 rows. (~4:50pm) 74 seconds to load 19,712 rows.
CRMQ 10/21/25 - 10/21/25 Job ID All: 24 seconds to load 833 rows.
CRMQ 10/19/25 - 10/20/25 Job ID All: Load failed at 100 seconds. Error message appears. After closing the window, data section will display "No records to display"</t>
  </si>
  <si>
    <t>CRMD 10/10/25 - 10/20/25 Job ID All: (Morning and ~5pm) 4 seconds to load a 19,712 rows.
CRMQ: 10/21/25 - 10/21/25 Job ID All: 19 seconds to load 833 rows.
CRMQ 10/19/25  - 10/20/25 Job ID All: 35 seconds to load 123,785 rows.
- 1 image for this defect</t>
  </si>
  <si>
    <t>Pass with Comments</t>
  </si>
  <si>
    <r>
      <rPr>
        <b/>
        <sz val="11"/>
        <color rgb="FF000000"/>
        <rFont val="Calibri"/>
      </rPr>
      <t>10/29:</t>
    </r>
    <r>
      <rPr>
        <sz val="11"/>
        <color rgb="FF000000"/>
        <rFont val="Calibri"/>
      </rPr>
      <t xml:space="preserve"> retest later this week; should receive timeout message instead of unexpected error
</t>
    </r>
    <r>
      <rPr>
        <b/>
        <sz val="11"/>
        <color rgb="FF000000"/>
        <rFont val="Calibri"/>
      </rPr>
      <t>11/13:</t>
    </r>
    <r>
      <rPr>
        <sz val="11"/>
        <color rgb="FF000000"/>
        <rFont val="Calibri"/>
      </rPr>
      <t xml:space="preserve"> CRMD 10/10 - 10/20 load time is 9 seconds. CRMQ 10/21/25 load time is 20 seconds, which matches Vision. CRMQ 10/19 - 10/20 throws error message the first time loading, then successfully loads in ~95 seconds. CRMQ 10/26 - 10/27 fails first time. Error message is updated:
</t>
    </r>
    <r>
      <rPr>
        <b/>
        <sz val="11"/>
        <color rgb="FF000000"/>
        <rFont val="Calibri"/>
      </rPr>
      <t>11/24:</t>
    </r>
    <r>
      <rPr>
        <sz val="11"/>
        <color rgb="FF000000"/>
        <rFont val="Calibri"/>
      </rPr>
      <t xml:space="preserve"> Devs to fix with indexing
</t>
    </r>
    <r>
      <rPr>
        <b/>
        <sz val="11"/>
        <color rgb="FF000000"/>
        <rFont val="Calibri"/>
      </rPr>
      <t>12/4:</t>
    </r>
    <r>
      <rPr>
        <sz val="11"/>
        <color rgb="FF000000"/>
        <rFont val="Calibri"/>
      </rPr>
      <t xml:space="preserve"> After index/ mass datafix:
CRMQ old window 10/19 - 10/20: 20-22 seconds
</t>
    </r>
    <r>
      <rPr>
        <b/>
        <sz val="11"/>
        <color rgb="FF000000"/>
        <rFont val="Calibri"/>
      </rPr>
      <t xml:space="preserve">12/11: </t>
    </r>
    <r>
      <rPr>
        <sz val="11"/>
        <color rgb="FF000000"/>
        <rFont val="Calibri"/>
      </rPr>
      <t>CRMQ 12/1 - 12/11 notice ftp driver 6314 rows: 8 seconds blazor in PB, 7 seconds blazor web, 2 seconds existing</t>
    </r>
  </si>
  <si>
    <t>10/29 SM - error message are more descriptive now
12/1 SM - will add indexing with next build to the table, but this is not NG related.</t>
  </si>
  <si>
    <t>Minimize/ Maximize Vision Application</t>
  </si>
  <si>
    <t>1. Minimize Vision application
2. Use other windows on device
3. Select Vision Application
4a. Job Error Log window opens, shows white, then after 7-8 seconds will show the window again.
4b. Job Error Log window shows white, then after 4 seconds will show previous information.
5. Selecting window after these steps causes lag.</t>
  </si>
  <si>
    <t>Job Error Log window is immediately available. There is no lag when selecting rows.</t>
  </si>
  <si>
    <t>11/6 SM - not addressed. I don't recall what was discussed during the qa meeting for this.</t>
  </si>
  <si>
    <t>Minor</t>
  </si>
  <si>
    <t>No Action</t>
  </si>
  <si>
    <t>Error / No Results Found messages</t>
  </si>
  <si>
    <t>Window level buttons work when popup appears</t>
  </si>
  <si>
    <t>1. Search for invalid criteria or criteria with no results.
2. Applicable display message appears.
3. Select window level minimize, maximize, and "X" button - all buttons work.</t>
  </si>
  <si>
    <t>The window level buttons are disabled when any messages appear.</t>
  </si>
  <si>
    <r>
      <rPr>
        <b/>
        <sz val="11"/>
        <color theme="1"/>
        <rFont val="Calibri"/>
        <family val="2"/>
      </rPr>
      <t xml:space="preserve">10/29: </t>
    </r>
    <r>
      <rPr>
        <sz val="11"/>
        <color theme="1"/>
        <rFont val="Calibri"/>
        <family val="2"/>
      </rPr>
      <t>leave as-is</t>
    </r>
  </si>
  <si>
    <t>Other Vision areas work when popup appears</t>
  </si>
  <si>
    <t>1. Search for invalid criteria or criteria with no results.
2. Applicable display message appears.
3. Select another window, a first row icon, or any menus in Vision - all options are selectable.</t>
  </si>
  <si>
    <t>All other functionality is disabled.</t>
  </si>
  <si>
    <t>Search field "To Date:"</t>
  </si>
  <si>
    <t>Restricted to &lt;= Sysdate</t>
  </si>
  <si>
    <t>Calendar Date selections are restricted to be &lt;= sysdate.</t>
  </si>
  <si>
    <t>Existing window does not have this validation.
- 1 image included</t>
  </si>
  <si>
    <t>Vision level "X"</t>
  </si>
  <si>
    <t>Job Error window only closes</t>
  </si>
  <si>
    <t>Selecting the Vision level "X" closes the Job Error Log window only.</t>
  </si>
  <si>
    <t>Selecting Vision level "X" closes Vision application.</t>
  </si>
  <si>
    <r>
      <rPr>
        <b/>
        <sz val="11"/>
        <color theme="1"/>
        <rFont val="Calibri"/>
        <family val="2"/>
      </rPr>
      <t xml:space="preserve">10/29: </t>
    </r>
    <r>
      <rPr>
        <sz val="11"/>
        <color theme="1"/>
        <rFont val="Calibri"/>
        <family val="2"/>
      </rPr>
      <t>devs to fix</t>
    </r>
  </si>
  <si>
    <t>10/30 SM - has been addressed via vision update</t>
  </si>
  <si>
    <t>Page Up/Down keys vs scrolling</t>
  </si>
  <si>
    <t>Using page up and page down has no effect on the window.</t>
  </si>
  <si>
    <t>Using page up and page down moves the data to the first row outside of the visible datawindow.</t>
  </si>
  <si>
    <t xml:space="preserve">10/31 SM - addressed. Note, other windows use F7, F8, etc. </t>
  </si>
  <si>
    <t>Up and Down keys</t>
  </si>
  <si>
    <t>Using up and down keys on the top most or bottom most row displays, the next available row. The second key press of the same key displays the next 7 rows.</t>
  </si>
  <si>
    <t>Using up and down keys on the top most and bottom most row displays the next available row each iteration.</t>
  </si>
  <si>
    <r>
      <rPr>
        <b/>
        <sz val="11"/>
        <color rgb="FF000000"/>
        <rFont val="Calibri"/>
      </rPr>
      <t>11/13:</t>
    </r>
    <r>
      <rPr>
        <sz val="11"/>
        <color rgb="FF000000"/>
        <rFont val="Calibri"/>
      </rPr>
      <t xml:space="preserve"> Changes work. However, if you hold the up or down arrow for a long time, the scroll is eventually slower than the up/ down arrow. This causes the highlighted cell to no longer appear in the view. Might need to be addressed by SyncFusion, but this is very minor and a user would likely not do this.
</t>
    </r>
    <r>
      <rPr>
        <b/>
        <sz val="11"/>
        <color rgb="FF000000"/>
        <rFont val="Calibri"/>
      </rPr>
      <t>11/24:</t>
    </r>
    <r>
      <rPr>
        <sz val="11"/>
        <color rgb="FF000000"/>
        <rFont val="Calibri"/>
      </rPr>
      <t xml:space="preserve"> lazy load</t>
    </r>
  </si>
  <si>
    <t>Loading During Deployment</t>
  </si>
  <si>
    <t>1. Open window and update search fields for valid search.
2. Select "Search" button
3. Changes deployed
4. "Rejoining the server..." message appears and window does not load the search.</t>
  </si>
  <si>
    <r>
      <rPr>
        <b/>
        <sz val="11"/>
        <color rgb="FF000000"/>
        <rFont val="Calibri"/>
      </rPr>
      <t xml:space="preserve">10/29: </t>
    </r>
    <r>
      <rPr>
        <sz val="11"/>
        <color rgb="FF000000"/>
        <rFont val="Calibri"/>
      </rPr>
      <t>devs to send notices of deployment; deployments to be done COB hours</t>
    </r>
  </si>
  <si>
    <t>Window level "X"</t>
  </si>
  <si>
    <t>Slow to close window</t>
  </si>
  <si>
    <t>Window close takes ~1 second.</t>
  </si>
  <si>
    <t>Window closes instantly.</t>
  </si>
  <si>
    <t>UI</t>
  </si>
  <si>
    <t>"..." button</t>
  </si>
  <si>
    <t>"..." button color</t>
  </si>
  <si>
    <t>"..." button color is dark blue with white font. "..." text width is significantly smaller than the button width.</t>
  </si>
  <si>
    <t>"..." button color is light blue with white border. Font color is dark blue. "..." text width takes up most of the button width.
When a row is highlighted, the button color is identical to the highlight color. This makes it difficult to see the button.</t>
  </si>
  <si>
    <r>
      <rPr>
        <b/>
        <sz val="11"/>
        <color rgb="FF000000"/>
        <rFont val="Calibri"/>
      </rPr>
      <t>10/29:</t>
    </r>
    <r>
      <rPr>
        <sz val="11"/>
        <color rgb="FF000000"/>
        <rFont val="Calibri"/>
      </rPr>
      <t xml:space="preserve"> leave as-is</t>
    </r>
  </si>
  <si>
    <t>"..." column</t>
  </si>
  <si>
    <t>"..." column is in the "Additional Info" column</t>
  </si>
  <si>
    <t>The "..." field is in the "Additional Info" column.</t>
  </si>
  <si>
    <t>The "..." field is a separate unlabelled column between "Additional Info" and "Alert Type"</t>
  </si>
  <si>
    <r>
      <rPr>
        <b/>
        <sz val="11"/>
        <color rgb="FF000000"/>
        <rFont val="Calibri"/>
      </rPr>
      <t>10/29:</t>
    </r>
    <r>
      <rPr>
        <sz val="11"/>
        <color rgb="FF000000"/>
        <rFont val="Calibri"/>
      </rPr>
      <t xml:space="preserve"> devs to address so it fixes ID #15</t>
    </r>
  </si>
  <si>
    <t>10/29 SM - addressed. New unlabeled column added</t>
  </si>
  <si>
    <t>Alert Type</t>
  </si>
  <si>
    <t>Header Display</t>
  </si>
  <si>
    <t>The "T" and "y" in alert type overlap due to the large font size.</t>
  </si>
  <si>
    <t>1 image for this defect</t>
  </si>
  <si>
    <t>All Columns</t>
  </si>
  <si>
    <t>Column values cutoff</t>
  </si>
  <si>
    <t>Column values cut off at the same character count as the existing window.</t>
  </si>
  <si>
    <t>Column values cut off at the end of the column width.</t>
  </si>
  <si>
    <t>Data section background color</t>
  </si>
  <si>
    <t>Data section background color is white.</t>
  </si>
  <si>
    <t>Data section background color is light blue to white gradient from top to bottom.</t>
  </si>
  <si>
    <r>
      <rPr>
        <b/>
        <sz val="11"/>
        <color rgb="FF000000"/>
        <rFont val="Calibri"/>
      </rPr>
      <t xml:space="preserve">10/29: </t>
    </r>
    <r>
      <rPr>
        <sz val="11"/>
        <color rgb="FF000000"/>
        <rFont val="Calibri"/>
      </rPr>
      <t>leave as-is; just ensure consistency across screens</t>
    </r>
  </si>
  <si>
    <t>Column header colors</t>
  </si>
  <si>
    <t xml:space="preserve">Column header color </t>
  </si>
  <si>
    <t>Right click</t>
  </si>
  <si>
    <t>Right clicking a field will highlighted the selected cell.</t>
  </si>
  <si>
    <t>Right clicking a field will have the same functionality as left click - highlighting the row in blue.</t>
  </si>
  <si>
    <t>Calendar Icon</t>
  </si>
  <si>
    <t>Colors/ Style Differ</t>
  </si>
  <si>
    <t xml:space="preserve">Some UI elements differ between Blazor and Vision calendars.
1. Calendar header displays the date/ month/ year range on the top left corner in blue font.
2. Calendar header displays aup and down facing carrot icons. 
3. Day of the week column headers use 1 letter abbreviations.
4. "Today" button is a blue button on the bottom right with white font within the button.
5. Year, decade, and century level results show months, years, and decades in light grey boxes with black text respectively.
6. Selected Day/ Month/ Year/ Decade is blue with white font.
</t>
  </si>
  <si>
    <t>Some UI elements differ between Blazor and Vision calendars.
1. Calendar header displays the date/ month/ year range towards the center in black font.
2. Calendar header displays left and right facing arrows on the left and right side of the calendar header. 
3. Day of the week column headers use 3 letter abbreviations.
4. "Today" button is a white with a light blue border, centered with black text "Today: MM/DD/YYYY".
5. Year, decade, and century level results have no color differences.
6. Selected Day/ Month/ Year/ Decade is light blue with darker blue border and black font.
- 2 images included: One in column H and one in column I.</t>
  </si>
  <si>
    <t>Highlighted Value</t>
  </si>
  <si>
    <t>1. Select calendar icon to open calendar.
2. Select month on the top to expand search to months in the current calendar year.
3. Select the down up arrow to switch back to the previous calendar year - previously selected month is highlighted.
- This occurs for Year/ Decade searches as well.</t>
  </si>
  <si>
    <t>1. Months view: January is highlighted. 
2. Years view: years with a multiple of 10 are highlighted. 
3. Decades view: the %00 - %10 option is highlighted.</t>
  </si>
  <si>
    <t>Calendar on Search fields "From Date:" and "To Date:"</t>
  </si>
  <si>
    <t>Locked Date Range</t>
  </si>
  <si>
    <t>After a valid "From Date:" value is entered, "To Date:" calendar selection is restricted to be on or 10 days after the "From Date:".</t>
  </si>
  <si>
    <t>This could be a good feature since job error log window is very slow in CRMQ/ CRMP, but this is not in the existing window.
- 1 image for this defect</t>
  </si>
  <si>
    <t>11/6 SM - left as-is</t>
  </si>
  <si>
    <t>N/A</t>
  </si>
  <si>
    <t>Window Resizing</t>
  </si>
  <si>
    <t>Decreasing the window size, then increasing the window size causes the alert type column to display twice.</t>
  </si>
  <si>
    <r>
      <rPr>
        <b/>
        <sz val="11"/>
        <color rgb="FF000000"/>
        <rFont val="Calibri"/>
      </rPr>
      <t xml:space="preserve">10/29: </t>
    </r>
    <r>
      <rPr>
        <sz val="11"/>
        <color rgb="FF000000"/>
        <rFont val="Calibri"/>
      </rPr>
      <t>leave as-is for now (move to different cattegory to be addressed later)</t>
    </r>
  </si>
  <si>
    <t>Search button</t>
  </si>
  <si>
    <t>Search button color</t>
  </si>
  <si>
    <t>Search button is dark blue with white font.</t>
  </si>
  <si>
    <t>Search button has, top to bottom, white to light blue gradient, navy blue font, and the 'S' in 'Search' is underlined.</t>
  </si>
  <si>
    <t>Search button font size</t>
  </si>
  <si>
    <t>Search button font size is ~10.</t>
  </si>
  <si>
    <t>Search button font size is ~12.</t>
  </si>
  <si>
    <t>Search field "Job Id:"</t>
  </si>
  <si>
    <t>Typing value into search field</t>
  </si>
  <si>
    <t>After typing values into "Job Id:" field, the results appear for the first character only unless you type characters in rapid succession, ~1/6th of a second apart.</t>
  </si>
  <si>
    <t>Existing window allows ~2/3rds of a second between characters.</t>
  </si>
  <si>
    <r>
      <rPr>
        <b/>
        <sz val="11"/>
        <color rgb="FF000000"/>
        <rFont val="Calibri"/>
      </rPr>
      <t>10/29:</t>
    </r>
    <r>
      <rPr>
        <sz val="11"/>
        <color rgb="FF000000"/>
        <rFont val="Calibri"/>
      </rPr>
      <t xml:space="preserve"> JL to follow up with SyncFusion to see if there is a fix</t>
    </r>
  </si>
  <si>
    <t>11/6 SM - added filtering to drop down</t>
  </si>
  <si>
    <t xml:space="preserve">All dropdowns </t>
  </si>
  <si>
    <t>Selecting dropdown</t>
  </si>
  <si>
    <t>Selecting dropdown causes a ~0.5 second lag before displaying the dropdown selection</t>
  </si>
  <si>
    <t>Selecting dropdown displays list instantly.</t>
  </si>
  <si>
    <t>Hovering cursor over dropdown icon</t>
  </si>
  <si>
    <t>When dropdown is selected, hovering cursor over the dropdown or carrot icon does not highlight the icon.</t>
  </si>
  <si>
    <t>When dropdown is selected, hovering cursor over the dropdown or carrot icon should highlight the icon.</t>
  </si>
  <si>
    <t>Search field labels</t>
  </si>
  <si>
    <t>Search field label font size</t>
  </si>
  <si>
    <t>Search field - "From Date:", "To Date:", "Job Id:" - font size is ~10.</t>
  </si>
  <si>
    <t>Search field font size is ~12.</t>
  </si>
  <si>
    <t>Regression</t>
  </si>
  <si>
    <t>Date Fields</t>
  </si>
  <si>
    <t>Format is not fixed</t>
  </si>
  <si>
    <t>User can type values outside of the MM/DD/YYYY format into 'From Date:' and 'To Date:' fields.</t>
  </si>
  <si>
    <t>Expected result is the format MM/DD/YYYY is locked.
- Search validation rules prevent invalid entries.
- 3 images for this defect</t>
  </si>
  <si>
    <r>
      <rPr>
        <b/>
        <sz val="11"/>
        <color rgb="FF000000"/>
        <rFont val="Calibri"/>
      </rPr>
      <t xml:space="preserve">11/13: </t>
    </r>
    <r>
      <rPr>
        <sz val="11"/>
        <color rgb="FF000000"/>
        <rFont val="Calibri"/>
      </rPr>
      <t>Format is fixed, but new issues occur. See Defects 45, 46, 47, 48, 49</t>
    </r>
  </si>
  <si>
    <t>10/29 SM - addressed via mask</t>
  </si>
  <si>
    <t>Search fields "From Date:" and "To Date:"</t>
  </si>
  <si>
    <t>Search field - "From Date:", "To Date:" have a calendar icon on the right side.</t>
  </si>
  <si>
    <t>Search field - "From Date:", "To Date:" have a dropdown or carrot icon on the right side.</t>
  </si>
  <si>
    <t>Cursor location</t>
  </si>
  <si>
    <t>Selecting the search fields "From Date:" and "To Date:" causes the cursor to be located at the point of selection.</t>
  </si>
  <si>
    <t>Cursor should default to the left of the cell</t>
  </si>
  <si>
    <r>
      <rPr>
        <b/>
        <sz val="11"/>
        <color rgb="FF000000"/>
        <rFont val="Calibri"/>
      </rPr>
      <t xml:space="preserve">11/13: </t>
    </r>
    <r>
      <rPr>
        <sz val="11"/>
        <color rgb="FF000000"/>
        <rFont val="Calibri"/>
      </rPr>
      <t>Cursor defaults to right side of the cell
12/4: Cursor defaults to selected location. This occurs for all Blazor date fields.</t>
    </r>
  </si>
  <si>
    <t>11/25 SM - I believe this has been addressed on 11/24's meeting. Leaving as-is</t>
  </si>
  <si>
    <t>Search section</t>
  </si>
  <si>
    <t>Search section background color</t>
  </si>
  <si>
    <t>Search section has white background with light blue border.</t>
  </si>
  <si>
    <t>Search section matches the window background (light blue).</t>
  </si>
  <si>
    <r>
      <rPr>
        <b/>
        <sz val="11"/>
        <color rgb="FF000000"/>
        <rFont val="Calibri"/>
      </rPr>
      <t>11/13:</t>
    </r>
    <r>
      <rPr>
        <sz val="11"/>
        <color rgb="FF000000"/>
        <rFont val="Calibri"/>
      </rPr>
      <t xml:space="preserve"> Matches UI of other Blazor windows</t>
    </r>
  </si>
  <si>
    <t>10/30 SM - has been addressed. Will be consistant with other windows</t>
  </si>
  <si>
    <t>Section size changes</t>
  </si>
  <si>
    <t>Select search section or field in search section causes the search section size to decrease and the data section to increase.</t>
  </si>
  <si>
    <t>Search section height should be fixed. Search fields and search button are the only selectable areas.</t>
  </si>
  <si>
    <t>10/30 SM - search section height now is fixed</t>
  </si>
  <si>
    <t>No rows retrieved message</t>
  </si>
  <si>
    <t>Searching for criteria with no results displays the No Rows error message. The error message has the following UI elements:
1*. Information logo is to the left of the error message header.
2*. Header font size is ~18 and font color is black.
3*. Background of the error message is white.
4*. "OK" button is blue with white font.
5*. "OK" button font size is ~12.
6*. Body font size is ~12.
7. "No rows retrieved." text includes a period.
8*. Hovering cursor over "OK" button or X changes the cursor to a hand with pointer finger.
9. Background of the window is replaced by grey color.
*These items are present in all Blazor popups.</t>
  </si>
  <si>
    <t>Searching for criteria with no results displays the No Rows error message. The error message has the following UI elements:
1. Information logo is to the left of the error message body.
2. Header font size is ~12 and font color is grey.
3. Background of the error message body is white, but the header and bottom sections are light grey.
4. "OK" button is white with black font.
5. "OK" button font size is ~9.
6. "No rows retrieved." font size is ~9.
7. "No rows retrieved" text does not include a period.
8. Hovering cursor over "OK" button or X maintains the arrow cursor.
9. Window is visible behind the error message.
- 2 images included, one in Column H and one in Column I.</t>
  </si>
  <si>
    <r>
      <rPr>
        <b/>
        <sz val="11"/>
        <color rgb="FF000000"/>
        <rFont val="Calibri"/>
      </rPr>
      <t>10/29:</t>
    </r>
    <r>
      <rPr>
        <sz val="11"/>
        <color rgb="FF000000"/>
        <rFont val="Calibri"/>
      </rPr>
      <t xml:space="preserve"> devs to review
</t>
    </r>
    <r>
      <rPr>
        <b/>
        <sz val="11"/>
        <color rgb="FF000000"/>
        <rFont val="Calibri"/>
      </rPr>
      <t>11/13</t>
    </r>
    <r>
      <rPr>
        <sz val="11"/>
        <color rgb="FF000000"/>
        <rFont val="Calibri"/>
      </rPr>
      <t>: Pass. Rows display in background of error message</t>
    </r>
  </si>
  <si>
    <t>10/30 SM - has been addressed. ro results popup removed</t>
  </si>
  <si>
    <t>Window background color</t>
  </si>
  <si>
    <t>Window background color is a light blue gradient.</t>
  </si>
  <si>
    <t>Window background color is light blue.</t>
  </si>
  <si>
    <t>11/4 SM - leaving as-is</t>
  </si>
  <si>
    <t>Window size</t>
  </si>
  <si>
    <t>Window content spans the full width of the Vision application.</t>
  </si>
  <si>
    <t>Window spans slightly more than half the width of Vision application.</t>
  </si>
  <si>
    <t>Window Load</t>
  </si>
  <si>
    <t>While window is loading, the bottom right time continues.</t>
  </si>
  <si>
    <t>While window is loading, the bottom right time is paused.</t>
  </si>
  <si>
    <t>Column Headers</t>
  </si>
  <si>
    <t>Column width is adjustable</t>
  </si>
  <si>
    <t xml:space="preserve">1. Search for a valid result
2. Hover cursor on white column border - cursor will change to vertical lines
3. Select white column border
4. Drag border left and right - column width will adjust
</t>
  </si>
  <si>
    <t>Column width is not adjustable.</t>
  </si>
  <si>
    <t>Tooltip</t>
  </si>
  <si>
    <t>Tooltip shape</t>
  </si>
  <si>
    <t>1. Search for a valid result
2. Hover cursor over any row value
3. Tooltip appears - tooltip shape is a rectangle</t>
  </si>
  <si>
    <t>Tooltip shape is a speech bubble.</t>
  </si>
  <si>
    <t>11/13: Defect addressed. See Defect 44</t>
  </si>
  <si>
    <t>10/30 SM - addressed. Tooltip modified</t>
  </si>
  <si>
    <t>Additional Info</t>
  </si>
  <si>
    <t>Adjusting column width</t>
  </si>
  <si>
    <t>1. Search for a valid result
2. Minimize the "Additional Info" column width - blue "..." buttons are no longer in line</t>
  </si>
  <si>
    <t>10/29 SM - addressed by making button its own column</t>
  </si>
  <si>
    <t>Dt Error and Alert Type</t>
  </si>
  <si>
    <t>Decreasing the column width to partially cut of the values causes 3 dots to appear in place of the missing characters.</t>
  </si>
  <si>
    <t>Other Vision windows with this feature, such as ATP Dashboard and Summary Judgment window, will cut off the text. Other blazor columns do this as well.</t>
  </si>
  <si>
    <t>11/6 SM - leaving as-is</t>
  </si>
  <si>
    <t>Modifying Window Views - Horizontal</t>
  </si>
  <si>
    <t>1. Search for a valid result.
2. Open at least one window besides Job Error Log blazor.
3. On the top menu options, select "Window", then "Horizontal" - White area at the bottom of the window remains, which decreases the amount of data visible in the data section</t>
  </si>
  <si>
    <t>10/30 SM - added dynamic height, please retest</t>
  </si>
  <si>
    <t>Search</t>
  </si>
  <si>
    <t>Ctrl + Shift + F search does not work</t>
  </si>
  <si>
    <t>Ctrl + Shift + F applies search in data section</t>
  </si>
  <si>
    <r>
      <rPr>
        <b/>
        <sz val="11"/>
        <color rgb="FF000000"/>
        <rFont val="Calibri"/>
      </rPr>
      <t>11/03:</t>
    </r>
    <r>
      <rPr>
        <sz val="11"/>
        <color rgb="FF000000"/>
        <rFont val="Calibri"/>
      </rPr>
      <t xml:space="preserve"> not included in blazor
</t>
    </r>
    <r>
      <rPr>
        <b/>
        <sz val="11"/>
        <color rgb="FF000000"/>
        <rFont val="Calibri"/>
      </rPr>
      <t>11/13:</t>
    </r>
    <r>
      <rPr>
        <sz val="11"/>
        <color rgb="FF000000"/>
        <rFont val="Calibri"/>
      </rPr>
      <t xml:space="preserve"> Ctrl + F added in window with the same functionality
</t>
    </r>
    <r>
      <rPr>
        <b/>
        <sz val="11"/>
        <color rgb="FF000000"/>
        <rFont val="Calibri"/>
      </rPr>
      <t>11/24:</t>
    </r>
    <r>
      <rPr>
        <sz val="11"/>
        <color rgb="FF000000"/>
        <rFont val="Calibri"/>
      </rPr>
      <t xml:space="preserve"> Devs to update</t>
    </r>
  </si>
  <si>
    <t xml:space="preserve">11/25 SM - added CTRL+SHIFT+F keyboard shortcut to find. </t>
  </si>
  <si>
    <t>Tooltip appears too quickly</t>
  </si>
  <si>
    <t>When hovering cursor over a data, the tooltip immediately appears.</t>
  </si>
  <si>
    <t>Hovering cursor over data takes ~1 second to appear. Previous QA version was a good pace.</t>
  </si>
  <si>
    <r>
      <rPr>
        <b/>
        <sz val="11"/>
        <color rgb="FF000000"/>
        <rFont val="Calibri"/>
      </rPr>
      <t xml:space="preserve">11/24: </t>
    </r>
    <r>
      <rPr>
        <sz val="11"/>
        <color rgb="FF000000"/>
        <rFont val="Calibri"/>
      </rPr>
      <t>Devs to fix</t>
    </r>
  </si>
  <si>
    <t>11/25 SM - added 300 milliseconds delay when user first hovers over column with tooltip. Additionally, there is a close delay I can add if the tooltip closes to fast if requested.</t>
  </si>
  <si>
    <t>Typing in date field</t>
  </si>
  <si>
    <t>1. Select date field - cursor appears on right most cell
2. Select month section - both month digits highlight
3. Type month - days section highlights
4. Type day - year section highlights
5. Type year</t>
  </si>
  <si>
    <t>Marked as major because this will affect all formatted date fields
In existing window, the cursor will move to the next cell rather than highlighting all digits associated with the month/ day/ year</t>
  </si>
  <si>
    <r>
      <rPr>
        <sz val="11"/>
        <color rgb="FF000000"/>
        <rFont val="Calibri"/>
      </rPr>
      <t xml:space="preserve">Overall for the date issues, the issue occurs because blazor highlights the month/ day/ year section, while PB uses cursor only
</t>
    </r>
    <r>
      <rPr>
        <b/>
        <sz val="11"/>
        <color rgb="FF000000"/>
        <rFont val="Calibri"/>
      </rPr>
      <t>11/24:</t>
    </r>
    <r>
      <rPr>
        <sz val="11"/>
        <color rgb="FF000000"/>
        <rFont val="Calibri"/>
      </rPr>
      <t xml:space="preserve"> leave as is</t>
    </r>
  </si>
  <si>
    <t>Modifying single digit month to 2 digit month</t>
  </si>
  <si>
    <t>1. Select and clear date field
2. Type valid single digit month date, such as 01/01/2025
3. Double click, or sometimes single click, the month section
4. Type "12" - 01/02/XXXX appears</t>
  </si>
  <si>
    <t>Marked as major because this will affect all formatted date fields</t>
  </si>
  <si>
    <r>
      <rPr>
        <b/>
        <sz val="11"/>
        <color rgb="FF000000"/>
        <rFont val="Calibri"/>
      </rPr>
      <t>11/24:</t>
    </r>
    <r>
      <rPr>
        <sz val="11"/>
        <color rgb="FF000000"/>
        <rFont val="Calibri"/>
      </rPr>
      <t xml:space="preserve"> leave as is</t>
    </r>
  </si>
  <si>
    <t>11/21 SM - could not reproduce issue</t>
  </si>
  <si>
    <t>Numbers populate incorrectly if "0" is typed</t>
  </si>
  <si>
    <t>1. Type a date into date field
2. Type '0' in highlight section - month, day, or year - '0' only is entered into the cell and you are not able to type the second character</t>
  </si>
  <si>
    <t>00/00/0000 populates when date is invalid</t>
  </si>
  <si>
    <t>1. Clear date fields
2. Type invalid date into date fields, such as 12/00/0000
3. Exit the field
4. Select the field - 00/00/0000 displays</t>
  </si>
  <si>
    <t>11/21 SM - 2 options: can become 00/00/0000 or return to previously valid date - using an option called STRICT MODE
11/25 SM - using strict mode to reset the date to the last valid date entered. Additionally, I wanted to note the I set the minimum date able to 1/1/1900 in case this date appears in testing</t>
  </si>
  <si>
    <t>Search fields "From Date:"</t>
  </si>
  <si>
    <t>1. Type old date into date field, such as 12/12/1200
2. Date field highlights as red
3. Type same old date into date field for 'To Date' field.
4. Date field is not highlighted red</t>
  </si>
  <si>
    <t>Marked as major because this will affect all formatted date fields
- 1 image for the defect</t>
  </si>
  <si>
    <t>11/21 SM - The to_date validation logic is working as designed. Since 12/12/1200 falls within the maximum date range from from_date, no validation error displays on to_date. Updated from_date to enforce a minimum value of 01/01/1900.</t>
  </si>
  <si>
    <t>Web Only</t>
  </si>
  <si>
    <t>Help Button</t>
  </si>
  <si>
    <t>Erraneous Help button in Web Version</t>
  </si>
  <si>
    <t>There is an erraneous Help button on the top left of the window that has no functionality</t>
  </si>
  <si>
    <t>Help button can be removed.</t>
  </si>
  <si>
    <t>Scroll</t>
  </si>
  <si>
    <t>Window height allows for scroll</t>
  </si>
  <si>
    <t>In Web version, you can slightly scroll down the main window. Should less rows be visible in the web version to prevent the scroll?</t>
  </si>
  <si>
    <r>
      <rPr>
        <b/>
        <sz val="11"/>
        <color rgb="FF000000"/>
        <rFont val="Calibri"/>
      </rPr>
      <t xml:space="preserve">11/24: </t>
    </r>
    <r>
      <rPr>
        <sz val="11"/>
        <color rgb="FF000000"/>
        <rFont val="Calibri"/>
      </rPr>
      <t>devs to fix</t>
    </r>
  </si>
  <si>
    <t>11/25 SM - has been addressed. Window is responsive for powerbuilder and visionNG. No more vertical scrollbar</t>
  </si>
  <si>
    <t>Multiple Scroll bars on minimized window</t>
  </si>
  <si>
    <t>After adjustment for Defect 51, new issue where there are 3 scroll bars on a minimized window. The middle and right most scroll bars work as expected. The left most scroll bar will scroll past the visible area. You will not be able to find the scroll bar location until you adjust the middle or right most scroll bars.</t>
  </si>
  <si>
    <t>Possible Options:
- Switch Job Error Log window to paging
- remove left most scrollbar</t>
  </si>
  <si>
    <t>12/15: leave as is for now</t>
  </si>
  <si>
    <t>Ctrl + Shift + F</t>
  </si>
  <si>
    <t>Search bar remains during refresh</t>
  </si>
  <si>
    <t xml:space="preserve">1. Type Ctrl + Shift + F - search field opens
2. Select F3 - refresh no longer works. When refresh does work, search field remains open. Can be closed with Esc only during the refresh
</t>
  </si>
  <si>
    <t>12/15: devs to address</t>
  </si>
  <si>
    <t>12/16 SM - Refresh readded. Search component is now hidden when the user refreshes. This has been updated across error code, event code, job error log and court control</t>
  </si>
  <si>
    <t>Typing or deleting in search bar</t>
  </si>
  <si>
    <t xml:space="preserve">Typing or deleting text in the Ctrl + Shift + F search area causes the cursor to move back a space sporadically </t>
  </si>
  <si>
    <t>Issue occurs in all windows</t>
  </si>
  <si>
    <r>
      <rPr>
        <sz val="11"/>
        <color rgb="FF000000"/>
        <rFont val="Calibri"/>
      </rPr>
      <t xml:space="preserve">12/15: devs to address
</t>
    </r>
    <r>
      <rPr>
        <b/>
        <sz val="11"/>
        <color rgb="FF000000"/>
        <rFont val="Calibri"/>
      </rPr>
      <t>12/22</t>
    </r>
    <r>
      <rPr>
        <sz val="11"/>
        <color rgb="FF000000"/>
        <rFont val="Calibri"/>
      </rPr>
      <t>: Defect was not addressed. Demo version is not appearing in QA windows.
12/24: Leave as is</t>
    </r>
  </si>
  <si>
    <t>12/18 SM - added a debouncer on the grid search component</t>
  </si>
  <si>
    <t>Column Sort</t>
  </si>
  <si>
    <t>Sort on empty cells</t>
  </si>
  <si>
    <t>This is not a defect. No action item added for awareness. 
In PB if a column has both null values and values of any other datatype, the ascending and descending sort will display the null values on top. In Blazor, the null values will appear on top when sorted in ascending order and will appear on the bottom in descending order</t>
  </si>
  <si>
    <t>BSAs discussed and agreed the Blazor behavior is preferred. Not a defect. This null sort behavior should be present in all Blazor windows moving forward.
Down the line, we will need to check how the sort behavior works if the column has 2 datatypes and a null value. This occurs in some ATP Dashboard and Summary Judgment window columns.</t>
  </si>
  <si>
    <t>Strict Mode</t>
  </si>
  <si>
    <t>Instead of having fluid validation on the date fields, the date fields will automatically correct to a valid date range</t>
  </si>
  <si>
    <t>12/15: leave as is</t>
  </si>
  <si>
    <t>Buttons do not work on initial open</t>
  </si>
  <si>
    <t>When initially opening the window, the calendar icons did not work, the date field selection was not the month/ day/ year highlighting it normally has, and the job id dropdown button did not work</t>
  </si>
  <si>
    <t>Not sure if this is replicable</t>
  </si>
  <si>
    <t>Column filter if date timestamp varies</t>
  </si>
  <si>
    <t xml:space="preserve">Not a defect, but item added for awareness. If the same date with different time stamps exist in a column, the Column Filter will show multiple options.
</t>
  </si>
  <si>
    <t>If date column includes time stamps in the future, the filter should capture the date and not the time stamp</t>
  </si>
  <si>
    <t>F3 Refresh</t>
  </si>
  <si>
    <t>Column filters remain after F3 refresh</t>
  </si>
  <si>
    <t>1. apply column filter
2. F3 refresh
3. Go to the date range and job id that had the filtered column -column filter remains</t>
  </si>
  <si>
    <t>The filter will remain if you use different search criteria, but it is easiest to see if you use the same search criteria</t>
  </si>
  <si>
    <t>QA #1 - 10/23/25 (6 HR)</t>
  </si>
  <si>
    <t>VISION NG METRICS - as of 10/23/25</t>
  </si>
  <si>
    <t>(Multiple Items)</t>
  </si>
  <si>
    <t>SCENARIO</t>
  </si>
  <si>
    <t>Count</t>
  </si>
  <si>
    <t>Row Labels</t>
  </si>
  <si>
    <t>Count of Bug Type</t>
  </si>
  <si>
    <t>DEFECT</t>
  </si>
  <si>
    <t>Grand Total</t>
  </si>
  <si>
    <t>(All)</t>
  </si>
  <si>
    <t>QA #2 - 11/13/25 (4.5 HR)</t>
  </si>
  <si>
    <t>Count of Scenario Type</t>
  </si>
  <si>
    <t>Count of Status</t>
  </si>
  <si>
    <t>New</t>
  </si>
  <si>
    <t>Return to Dev</t>
  </si>
  <si>
    <t>QA #3 - 12/11/25 (5 HR)*</t>
  </si>
  <si>
    <t>*QA stopped and resumed part of the way through. Developers were updating the window post QA deployment</t>
  </si>
  <si>
    <t>(blank)</t>
  </si>
  <si>
    <t>QA #4 - 12/22/25 (2 HR)</t>
  </si>
  <si>
    <t>QA #5 - 1/14/26 (1.5 HR)</t>
  </si>
  <si>
    <t>Fail</t>
  </si>
  <si>
    <t>Retest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</si>
</sst>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font>
      <sz val="11"/>
      <color theme="1"/>
      <name val="Aptos Narrow"/>
      <family val="2"/>
      <scheme val="minor"/>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b/>
      <sz val="16"/>
      <color rgb="FFFFFFFF"/>
      <name val="Calibri"/>
      <family val="2"/>
    </font>
    <font>
      <b/>
      <sz val="11"/>
      <color theme="1"/>
      <name val="Calibri"/>
      <family val="2"/>
    </font>
    <font>
      <b/>
      <sz val="11"/>
      <color rgb="FF000000"/>
      <name val="Calibri"/>
    </font>
    <font>
      <sz val="11"/>
      <color rgb="FF000000"/>
      <name val="Calibri"/>
    </font>
    <font>
      <sz val="11"/>
      <color theme="1"/>
      <name val="Calibri"/>
    </font>
    <font>
      <sz val="11"/>
      <color rgb="FF000000"/>
      <name val="Calibri"/>
      <family val="2"/>
    </font>
    <font>
      <b/>
      <sz val="16"/>
      <color theme="0"/>
      <name val="Calibri"/>
      <family val="2"/>
    </font>
    <font>
      <sz val="12"/>
      <color theme="1"/>
      <name val="Calibri"/>
      <family val="2"/>
    </font>
    <font>
      <sz val="9"/>
      <color theme="1"/>
      <name val="Calibri"/>
      <family val="2"/>
    </font>
  </fonts>
  <fills count="7">
    <fill>
      <patternFill patternType="none"/>
    </fill>
    <fill>
      <patternFill patternType="gray125"/>
    </fill>
    <fill>
      <patternFill patternType="solid">
        <fgColor theme="5" tint="0.39997558519241921"/>
        <bgColor indexed="64"/>
      </patternFill>
    </fill>
    <fill>
      <patternFill patternType="solid">
        <fgColor rgb="FF4472C4"/>
        <bgColor rgb="FF000000"/>
      </patternFill>
    </fill>
    <fill>
      <patternFill patternType="solid">
        <fgColor rgb="FF548235"/>
        <bgColor rgb="FF000000"/>
      </patternFill>
    </fill>
    <fill>
      <patternFill patternType="solid">
        <fgColor theme="9" tint="0.79998168889431442"/>
        <bgColor indexed="64"/>
      </patternFill>
    </fill>
    <fill>
      <patternFill patternType="solid">
        <fgColor theme="4"/>
        <bgColor indexed="64"/>
      </patternFill>
    </fill>
  </fills>
  <borders count="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tint="-0.499984740745262"/>
      </left>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65">
    <xf numFmtId="0" fontId="0" fillId="0" borderId="0" xfId="0"/>
    <xf numFmtId="0" fontId="3" fillId="0" borderId="0" xfId="0" applyFont="1"/>
    <xf numFmtId="0" fontId="3" fillId="0" borderId="0" xfId="0" applyFont="1" applyAlignment="1">
      <alignment horizontal="left" vertical="top" wrapText="1"/>
    </xf>
    <xf numFmtId="0" fontId="3" fillId="0" borderId="0" xfId="0" applyFont="1" applyAlignment="1">
      <alignment vertical="top"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4" fillId="0" borderId="1" xfId="0" applyFont="1" applyFill="1" applyBorder="1" applyAlignment="1">
      <alignment horizontal="left"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3" fillId="0" borderId="0" xfId="0" applyFont="1" applyAlignment="1">
      <alignment vertical="top"/>
    </xf>
    <xf numFmtId="164" fontId="3" fillId="0" borderId="0" xfId="0" applyNumberFormat="1" applyFont="1" applyAlignment="1">
      <alignment horizontal="center" vertical="top"/>
    </xf>
    <xf numFmtId="0" fontId="2" fillId="0" borderId="0" xfId="0" applyFont="1"/>
    <xf numFmtId="0" fontId="5" fillId="2" borderId="2" xfId="0" applyFont="1" applyFill="1" applyBorder="1" applyAlignment="1">
      <alignment horizontal="center" vertical="center"/>
    </xf>
    <xf numFmtId="0" fontId="5" fillId="2" borderId="6" xfId="0" applyFont="1" applyFill="1" applyBorder="1" applyAlignment="1">
      <alignment horizontal="center" vertical="center"/>
    </xf>
    <xf numFmtId="0" fontId="6" fillId="0" borderId="6" xfId="0" applyFont="1" applyBorder="1" applyAlignment="1">
      <alignment vertical="top" wrapText="1"/>
    </xf>
    <xf numFmtId="0" fontId="10" fillId="0" borderId="6" xfId="0" applyFont="1" applyBorder="1" applyAlignment="1">
      <alignment vertical="top" wrapText="1"/>
    </xf>
    <xf numFmtId="0" fontId="0" fillId="0" borderId="0" xfId="0" pivotButton="1"/>
    <xf numFmtId="0" fontId="0" fillId="0" borderId="7" xfId="0" pivotButton="1" applyBorder="1"/>
    <xf numFmtId="0" fontId="0" fillId="0" borderId="7" xfId="0" applyBorder="1"/>
    <xf numFmtId="0" fontId="0" fillId="0" borderId="7" xfId="0" applyNumberFormat="1" applyBorder="1"/>
    <xf numFmtId="0" fontId="0" fillId="5" borderId="7" xfId="0" applyFill="1" applyBorder="1"/>
    <xf numFmtId="0" fontId="0" fillId="5" borderId="7" xfId="0" applyNumberFormat="1" applyFill="1" applyBorder="1"/>
    <xf numFmtId="0" fontId="11" fillId="5" borderId="2" xfId="0" applyFont="1" applyFill="1" applyBorder="1"/>
    <xf numFmtId="0" fontId="11" fillId="0" borderId="2" xfId="0" applyFont="1" applyBorder="1" applyAlignment="1">
      <alignment horizontal="left"/>
    </xf>
    <xf numFmtId="0" fontId="11" fillId="0" borderId="2" xfId="0" applyNumberFormat="1" applyFont="1" applyBorder="1"/>
    <xf numFmtId="0" fontId="11" fillId="5" borderId="2" xfId="0" applyFont="1" applyFill="1" applyBorder="1" applyAlignment="1">
      <alignment horizontal="left"/>
    </xf>
    <xf numFmtId="0" fontId="11" fillId="5" borderId="2" xfId="0" applyNumberFormat="1" applyFont="1" applyFill="1" applyBorder="1"/>
    <xf numFmtId="0" fontId="11" fillId="0" borderId="0" xfId="0" pivotButton="1" applyFont="1"/>
    <xf numFmtId="0" fontId="11" fillId="0" borderId="0" xfId="0" applyFont="1"/>
    <xf numFmtId="0" fontId="11" fillId="0" borderId="2" xfId="0" pivotButton="1" applyFont="1" applyBorder="1"/>
    <xf numFmtId="0" fontId="11" fillId="0" borderId="2" xfId="0" applyFont="1" applyBorder="1"/>
    <xf numFmtId="0" fontId="11" fillId="0" borderId="5" xfId="0" applyFont="1" applyBorder="1" applyAlignment="1">
      <alignment horizontal="left"/>
    </xf>
    <xf numFmtId="0" fontId="11" fillId="0" borderId="5" xfId="0" applyNumberFormat="1" applyFont="1" applyBorder="1"/>
    <xf numFmtId="0" fontId="12" fillId="0" borderId="6" xfId="0" applyFont="1" applyBorder="1" applyAlignment="1">
      <alignment vertical="top" wrapText="1"/>
    </xf>
    <xf numFmtId="0" fontId="12" fillId="0" borderId="6"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164" fontId="1" fillId="0" borderId="1" xfId="0" applyNumberFormat="1" applyFont="1" applyBorder="1" applyAlignment="1">
      <alignment horizontal="center" vertical="top"/>
    </xf>
    <xf numFmtId="0" fontId="1" fillId="0" borderId="2" xfId="0" applyFont="1" applyBorder="1" applyAlignment="1">
      <alignment vertical="top"/>
    </xf>
    <xf numFmtId="0" fontId="1" fillId="0" borderId="6" xfId="0" applyFont="1" applyBorder="1" applyAlignment="1">
      <alignment vertical="top" wrapText="1"/>
    </xf>
    <xf numFmtId="0" fontId="1" fillId="0" borderId="2" xfId="0" applyFont="1" applyBorder="1" applyAlignment="1">
      <alignment vertical="top" wrapText="1"/>
    </xf>
    <xf numFmtId="164" fontId="1" fillId="0" borderId="1" xfId="0" applyNumberFormat="1" applyFont="1" applyFill="1" applyBorder="1" applyAlignment="1">
      <alignment horizontal="center" vertical="top" wrapText="1"/>
    </xf>
    <xf numFmtId="0" fontId="1" fillId="0" borderId="2" xfId="0" applyFont="1" applyBorder="1" applyAlignment="1">
      <alignment horizontal="left" vertical="top" wrapText="1"/>
    </xf>
    <xf numFmtId="0" fontId="1" fillId="0" borderId="1" xfId="0" applyFont="1" applyFill="1" applyBorder="1" applyAlignment="1">
      <alignment horizontal="left" vertical="top" wrapText="1"/>
    </xf>
    <xf numFmtId="14" fontId="1" fillId="0" borderId="1" xfId="0" applyNumberFormat="1" applyFont="1" applyBorder="1" applyAlignment="1">
      <alignment vertical="top" wrapText="1"/>
    </xf>
    <xf numFmtId="0" fontId="1" fillId="0" borderId="0" xfId="0" applyFont="1" applyAlignment="1">
      <alignment vertical="top" wrapText="1"/>
    </xf>
    <xf numFmtId="164" fontId="1" fillId="0" borderId="0" xfId="0" applyNumberFormat="1" applyFont="1" applyAlignment="1">
      <alignment horizontal="center" vertical="top"/>
    </xf>
    <xf numFmtId="0" fontId="1" fillId="0" borderId="0" xfId="0" applyFont="1" applyAlignment="1">
      <alignment vertical="top"/>
    </xf>
    <xf numFmtId="0" fontId="1" fillId="0" borderId="0" xfId="0" applyFont="1"/>
    <xf numFmtId="0" fontId="1" fillId="0" borderId="2" xfId="0" pivotButton="1" applyFont="1" applyBorder="1"/>
    <xf numFmtId="0" fontId="1" fillId="0" borderId="2" xfId="0" applyFont="1" applyBorder="1"/>
    <xf numFmtId="0" fontId="1" fillId="0" borderId="2" xfId="0" applyFont="1" applyBorder="1" applyAlignment="1">
      <alignment horizontal="left"/>
    </xf>
    <xf numFmtId="0" fontId="1" fillId="0" borderId="2" xfId="0" applyNumberFormat="1" applyFont="1" applyBorder="1"/>
    <xf numFmtId="0" fontId="14" fillId="0" borderId="0" xfId="0" applyFont="1"/>
    <xf numFmtId="0" fontId="15" fillId="0" borderId="0" xfId="0" applyFont="1"/>
    <xf numFmtId="14" fontId="0" fillId="0" borderId="0" xfId="0" applyNumberFormat="1" applyAlignment="1">
      <alignment horizontal="left"/>
    </xf>
    <xf numFmtId="0" fontId="1" fillId="0" borderId="7" xfId="0" applyFont="1" applyBorder="1" applyAlignment="1">
      <alignment vertical="top"/>
    </xf>
    <xf numFmtId="0" fontId="1" fillId="0" borderId="8" xfId="0" applyFont="1" applyBorder="1" applyAlignment="1">
      <alignment vertical="top" wrapText="1"/>
    </xf>
    <xf numFmtId="0" fontId="1" fillId="0" borderId="7" xfId="0" applyFont="1" applyBorder="1" applyAlignment="1">
      <alignment vertical="top" wrapText="1"/>
    </xf>
    <xf numFmtId="0" fontId="7" fillId="3" borderId="0" xfId="0" applyFont="1" applyFill="1" applyAlignment="1">
      <alignment horizontal="center"/>
    </xf>
    <xf numFmtId="0" fontId="7" fillId="4" borderId="3" xfId="0" applyFont="1" applyFill="1" applyBorder="1" applyAlignment="1">
      <alignment horizontal="center"/>
    </xf>
    <xf numFmtId="0" fontId="7" fillId="4" borderId="4" xfId="0" applyFont="1" applyFill="1" applyBorder="1" applyAlignment="1">
      <alignment horizontal="center"/>
    </xf>
    <xf numFmtId="0" fontId="13" fillId="6" borderId="0" xfId="0" applyFont="1" applyFill="1" applyAlignment="1">
      <alignment horizontal="center"/>
    </xf>
  </cellXfs>
  <cellStyles count="1">
    <cellStyle name="Normal" xfId="0" builtinId="0"/>
  </cellStyles>
  <dxfs count="125">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8</xdr:col>
      <xdr:colOff>76200</xdr:colOff>
      <xdr:row>21</xdr:row>
      <xdr:rowOff>485775</xdr:rowOff>
    </xdr:from>
    <xdr:to>
      <xdr:col>8</xdr:col>
      <xdr:colOff>4000500</xdr:colOff>
      <xdr:row>21</xdr:row>
      <xdr:rowOff>2276475</xdr:rowOff>
    </xdr:to>
    <xdr:pic>
      <xdr:nvPicPr>
        <xdr:cNvPr id="6" name="Picture 5">
          <a:extLst>
            <a:ext uri="{FF2B5EF4-FFF2-40B4-BE49-F238E27FC236}">
              <a16:creationId xmlns:a16="http://schemas.microsoft.com/office/drawing/2014/main" id="{1C35EB80-FFBA-62FF-01FA-C83CF47456F4}"/>
            </a:ext>
            <a:ext uri="{147F2762-F138-4A5C-976F-8EAC2B608ADB}">
              <a16:predDERef xmlns:a16="http://schemas.microsoft.com/office/drawing/2014/main" pred="{725CFF7E-3EDF-4BD3-5825-3B41264AE194}"/>
            </a:ext>
          </a:extLst>
        </xdr:cNvPr>
        <xdr:cNvPicPr>
          <a:picLocks noChangeAspect="1"/>
        </xdr:cNvPicPr>
      </xdr:nvPicPr>
      <xdr:blipFill>
        <a:blip xmlns:r="http://schemas.openxmlformats.org/officeDocument/2006/relationships" r:embed="rId1"/>
        <a:stretch>
          <a:fillRect/>
        </a:stretch>
      </xdr:blipFill>
      <xdr:spPr>
        <a:xfrm>
          <a:off x="5991225" y="2876550"/>
          <a:ext cx="3924300" cy="1790700"/>
        </a:xfrm>
        <a:prstGeom prst="rect">
          <a:avLst/>
        </a:prstGeom>
      </xdr:spPr>
    </xdr:pic>
    <xdr:clientData/>
  </xdr:twoCellAnchor>
  <xdr:twoCellAnchor editAs="oneCell">
    <xdr:from>
      <xdr:col>8</xdr:col>
      <xdr:colOff>1123950</xdr:colOff>
      <xdr:row>14</xdr:row>
      <xdr:rowOff>257175</xdr:rowOff>
    </xdr:from>
    <xdr:to>
      <xdr:col>8</xdr:col>
      <xdr:colOff>2085975</xdr:colOff>
      <xdr:row>14</xdr:row>
      <xdr:rowOff>495300</xdr:rowOff>
    </xdr:to>
    <xdr:pic>
      <xdr:nvPicPr>
        <xdr:cNvPr id="2" name="Picture 1">
          <a:extLst>
            <a:ext uri="{FF2B5EF4-FFF2-40B4-BE49-F238E27FC236}">
              <a16:creationId xmlns:a16="http://schemas.microsoft.com/office/drawing/2014/main" id="{BA29E85E-BB04-E5BB-3FEC-47D2E04E14B0}"/>
            </a:ext>
            <a:ext uri="{147F2762-F138-4A5C-976F-8EAC2B608ADB}">
              <a16:predDERef xmlns:a16="http://schemas.microsoft.com/office/drawing/2014/main" pred="{1C35EB80-FFBA-62FF-01FA-C83CF47456F4}"/>
            </a:ext>
          </a:extLst>
        </xdr:cNvPr>
        <xdr:cNvPicPr>
          <a:picLocks noChangeAspect="1"/>
        </xdr:cNvPicPr>
      </xdr:nvPicPr>
      <xdr:blipFill>
        <a:blip xmlns:r="http://schemas.openxmlformats.org/officeDocument/2006/relationships" r:embed="rId2"/>
        <a:stretch>
          <a:fillRect/>
        </a:stretch>
      </xdr:blipFill>
      <xdr:spPr>
        <a:xfrm>
          <a:off x="7038975" y="6448425"/>
          <a:ext cx="962025" cy="238125"/>
        </a:xfrm>
        <a:prstGeom prst="rect">
          <a:avLst/>
        </a:prstGeom>
      </xdr:spPr>
    </xdr:pic>
    <xdr:clientData/>
  </xdr:twoCellAnchor>
  <xdr:twoCellAnchor editAs="oneCell">
    <xdr:from>
      <xdr:col>8</xdr:col>
      <xdr:colOff>95250</xdr:colOff>
      <xdr:row>34</xdr:row>
      <xdr:rowOff>2628900</xdr:rowOff>
    </xdr:from>
    <xdr:to>
      <xdr:col>8</xdr:col>
      <xdr:colOff>3800475</xdr:colOff>
      <xdr:row>34</xdr:row>
      <xdr:rowOff>4276725</xdr:rowOff>
    </xdr:to>
    <xdr:pic>
      <xdr:nvPicPr>
        <xdr:cNvPr id="19" name="Picture 6">
          <a:extLst>
            <a:ext uri="{FF2B5EF4-FFF2-40B4-BE49-F238E27FC236}">
              <a16:creationId xmlns:a16="http://schemas.microsoft.com/office/drawing/2014/main" id="{1A684F06-0975-9FC4-C1A9-BA4A614B664B}"/>
            </a:ext>
            <a:ext uri="{147F2762-F138-4A5C-976F-8EAC2B608ADB}">
              <a16:predDERef xmlns:a16="http://schemas.microsoft.com/office/drawing/2014/main" pred="{BA29E85E-BB04-E5BB-3FEC-47D2E04E14B0}"/>
            </a:ext>
          </a:extLst>
        </xdr:cNvPr>
        <xdr:cNvPicPr>
          <a:picLocks noChangeAspect="1"/>
        </xdr:cNvPicPr>
      </xdr:nvPicPr>
      <xdr:blipFill>
        <a:blip xmlns:r="http://schemas.openxmlformats.org/officeDocument/2006/relationships" r:embed="rId3"/>
        <a:stretch>
          <a:fillRect/>
        </a:stretch>
      </xdr:blipFill>
      <xdr:spPr>
        <a:xfrm>
          <a:off x="6010275" y="34823400"/>
          <a:ext cx="3705225" cy="1647825"/>
        </a:xfrm>
        <a:prstGeom prst="rect">
          <a:avLst/>
        </a:prstGeom>
      </xdr:spPr>
    </xdr:pic>
    <xdr:clientData/>
  </xdr:twoCellAnchor>
  <xdr:twoCellAnchor editAs="oneCell">
    <xdr:from>
      <xdr:col>9</xdr:col>
      <xdr:colOff>85725</xdr:colOff>
      <xdr:row>34</xdr:row>
      <xdr:rowOff>2562225</xdr:rowOff>
    </xdr:from>
    <xdr:to>
      <xdr:col>9</xdr:col>
      <xdr:colOff>3876675</xdr:colOff>
      <xdr:row>34</xdr:row>
      <xdr:rowOff>4238625</xdr:rowOff>
    </xdr:to>
    <xdr:pic>
      <xdr:nvPicPr>
        <xdr:cNvPr id="8" name="Picture 7">
          <a:extLst>
            <a:ext uri="{FF2B5EF4-FFF2-40B4-BE49-F238E27FC236}">
              <a16:creationId xmlns:a16="http://schemas.microsoft.com/office/drawing/2014/main" id="{D9DA1650-F8E5-ADE6-6348-D26F85CF2605}"/>
            </a:ext>
            <a:ext uri="{147F2762-F138-4A5C-976F-8EAC2B608ADB}">
              <a16:predDERef xmlns:a16="http://schemas.microsoft.com/office/drawing/2014/main" pred="{1A684F06-0975-9FC4-C1A9-BA4A614B664B}"/>
            </a:ext>
          </a:extLst>
        </xdr:cNvPr>
        <xdr:cNvPicPr>
          <a:picLocks noChangeAspect="1"/>
        </xdr:cNvPicPr>
      </xdr:nvPicPr>
      <xdr:blipFill>
        <a:blip xmlns:r="http://schemas.openxmlformats.org/officeDocument/2006/relationships" r:embed="rId4"/>
        <a:stretch>
          <a:fillRect/>
        </a:stretch>
      </xdr:blipFill>
      <xdr:spPr>
        <a:xfrm>
          <a:off x="10048875" y="34756725"/>
          <a:ext cx="3790950" cy="1676400"/>
        </a:xfrm>
        <a:prstGeom prst="rect">
          <a:avLst/>
        </a:prstGeom>
      </xdr:spPr>
    </xdr:pic>
    <xdr:clientData/>
  </xdr:twoCellAnchor>
  <xdr:twoCellAnchor editAs="oneCell">
    <xdr:from>
      <xdr:col>8</xdr:col>
      <xdr:colOff>352425</xdr:colOff>
      <xdr:row>2</xdr:row>
      <xdr:rowOff>1171575</xdr:rowOff>
    </xdr:from>
    <xdr:to>
      <xdr:col>8</xdr:col>
      <xdr:colOff>3543300</xdr:colOff>
      <xdr:row>2</xdr:row>
      <xdr:rowOff>3562350</xdr:rowOff>
    </xdr:to>
    <xdr:pic>
      <xdr:nvPicPr>
        <xdr:cNvPr id="28" name="Picture 8">
          <a:extLst>
            <a:ext uri="{FF2B5EF4-FFF2-40B4-BE49-F238E27FC236}">
              <a16:creationId xmlns:a16="http://schemas.microsoft.com/office/drawing/2014/main" id="{A76EC694-9710-5648-4CF5-165C00E319AC}"/>
            </a:ext>
            <a:ext uri="{147F2762-F138-4A5C-976F-8EAC2B608ADB}">
              <a16:predDERef xmlns:a16="http://schemas.microsoft.com/office/drawing/2014/main" pred="{D9DA1650-F8E5-ADE6-6348-D26F85CF2605}"/>
            </a:ext>
          </a:extLst>
        </xdr:cNvPr>
        <xdr:cNvPicPr>
          <a:picLocks noChangeAspect="1"/>
        </xdr:cNvPicPr>
      </xdr:nvPicPr>
      <xdr:blipFill>
        <a:blip xmlns:r="http://schemas.openxmlformats.org/officeDocument/2006/relationships" r:embed="rId5"/>
        <a:stretch>
          <a:fillRect/>
        </a:stretch>
      </xdr:blipFill>
      <xdr:spPr>
        <a:xfrm>
          <a:off x="6267450" y="1933575"/>
          <a:ext cx="3190875" cy="2390775"/>
        </a:xfrm>
        <a:prstGeom prst="rect">
          <a:avLst/>
        </a:prstGeom>
      </xdr:spPr>
    </xdr:pic>
    <xdr:clientData/>
  </xdr:twoCellAnchor>
  <xdr:twoCellAnchor editAs="oneCell">
    <xdr:from>
      <xdr:col>8</xdr:col>
      <xdr:colOff>400050</xdr:colOff>
      <xdr:row>2</xdr:row>
      <xdr:rowOff>3638550</xdr:rowOff>
    </xdr:from>
    <xdr:to>
      <xdr:col>8</xdr:col>
      <xdr:colOff>3343275</xdr:colOff>
      <xdr:row>2</xdr:row>
      <xdr:rowOff>4333875</xdr:rowOff>
    </xdr:to>
    <xdr:pic>
      <xdr:nvPicPr>
        <xdr:cNvPr id="10" name="Picture 9">
          <a:extLst>
            <a:ext uri="{FF2B5EF4-FFF2-40B4-BE49-F238E27FC236}">
              <a16:creationId xmlns:a16="http://schemas.microsoft.com/office/drawing/2014/main" id="{E45F22B1-2E89-5957-1015-3314686FCA4F}"/>
            </a:ext>
            <a:ext uri="{147F2762-F138-4A5C-976F-8EAC2B608ADB}">
              <a16:predDERef xmlns:a16="http://schemas.microsoft.com/office/drawing/2014/main" pred="{A76EC694-9710-5648-4CF5-165C00E319AC}"/>
            </a:ext>
          </a:extLst>
        </xdr:cNvPr>
        <xdr:cNvPicPr>
          <a:picLocks noChangeAspect="1"/>
        </xdr:cNvPicPr>
      </xdr:nvPicPr>
      <xdr:blipFill>
        <a:blip xmlns:r="http://schemas.openxmlformats.org/officeDocument/2006/relationships" r:embed="rId6"/>
        <a:stretch>
          <a:fillRect/>
        </a:stretch>
      </xdr:blipFill>
      <xdr:spPr>
        <a:xfrm>
          <a:off x="6315075" y="17097375"/>
          <a:ext cx="2943225" cy="695325"/>
        </a:xfrm>
        <a:prstGeom prst="rect">
          <a:avLst/>
        </a:prstGeom>
      </xdr:spPr>
    </xdr:pic>
    <xdr:clientData/>
  </xdr:twoCellAnchor>
  <xdr:twoCellAnchor editAs="oneCell">
    <xdr:from>
      <xdr:col>8</xdr:col>
      <xdr:colOff>304800</xdr:colOff>
      <xdr:row>6</xdr:row>
      <xdr:rowOff>361950</xdr:rowOff>
    </xdr:from>
    <xdr:to>
      <xdr:col>8</xdr:col>
      <xdr:colOff>3600450</xdr:colOff>
      <xdr:row>6</xdr:row>
      <xdr:rowOff>2257425</xdr:rowOff>
    </xdr:to>
    <xdr:pic>
      <xdr:nvPicPr>
        <xdr:cNvPr id="11" name="Picture 10">
          <a:extLst>
            <a:ext uri="{FF2B5EF4-FFF2-40B4-BE49-F238E27FC236}">
              <a16:creationId xmlns:a16="http://schemas.microsoft.com/office/drawing/2014/main" id="{A5852BDE-89DA-ED84-613F-CFE24DAD2B57}"/>
            </a:ext>
            <a:ext uri="{147F2762-F138-4A5C-976F-8EAC2B608ADB}">
              <a16:predDERef xmlns:a16="http://schemas.microsoft.com/office/drawing/2014/main" pred="{E45F22B1-2E89-5957-1015-3314686FCA4F}"/>
            </a:ext>
          </a:extLst>
        </xdr:cNvPr>
        <xdr:cNvPicPr>
          <a:picLocks noChangeAspect="1"/>
        </xdr:cNvPicPr>
      </xdr:nvPicPr>
      <xdr:blipFill>
        <a:blip xmlns:r="http://schemas.openxmlformats.org/officeDocument/2006/relationships" r:embed="rId7"/>
        <a:stretch>
          <a:fillRect/>
        </a:stretch>
      </xdr:blipFill>
      <xdr:spPr>
        <a:xfrm>
          <a:off x="6219825" y="30632400"/>
          <a:ext cx="3295650" cy="1895475"/>
        </a:xfrm>
        <a:prstGeom prst="rect">
          <a:avLst/>
        </a:prstGeom>
      </xdr:spPr>
    </xdr:pic>
    <xdr:clientData/>
  </xdr:twoCellAnchor>
  <xdr:twoCellAnchor editAs="oneCell">
    <xdr:from>
      <xdr:col>8</xdr:col>
      <xdr:colOff>333375</xdr:colOff>
      <xdr:row>19</xdr:row>
      <xdr:rowOff>1990725</xdr:rowOff>
    </xdr:from>
    <xdr:to>
      <xdr:col>8</xdr:col>
      <xdr:colOff>3324225</xdr:colOff>
      <xdr:row>19</xdr:row>
      <xdr:rowOff>4819650</xdr:rowOff>
    </xdr:to>
    <xdr:pic>
      <xdr:nvPicPr>
        <xdr:cNvPr id="12" name="Picture 11">
          <a:extLst>
            <a:ext uri="{FF2B5EF4-FFF2-40B4-BE49-F238E27FC236}">
              <a16:creationId xmlns:a16="http://schemas.microsoft.com/office/drawing/2014/main" id="{BCFB0FC0-E73E-3DF4-1CED-E4B60F02CA53}"/>
            </a:ext>
            <a:ext uri="{147F2762-F138-4A5C-976F-8EAC2B608ADB}">
              <a16:predDERef xmlns:a16="http://schemas.microsoft.com/office/drawing/2014/main" pred="{A5852BDE-89DA-ED84-613F-CFE24DAD2B57}"/>
            </a:ext>
          </a:extLst>
        </xdr:cNvPr>
        <xdr:cNvPicPr>
          <a:picLocks noChangeAspect="1"/>
        </xdr:cNvPicPr>
      </xdr:nvPicPr>
      <xdr:blipFill>
        <a:blip xmlns:r="http://schemas.openxmlformats.org/officeDocument/2006/relationships" r:embed="rId8"/>
        <a:stretch>
          <a:fillRect/>
        </a:stretch>
      </xdr:blipFill>
      <xdr:spPr>
        <a:xfrm>
          <a:off x="6248400" y="30251400"/>
          <a:ext cx="2990850" cy="2828925"/>
        </a:xfrm>
        <a:prstGeom prst="rect">
          <a:avLst/>
        </a:prstGeom>
      </xdr:spPr>
    </xdr:pic>
    <xdr:clientData/>
  </xdr:twoCellAnchor>
  <xdr:twoCellAnchor editAs="oneCell">
    <xdr:from>
      <xdr:col>9</xdr:col>
      <xdr:colOff>361950</xdr:colOff>
      <xdr:row>19</xdr:row>
      <xdr:rowOff>2390775</xdr:rowOff>
    </xdr:from>
    <xdr:to>
      <xdr:col>9</xdr:col>
      <xdr:colOff>3381375</xdr:colOff>
      <xdr:row>19</xdr:row>
      <xdr:rowOff>4657725</xdr:rowOff>
    </xdr:to>
    <xdr:pic>
      <xdr:nvPicPr>
        <xdr:cNvPr id="13" name="Picture 12">
          <a:extLst>
            <a:ext uri="{FF2B5EF4-FFF2-40B4-BE49-F238E27FC236}">
              <a16:creationId xmlns:a16="http://schemas.microsoft.com/office/drawing/2014/main" id="{7704973A-6D25-6FA7-2FA7-05A2E19ECB7B}"/>
            </a:ext>
            <a:ext uri="{147F2762-F138-4A5C-976F-8EAC2B608ADB}">
              <a16:predDERef xmlns:a16="http://schemas.microsoft.com/office/drawing/2014/main" pred="{BCFB0FC0-E73E-3DF4-1CED-E4B60F02CA53}"/>
            </a:ext>
          </a:extLst>
        </xdr:cNvPr>
        <xdr:cNvPicPr>
          <a:picLocks noChangeAspect="1"/>
        </xdr:cNvPicPr>
      </xdr:nvPicPr>
      <xdr:blipFill>
        <a:blip xmlns:r="http://schemas.openxmlformats.org/officeDocument/2006/relationships" r:embed="rId9"/>
        <a:stretch>
          <a:fillRect/>
        </a:stretch>
      </xdr:blipFill>
      <xdr:spPr>
        <a:xfrm>
          <a:off x="10325100" y="18545175"/>
          <a:ext cx="3019425" cy="2266950"/>
        </a:xfrm>
        <a:prstGeom prst="rect">
          <a:avLst/>
        </a:prstGeom>
      </xdr:spPr>
    </xdr:pic>
    <xdr:clientData/>
  </xdr:twoCellAnchor>
  <xdr:twoCellAnchor editAs="oneCell">
    <xdr:from>
      <xdr:col>8</xdr:col>
      <xdr:colOff>276225</xdr:colOff>
      <xdr:row>40</xdr:row>
      <xdr:rowOff>781050</xdr:rowOff>
    </xdr:from>
    <xdr:to>
      <xdr:col>8</xdr:col>
      <xdr:colOff>3752850</xdr:colOff>
      <xdr:row>40</xdr:row>
      <xdr:rowOff>4391025</xdr:rowOff>
    </xdr:to>
    <xdr:pic>
      <xdr:nvPicPr>
        <xdr:cNvPr id="15" name="Picture 14">
          <a:extLst>
            <a:ext uri="{FF2B5EF4-FFF2-40B4-BE49-F238E27FC236}">
              <a16:creationId xmlns:a16="http://schemas.microsoft.com/office/drawing/2014/main" id="{E64D0AE2-AD44-B517-2702-08FB8D4025C1}"/>
            </a:ext>
            <a:ext uri="{147F2762-F138-4A5C-976F-8EAC2B608ADB}">
              <a16:predDERef xmlns:a16="http://schemas.microsoft.com/office/drawing/2014/main" pred="{7704973A-6D25-6FA7-2FA7-05A2E19ECB7B}"/>
            </a:ext>
          </a:extLst>
        </xdr:cNvPr>
        <xdr:cNvPicPr>
          <a:picLocks noChangeAspect="1"/>
        </xdr:cNvPicPr>
      </xdr:nvPicPr>
      <xdr:blipFill>
        <a:blip xmlns:r="http://schemas.openxmlformats.org/officeDocument/2006/relationships" r:embed="rId10"/>
        <a:stretch>
          <a:fillRect/>
        </a:stretch>
      </xdr:blipFill>
      <xdr:spPr>
        <a:xfrm>
          <a:off x="6191250" y="40509825"/>
          <a:ext cx="3476625" cy="3609975"/>
        </a:xfrm>
        <a:prstGeom prst="rect">
          <a:avLst/>
        </a:prstGeom>
      </xdr:spPr>
    </xdr:pic>
    <xdr:clientData/>
  </xdr:twoCellAnchor>
  <xdr:twoCellAnchor editAs="oneCell">
    <xdr:from>
      <xdr:col>9</xdr:col>
      <xdr:colOff>123825</xdr:colOff>
      <xdr:row>42</xdr:row>
      <xdr:rowOff>1085850</xdr:rowOff>
    </xdr:from>
    <xdr:to>
      <xdr:col>9</xdr:col>
      <xdr:colOff>3686175</xdr:colOff>
      <xdr:row>42</xdr:row>
      <xdr:rowOff>2724150</xdr:rowOff>
    </xdr:to>
    <xdr:pic>
      <xdr:nvPicPr>
        <xdr:cNvPr id="26" name="Picture 19">
          <a:extLst>
            <a:ext uri="{FF2B5EF4-FFF2-40B4-BE49-F238E27FC236}">
              <a16:creationId xmlns:a16="http://schemas.microsoft.com/office/drawing/2014/main" id="{82438CB1-6531-42D2-86B8-C4E34D1DA93A}"/>
            </a:ext>
            <a:ext uri="{147F2762-F138-4A5C-976F-8EAC2B608ADB}">
              <a16:predDERef xmlns:a16="http://schemas.microsoft.com/office/drawing/2014/main" pred="{E64D0AE2-AD44-B517-2702-08FB8D4025C1}"/>
            </a:ext>
          </a:extLst>
        </xdr:cNvPr>
        <xdr:cNvPicPr>
          <a:picLocks noChangeAspect="1"/>
        </xdr:cNvPicPr>
      </xdr:nvPicPr>
      <xdr:blipFill>
        <a:blip xmlns:r="http://schemas.openxmlformats.org/officeDocument/2006/relationships" r:embed="rId11"/>
        <a:stretch>
          <a:fillRect/>
        </a:stretch>
      </xdr:blipFill>
      <xdr:spPr>
        <a:xfrm>
          <a:off x="10086975" y="46310550"/>
          <a:ext cx="3562350" cy="1638300"/>
        </a:xfrm>
        <a:prstGeom prst="rect">
          <a:avLst/>
        </a:prstGeom>
      </xdr:spPr>
    </xdr:pic>
    <xdr:clientData/>
  </xdr:twoCellAnchor>
  <xdr:twoCellAnchor editAs="oneCell">
    <xdr:from>
      <xdr:col>9</xdr:col>
      <xdr:colOff>314325</xdr:colOff>
      <xdr:row>2</xdr:row>
      <xdr:rowOff>1685925</xdr:rowOff>
    </xdr:from>
    <xdr:to>
      <xdr:col>9</xdr:col>
      <xdr:colOff>3562350</xdr:colOff>
      <xdr:row>2</xdr:row>
      <xdr:rowOff>4724400</xdr:rowOff>
    </xdr:to>
    <xdr:pic>
      <xdr:nvPicPr>
        <xdr:cNvPr id="3" name="Picture 2">
          <a:extLst>
            <a:ext uri="{FF2B5EF4-FFF2-40B4-BE49-F238E27FC236}">
              <a16:creationId xmlns:a16="http://schemas.microsoft.com/office/drawing/2014/main" id="{33719AC5-28F7-C374-9BF4-AD49F567D74F}"/>
            </a:ext>
            <a:ext uri="{147F2762-F138-4A5C-976F-8EAC2B608ADB}">
              <a16:predDERef xmlns:a16="http://schemas.microsoft.com/office/drawing/2014/main" pred="{82438CB1-6531-42D2-86B8-C4E34D1DA93A}"/>
            </a:ext>
          </a:extLst>
        </xdr:cNvPr>
        <xdr:cNvPicPr>
          <a:picLocks noChangeAspect="1"/>
        </xdr:cNvPicPr>
      </xdr:nvPicPr>
      <xdr:blipFill>
        <a:blip xmlns:r="http://schemas.openxmlformats.org/officeDocument/2006/relationships" r:embed="rId12"/>
        <a:stretch>
          <a:fillRect/>
        </a:stretch>
      </xdr:blipFill>
      <xdr:spPr>
        <a:xfrm>
          <a:off x="10991850" y="2447925"/>
          <a:ext cx="3248025" cy="3038475"/>
        </a:xfrm>
        <a:prstGeom prst="rect">
          <a:avLst/>
        </a:prstGeom>
      </xdr:spPr>
    </xdr:pic>
    <xdr:clientData/>
  </xdr:twoCellAnchor>
  <xdr:twoCellAnchor editAs="oneCell">
    <xdr:from>
      <xdr:col>12</xdr:col>
      <xdr:colOff>0</xdr:colOff>
      <xdr:row>42</xdr:row>
      <xdr:rowOff>0</xdr:rowOff>
    </xdr:from>
    <xdr:to>
      <xdr:col>12</xdr:col>
      <xdr:colOff>3028950</xdr:colOff>
      <xdr:row>42</xdr:row>
      <xdr:rowOff>714375</xdr:rowOff>
    </xdr:to>
    <xdr:pic>
      <xdr:nvPicPr>
        <xdr:cNvPr id="7" name="Picture 6">
          <a:extLst>
            <a:ext uri="{FF2B5EF4-FFF2-40B4-BE49-F238E27FC236}">
              <a16:creationId xmlns:a16="http://schemas.microsoft.com/office/drawing/2014/main" id="{047221D4-0D1C-5882-A7C5-F3CE30C440B2}"/>
            </a:ext>
            <a:ext uri="{147F2762-F138-4A5C-976F-8EAC2B608ADB}">
              <a16:predDERef xmlns:a16="http://schemas.microsoft.com/office/drawing/2014/main" pred="{33719AC5-28F7-C374-9BF4-AD49F567D74F}"/>
            </a:ext>
          </a:extLst>
        </xdr:cNvPr>
        <xdr:cNvPicPr>
          <a:picLocks noChangeAspect="1"/>
        </xdr:cNvPicPr>
      </xdr:nvPicPr>
      <xdr:blipFill>
        <a:blip xmlns:r="http://schemas.openxmlformats.org/officeDocument/2006/relationships" r:embed="rId13"/>
        <a:stretch>
          <a:fillRect/>
        </a:stretch>
      </xdr:blipFill>
      <xdr:spPr>
        <a:xfrm>
          <a:off x="16735425" y="45986700"/>
          <a:ext cx="3028950" cy="714375"/>
        </a:xfrm>
        <a:prstGeom prst="rect">
          <a:avLst/>
        </a:prstGeom>
      </xdr:spPr>
    </xdr:pic>
    <xdr:clientData/>
  </xdr:twoCellAnchor>
  <xdr:twoCellAnchor editAs="oneCell">
    <xdr:from>
      <xdr:col>8</xdr:col>
      <xdr:colOff>104775</xdr:colOff>
      <xdr:row>49</xdr:row>
      <xdr:rowOff>1095375</xdr:rowOff>
    </xdr:from>
    <xdr:to>
      <xdr:col>9</xdr:col>
      <xdr:colOff>628650</xdr:colOff>
      <xdr:row>49</xdr:row>
      <xdr:rowOff>1323975</xdr:rowOff>
    </xdr:to>
    <xdr:pic>
      <xdr:nvPicPr>
        <xdr:cNvPr id="9" name="Picture 8">
          <a:extLst>
            <a:ext uri="{FF2B5EF4-FFF2-40B4-BE49-F238E27FC236}">
              <a16:creationId xmlns:a16="http://schemas.microsoft.com/office/drawing/2014/main" id="{37F5F87F-2736-4EC0-7E79-C02F20EABE5E}"/>
            </a:ext>
            <a:ext uri="{147F2762-F138-4A5C-976F-8EAC2B608ADB}">
              <a16:predDERef xmlns:a16="http://schemas.microsoft.com/office/drawing/2014/main" pred="{047221D4-0D1C-5882-A7C5-F3CE30C440B2}"/>
            </a:ext>
          </a:extLst>
        </xdr:cNvPr>
        <xdr:cNvPicPr>
          <a:picLocks noChangeAspect="1"/>
        </xdr:cNvPicPr>
      </xdr:nvPicPr>
      <xdr:blipFill>
        <a:blip xmlns:r="http://schemas.openxmlformats.org/officeDocument/2006/relationships" r:embed="rId14"/>
        <a:stretch>
          <a:fillRect/>
        </a:stretch>
      </xdr:blipFill>
      <xdr:spPr>
        <a:xfrm>
          <a:off x="6734175" y="53654325"/>
          <a:ext cx="4572000" cy="228600"/>
        </a:xfrm>
        <a:prstGeom prst="rect">
          <a:avLst/>
        </a:prstGeom>
      </xdr:spPr>
    </xdr:pic>
    <xdr:clientData/>
  </xdr:twoCellAnchor>
  <xdr:twoCellAnchor editAs="oneCell">
    <xdr:from>
      <xdr:col>9</xdr:col>
      <xdr:colOff>0</xdr:colOff>
      <xdr:row>53</xdr:row>
      <xdr:rowOff>0</xdr:rowOff>
    </xdr:from>
    <xdr:to>
      <xdr:col>10</xdr:col>
      <xdr:colOff>523875</xdr:colOff>
      <xdr:row>53</xdr:row>
      <xdr:rowOff>1371600</xdr:rowOff>
    </xdr:to>
    <xdr:pic>
      <xdr:nvPicPr>
        <xdr:cNvPr id="4" name="Picture 3">
          <a:extLst>
            <a:ext uri="{FF2B5EF4-FFF2-40B4-BE49-F238E27FC236}">
              <a16:creationId xmlns:a16="http://schemas.microsoft.com/office/drawing/2014/main" id="{10482488-FF1C-E91B-1A34-5B5E9A10940A}"/>
            </a:ext>
            <a:ext uri="{147F2762-F138-4A5C-976F-8EAC2B608ADB}">
              <a16:predDERef xmlns:a16="http://schemas.microsoft.com/office/drawing/2014/main" pred="{37F5F87F-2736-4EC0-7E79-C02F20EABE5E}"/>
            </a:ext>
          </a:extLst>
        </xdr:cNvPr>
        <xdr:cNvPicPr>
          <a:picLocks noChangeAspect="1"/>
        </xdr:cNvPicPr>
      </xdr:nvPicPr>
      <xdr:blipFill>
        <a:blip xmlns:r="http://schemas.openxmlformats.org/officeDocument/2006/relationships" r:embed="rId15"/>
        <a:stretch>
          <a:fillRect/>
        </a:stretch>
      </xdr:blipFill>
      <xdr:spPr>
        <a:xfrm>
          <a:off x="10677525" y="60112275"/>
          <a:ext cx="4572000" cy="1371600"/>
        </a:xfrm>
        <a:prstGeom prst="rect">
          <a:avLst/>
        </a:prstGeom>
      </xdr:spPr>
    </xdr:pic>
    <xdr:clientData/>
  </xdr:twoCellAnchor>
  <xdr:twoCellAnchor editAs="oneCell">
    <xdr:from>
      <xdr:col>8</xdr:col>
      <xdr:colOff>190500</xdr:colOff>
      <xdr:row>58</xdr:row>
      <xdr:rowOff>781050</xdr:rowOff>
    </xdr:from>
    <xdr:to>
      <xdr:col>8</xdr:col>
      <xdr:colOff>3190875</xdr:colOff>
      <xdr:row>58</xdr:row>
      <xdr:rowOff>3705225</xdr:rowOff>
    </xdr:to>
    <xdr:pic>
      <xdr:nvPicPr>
        <xdr:cNvPr id="5" name="Picture 4">
          <a:extLst>
            <a:ext uri="{FF2B5EF4-FFF2-40B4-BE49-F238E27FC236}">
              <a16:creationId xmlns:a16="http://schemas.microsoft.com/office/drawing/2014/main" id="{12DE6D7D-2CF0-CA89-2710-3EA1ECAAC0D6}"/>
            </a:ext>
            <a:ext uri="{147F2762-F138-4A5C-976F-8EAC2B608ADB}">
              <a16:predDERef xmlns:a16="http://schemas.microsoft.com/office/drawing/2014/main" pred="{10482488-FF1C-E91B-1A34-5B5E9A10940A}"/>
            </a:ext>
          </a:extLst>
        </xdr:cNvPr>
        <xdr:cNvPicPr>
          <a:picLocks noChangeAspect="1"/>
        </xdr:cNvPicPr>
      </xdr:nvPicPr>
      <xdr:blipFill>
        <a:blip xmlns:r="http://schemas.openxmlformats.org/officeDocument/2006/relationships" r:embed="rId16"/>
        <a:stretch>
          <a:fillRect/>
        </a:stretch>
      </xdr:blipFill>
      <xdr:spPr>
        <a:xfrm>
          <a:off x="6819900" y="66532125"/>
          <a:ext cx="3000375" cy="29241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5959.500810879632" createdVersion="8" refreshedVersion="8" minRefreshableVersion="3" recordCount="59" xr:uid="{4DC1F01B-5B9B-473D-9D96-A990DDABF824}">
  <cacheSource type="worksheet">
    <worksheetSource ref="B1:D1048576" sheet="DEFECTS"/>
  </cacheSource>
  <cacheFields count="2">
    <cacheField name="Date Reported" numFmtId="0">
      <sharedItems containsNonDate="0" containsDate="1" containsString="0" containsBlank="1" minDate="2025-10-21T00:00:00" maxDate="2025-10-25T00:00:00" count="5">
        <d v="2025-10-22T00:00:00"/>
        <d v="2025-10-24T00:00:00"/>
        <d v="2025-10-23T00:00:00"/>
        <d v="2025-10-21T00:00:00"/>
        <m/>
      </sharedItems>
    </cacheField>
    <cacheField name="Scenario Type" numFmtId="0">
      <sharedItems containsBlank="1" count="3">
        <s v="Functionality"/>
        <s v="UI"/>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5985.723877199074" createdVersion="8" refreshedVersion="8" minRefreshableVersion="3" recordCount="54" xr:uid="{783D4F07-73F9-4C01-A1ED-DC0CB0DB3350}">
  <cacheSource type="worksheet">
    <worksheetSource ref="A1:N56" sheet="DEFECTS"/>
  </cacheSource>
  <cacheFields count="14">
    <cacheField name="ID" numFmtId="0">
      <sharedItems containsSemiMixedTypes="0" containsString="0" containsNumber="1" containsInteger="1" minValue="1" maxValue="54"/>
    </cacheField>
    <cacheField name="Date Reported" numFmtId="0">
      <sharedItems containsNonDate="0" containsDate="1" containsString="0" containsBlank="1" minDate="2025-10-21T00:00:00" maxDate="2025-11-18T00:00:00" count="8">
        <d v="2025-10-22T00:00:00"/>
        <d v="2025-10-24T00:00:00"/>
        <d v="2025-10-23T00:00:00"/>
        <d v="2025-10-21T00:00:00"/>
        <d v="2025-11-03T00:00:00"/>
        <d v="2025-11-13T00:00:00"/>
        <d v="2025-11-17T00:00:00"/>
        <m/>
      </sharedItems>
    </cacheField>
    <cacheField name="Interface" numFmtId="164">
      <sharedItems containsBlank="1"/>
    </cacheField>
    <cacheField name="Scenario Type" numFmtId="0">
      <sharedItems containsBlank="1" count="3">
        <s v="Functionality"/>
        <s v="UI"/>
        <m/>
      </sharedItems>
    </cacheField>
    <cacheField name="Bug Type" numFmtId="0">
      <sharedItems containsBlank="1" count="4">
        <s v="Major"/>
        <s v="Minor"/>
        <s v="Regression"/>
        <m/>
      </sharedItems>
    </cacheField>
    <cacheField name="Status" numFmtId="0">
      <sharedItems containsBlank="1" count="5">
        <s v="Resolved"/>
        <s v="Return to Dev"/>
        <s v="No Action"/>
        <s v="New"/>
        <m/>
      </sharedItems>
    </cacheField>
    <cacheField name="Window_x000a_Column(s)" numFmtId="0">
      <sharedItems containsBlank="1"/>
    </cacheField>
    <cacheField name="Summary" numFmtId="0">
      <sharedItems containsBlank="1"/>
    </cacheField>
    <cacheField name="Defect_x000a_(NG Display, Scenario)" numFmtId="0">
      <sharedItems containsBlank="1" longText="1"/>
    </cacheField>
    <cacheField name="Testing Comments" numFmtId="0">
      <sharedItems containsBlank="1" longText="1"/>
    </cacheField>
    <cacheField name="Date_x000a_Retest" numFmtId="164">
      <sharedItems containsNonDate="0" containsDate="1" containsString="0" containsBlank="1" minDate="2025-11-13T00:00:00" maxDate="2025-11-25T00:00:00"/>
    </cacheField>
    <cacheField name="Retest_x000a_Pass/Fail" numFmtId="0">
      <sharedItems containsBlank="1"/>
    </cacheField>
    <cacheField name="BSA Comments" numFmtId="0">
      <sharedItems containsBlank="1" longText="1"/>
    </cacheField>
    <cacheField name="Dev Comment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5985.724554629633" createdVersion="8" refreshedVersion="8" minRefreshableVersion="3" recordCount="66" xr:uid="{D8DD4ED8-915C-4ADC-8620-CE80CB910471}">
  <cacheSource type="worksheet">
    <worksheetSource ref="B1:E1048576" sheet="DEFECTS"/>
  </cacheSource>
  <cacheFields count="4">
    <cacheField name="Date Reported" numFmtId="0">
      <sharedItems containsNonDate="0" containsDate="1" containsString="0" containsBlank="1" minDate="2025-10-21T00:00:00" maxDate="2025-11-18T00:00:00" count="8">
        <d v="2025-10-22T00:00:00"/>
        <d v="2025-10-24T00:00:00"/>
        <d v="2025-10-23T00:00:00"/>
        <d v="2025-10-21T00:00:00"/>
        <d v="2025-11-03T00:00:00"/>
        <d v="2025-11-13T00:00:00"/>
        <d v="2025-11-17T00:00:00"/>
        <m/>
      </sharedItems>
    </cacheField>
    <cacheField name="Interface" numFmtId="0">
      <sharedItems containsBlank="1"/>
    </cacheField>
    <cacheField name="Scenario Type" numFmtId="0">
      <sharedItems containsBlank="1"/>
    </cacheField>
    <cacheField name="Bug Type" numFmtId="0">
      <sharedItems containsBlank="1" count="4">
        <s v="Major"/>
        <s v="Minor"/>
        <s v="Regression"/>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06.709940046298" createdVersion="8" refreshedVersion="8" minRefreshableVersion="3" recordCount="57" xr:uid="{50BB3BF7-5572-4938-8ECF-5D7EE9FAF814}">
  <cacheSource type="worksheet">
    <worksheetSource ref="A1:N58" sheet="DEFECTS"/>
  </cacheSource>
  <cacheFields count="14">
    <cacheField name="ID" numFmtId="0">
      <sharedItems containsSemiMixedTypes="0" containsString="0" containsNumber="1" containsInteger="1" minValue="1" maxValue="57"/>
    </cacheField>
    <cacheField name="Date Reported" numFmtId="0">
      <sharedItems containsSemiMixedTypes="0" containsNonDate="0" containsDate="1" containsString="0" minDate="2025-10-21T00:00:00" maxDate="2025-12-12T00:00:00" count="9">
        <d v="2025-10-22T00:00:00"/>
        <d v="2025-10-24T00:00:00"/>
        <d v="2025-10-23T00:00:00"/>
        <d v="2025-10-21T00:00:00"/>
        <d v="2025-11-03T00:00:00"/>
        <d v="2025-11-13T00:00:00"/>
        <d v="2025-11-17T00:00:00"/>
        <d v="2025-12-04T00:00:00"/>
        <d v="2025-12-11T00:00:00"/>
      </sharedItems>
    </cacheField>
    <cacheField name="Interface" numFmtId="164">
      <sharedItems/>
    </cacheField>
    <cacheField name="Scenario Type" numFmtId="0">
      <sharedItems count="2">
        <s v="Functionality"/>
        <s v="UI"/>
      </sharedItems>
    </cacheField>
    <cacheField name="Bug Type" numFmtId="0">
      <sharedItems containsBlank="1" count="4">
        <s v="Major"/>
        <s v="Minor"/>
        <s v="Regression"/>
        <m/>
      </sharedItems>
    </cacheField>
    <cacheField name="Status" numFmtId="0">
      <sharedItems count="3">
        <s v="Resolved"/>
        <s v="No Action"/>
        <s v="New"/>
      </sharedItems>
    </cacheField>
    <cacheField name="Window_x000a_Column(s)" numFmtId="0">
      <sharedItems/>
    </cacheField>
    <cacheField name="Summary" numFmtId="0">
      <sharedItems/>
    </cacheField>
    <cacheField name="Defect_x000a_(NG Display, Scenario)" numFmtId="0">
      <sharedItems longText="1"/>
    </cacheField>
    <cacheField name="Testing Comments" numFmtId="0">
      <sharedItems containsBlank="1" longText="1"/>
    </cacheField>
    <cacheField name="Date_x000a_Retest" numFmtId="164">
      <sharedItems containsNonDate="0" containsDate="1" containsString="0" containsBlank="1" minDate="2025-11-13T00:00:00" maxDate="2025-12-11T00:00:00"/>
    </cacheField>
    <cacheField name="Retest_x000a_Pass/Fail" numFmtId="0">
      <sharedItems containsBlank="1"/>
    </cacheField>
    <cacheField name="BSA Comments" numFmtId="0">
      <sharedItems containsBlank="1" longText="1"/>
    </cacheField>
    <cacheField name="Dev Comment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492281365739" createdVersion="8" refreshedVersion="8" minRefreshableVersion="3" recordCount="58" xr:uid="{BB471736-CE38-448C-9020-C3E22494517E}">
  <cacheSource type="worksheet">
    <worksheetSource ref="A1:N59" sheet="DEFECTS"/>
  </cacheSource>
  <cacheFields count="14">
    <cacheField name="ID" numFmtId="0">
      <sharedItems containsSemiMixedTypes="0" containsString="0" containsNumber="1" containsInteger="1" minValue="1" maxValue="58"/>
    </cacheField>
    <cacheField name="Date Reported" numFmtId="0">
      <sharedItems containsSemiMixedTypes="0" containsNonDate="0" containsDate="1" containsString="0" minDate="2025-10-21T00:00:00" maxDate="2025-12-23T00:00:00" count="10">
        <d v="2025-10-22T00:00:00"/>
        <d v="2025-10-24T00:00:00"/>
        <d v="2025-10-23T00:00:00"/>
        <d v="2025-10-21T00:00:00"/>
        <d v="2025-11-03T00:00:00"/>
        <d v="2025-11-13T00:00:00"/>
        <d v="2025-11-17T00:00:00"/>
        <d v="2025-12-04T00:00:00"/>
        <d v="2025-12-11T00:00:00"/>
        <d v="2025-12-22T00:00:00"/>
      </sharedItems>
    </cacheField>
    <cacheField name="Interface" numFmtId="164">
      <sharedItems/>
    </cacheField>
    <cacheField name="Scenario Type" numFmtId="0">
      <sharedItems count="2">
        <s v="Functionality"/>
        <s v="UI"/>
      </sharedItems>
    </cacheField>
    <cacheField name="Bug Type" numFmtId="0">
      <sharedItems containsBlank="1" count="4">
        <s v="Major"/>
        <s v="Minor"/>
        <s v="Regression"/>
        <m/>
      </sharedItems>
    </cacheField>
    <cacheField name="Status" numFmtId="0">
      <sharedItems count="3">
        <s v="Resolved"/>
        <s v="No Action"/>
        <s v="Return to Dev"/>
      </sharedItems>
    </cacheField>
    <cacheField name="Window_x000a_Column(s)" numFmtId="0">
      <sharedItems/>
    </cacheField>
    <cacheField name="Summary" numFmtId="0">
      <sharedItems/>
    </cacheField>
    <cacheField name="Defect_x000a_(NG Display, Scenario)" numFmtId="0">
      <sharedItems longText="1"/>
    </cacheField>
    <cacheField name="Testing Comments" numFmtId="0">
      <sharedItems containsBlank="1" longText="1"/>
    </cacheField>
    <cacheField name="Date_x000a_Retest" numFmtId="164">
      <sharedItems containsNonDate="0" containsDate="1" containsString="0" containsBlank="1" minDate="2025-11-13T00:00:00" maxDate="2025-12-23T00:00:00"/>
    </cacheField>
    <cacheField name="Retest_x000a_Pass/Fail" numFmtId="0">
      <sharedItems containsBlank="1"/>
    </cacheField>
    <cacheField name="BSA Comments" numFmtId="0">
      <sharedItems containsBlank="1" longText="1"/>
    </cacheField>
    <cacheField name="Dev Comment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6.676556134262" createdVersion="8" refreshedVersion="8" minRefreshableVersion="3" recordCount="63" xr:uid="{DF1BB584-D8C2-40A6-8A60-8487B59F0BD8}">
  <cacheSource type="worksheet">
    <worksheetSource ref="A1:N64" sheet="DEFECTS"/>
  </cacheSource>
  <cacheFields count="14">
    <cacheField name="ID" numFmtId="0">
      <sharedItems containsSemiMixedTypes="0" containsString="0" containsNumber="1" containsInteger="1" minValue="1" maxValue="63"/>
    </cacheField>
    <cacheField name="Date Reported" numFmtId="0">
      <sharedItems containsNonDate="0" containsDate="1" containsString="0" containsBlank="1" minDate="2025-10-21T00:00:00" maxDate="2025-12-25T00:00:00"/>
    </cacheField>
    <cacheField name="Interface" numFmtId="164">
      <sharedItems containsBlank="1"/>
    </cacheField>
    <cacheField name="Scenario Type" numFmtId="0">
      <sharedItems containsBlank="1"/>
    </cacheField>
    <cacheField name="Bug Type" numFmtId="0">
      <sharedItems containsBlank="1"/>
    </cacheField>
    <cacheField name="Status" numFmtId="0">
      <sharedItems containsBlank="1" count="3">
        <s v="Resolved"/>
        <s v="No Action"/>
        <m/>
      </sharedItems>
    </cacheField>
    <cacheField name="Window_x000a_Column(s)" numFmtId="0">
      <sharedItems containsBlank="1"/>
    </cacheField>
    <cacheField name="Summary" numFmtId="0">
      <sharedItems containsBlank="1"/>
    </cacheField>
    <cacheField name="Defect_x000a_(NG Display, Scenario)" numFmtId="0">
      <sharedItems containsBlank="1" longText="1"/>
    </cacheField>
    <cacheField name="Testing Comments" numFmtId="0">
      <sharedItems containsBlank="1" longText="1"/>
    </cacheField>
    <cacheField name="Date_x000a_Retest" numFmtId="164">
      <sharedItems containsNonDate="0" containsDate="1" containsString="0" containsBlank="1" minDate="2025-11-13T00:00:00" maxDate="2026-01-15T00:00:00"/>
    </cacheField>
    <cacheField name="Retest_x000a_Pass/Fail" numFmtId="0">
      <sharedItems containsBlank="1"/>
    </cacheField>
    <cacheField name="BSA Comments" numFmtId="0">
      <sharedItems containsBlank="1" longText="1"/>
    </cacheField>
    <cacheField name="Dev Comment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x v="0"/>
  </r>
  <r>
    <x v="0"/>
    <x v="0"/>
  </r>
  <r>
    <x v="0"/>
    <x v="0"/>
  </r>
  <r>
    <x v="0"/>
    <x v="0"/>
  </r>
  <r>
    <x v="1"/>
    <x v="0"/>
  </r>
  <r>
    <x v="2"/>
    <x v="0"/>
  </r>
  <r>
    <x v="3"/>
    <x v="0"/>
  </r>
  <r>
    <x v="0"/>
    <x v="0"/>
  </r>
  <r>
    <x v="0"/>
    <x v="0"/>
  </r>
  <r>
    <x v="0"/>
    <x v="0"/>
  </r>
  <r>
    <x v="0"/>
    <x v="0"/>
  </r>
  <r>
    <x v="0"/>
    <x v="1"/>
  </r>
  <r>
    <x v="0"/>
    <x v="1"/>
  </r>
  <r>
    <x v="0"/>
    <x v="1"/>
  </r>
  <r>
    <x v="0"/>
    <x v="1"/>
  </r>
  <r>
    <x v="0"/>
    <x v="1"/>
  </r>
  <r>
    <x v="0"/>
    <x v="1"/>
  </r>
  <r>
    <x v="0"/>
    <x v="1"/>
  </r>
  <r>
    <x v="2"/>
    <x v="1"/>
  </r>
  <r>
    <x v="2"/>
    <x v="1"/>
  </r>
  <r>
    <x v="3"/>
    <x v="0"/>
  </r>
  <r>
    <x v="0"/>
    <x v="1"/>
  </r>
  <r>
    <x v="0"/>
    <x v="1"/>
  </r>
  <r>
    <x v="0"/>
    <x v="1"/>
  </r>
  <r>
    <x v="3"/>
    <x v="1"/>
  </r>
  <r>
    <x v="0"/>
    <x v="1"/>
  </r>
  <r>
    <x v="0"/>
    <x v="1"/>
  </r>
  <r>
    <x v="0"/>
    <x v="1"/>
  </r>
  <r>
    <x v="3"/>
    <x v="1"/>
  </r>
  <r>
    <x v="0"/>
    <x v="1"/>
  </r>
  <r>
    <x v="0"/>
    <x v="1"/>
  </r>
  <r>
    <x v="0"/>
    <x v="1"/>
  </r>
  <r>
    <x v="0"/>
    <x v="1"/>
  </r>
  <r>
    <x v="0"/>
    <x v="1"/>
  </r>
  <r>
    <x v="0"/>
    <x v="1"/>
  </r>
  <r>
    <x v="0"/>
    <x v="1"/>
  </r>
  <r>
    <x v="0"/>
    <x v="1"/>
  </r>
  <r>
    <x v="1"/>
    <x v="0"/>
  </r>
  <r>
    <x v="1"/>
    <x v="1"/>
  </r>
  <r>
    <x v="1"/>
    <x v="1"/>
  </r>
  <r>
    <x v="1"/>
    <x v="1"/>
  </r>
  <r>
    <x v="1"/>
    <x v="1"/>
  </r>
  <r>
    <x v="4"/>
    <x v="2"/>
  </r>
  <r>
    <x v="4"/>
    <x v="2"/>
  </r>
  <r>
    <x v="4"/>
    <x v="2"/>
  </r>
  <r>
    <x v="4"/>
    <x v="2"/>
  </r>
  <r>
    <x v="4"/>
    <x v="2"/>
  </r>
  <r>
    <x v="4"/>
    <x v="2"/>
  </r>
  <r>
    <x v="4"/>
    <x v="2"/>
  </r>
  <r>
    <x v="4"/>
    <x v="2"/>
  </r>
  <r>
    <x v="4"/>
    <x v="2"/>
  </r>
  <r>
    <x v="4"/>
    <x v="2"/>
  </r>
  <r>
    <x v="4"/>
    <x v="2"/>
  </r>
  <r>
    <x v="4"/>
    <x v="2"/>
  </r>
  <r>
    <x v="4"/>
    <x v="2"/>
  </r>
  <r>
    <x v="4"/>
    <x v="2"/>
  </r>
  <r>
    <x v="4"/>
    <x v="2"/>
  </r>
  <r>
    <x v="4"/>
    <x v="2"/>
  </r>
  <r>
    <x v="4"/>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n v="1"/>
    <x v="0"/>
    <s v="Both"/>
    <x v="0"/>
    <x v="0"/>
    <x v="0"/>
    <s v="Window"/>
    <s v="Window Load Time"/>
    <s v="CRMD: 6 seconds_x000a_CRMQ: 40 seconds"/>
    <s v="CRMD: 2 seconds_x000a_CRMQ: 35 seconds"/>
    <d v="2025-11-13T00:00:00"/>
    <s v="Pass"/>
    <s v="10/29: devs to review_x000a_11/13: Pass. 4 seconds to load in CRMQ!"/>
    <s v="11/6 SM - loads slow 1st time, but ~3s after"/>
  </r>
  <r>
    <n v="2"/>
    <x v="0"/>
    <s v="Both"/>
    <x v="0"/>
    <x v="0"/>
    <x v="1"/>
    <s v="Window"/>
    <s v="Load Time - Results Expected"/>
    <s v="CRMD 10/10/25 - 10/20/25 Job ID All: (Morning) 50 seconds to load 19,712 rows. (~4:50pm) 74 seconds to load 19,712 rows._x000a_CRMQ 10/21/25 - 10/21/25 Job ID All: 24 seconds to load 833 rows._x000a_CRMQ 10/19/25 - 10/20/25 Job ID All: Load failed at 100 seconds. Error message appears. After closing the window, data section will display &quot;No records to display&quot;"/>
    <s v="CRMD 10/10/25 - 10/20/25 Job ID All: (Morning and ~5pm) 4 seconds to load a 19,712 rows._x000a_CRMQ: 10/21/25 - 10/21/25 Job ID All: 19 seconds to load 833 rows._x000a_CRMQ 10/19/25  - 10/20/25 Job ID All: 35 seconds to load 123,785 rows._x000a_- 1 image for this defect"/>
    <d v="2025-11-13T00:00:00"/>
    <s v="Fail"/>
    <s v="10/29: retest later this week; should receive timeout message instead of unexpected error_x000a_11/13: CRMD 10/10 - 10/20 load time is 9 seconds. CRMQ 10/21/25 load time is 20 seconds, which matches Vision. CRMQ 10/19 - 10/20 throws error message the first time loading, then successfully loads in ~95 seconds. CRMQ 10/26 - 10/27 fails first time. Error message is updated:_x000a_11/24: Devs to fix with indexing"/>
    <s v="10/29 SM - error message are more descriptive now"/>
  </r>
  <r>
    <n v="3"/>
    <x v="0"/>
    <s v="Both"/>
    <x v="0"/>
    <x v="0"/>
    <x v="0"/>
    <s v="Window"/>
    <s v="Minimize/ Maximize Vision Application"/>
    <s v="1. Minimize Vision application_x000a_2. Use other windows on device_x000a_3. Select Vision Application_x000a_4a. Job Error Log window opens, shows white, then after 7-8 seconds will show the window again._x000a_4b. Job Error Log window shows white, then after 4 seconds will show previous information._x000a_5. Selecting window after these steps causes lag."/>
    <s v="Job Error Log window is immediately available. There is no lag when selecting rows."/>
    <d v="2025-11-13T00:00:00"/>
    <s v="Pass"/>
    <m/>
    <s v="11/6 SM - not addressed. I don't recall what was discussed during the qa meeting for this."/>
  </r>
  <r>
    <n v="4"/>
    <x v="0"/>
    <s v="Both"/>
    <x v="0"/>
    <x v="1"/>
    <x v="2"/>
    <s v="Error / No Results Found messages"/>
    <s v="Window level buttons work when popup appears"/>
    <s v="1. Search for invalid criteria or criteria with no results._x000a_2. Applicable display message appears._x000a_3. Select window level minimize, maximize, and &quot;X&quot; button - all buttons work."/>
    <s v="The window level buttons are disabled when any messages appear."/>
    <m/>
    <m/>
    <s v="10/29: leave as-is"/>
    <m/>
  </r>
  <r>
    <n v="5"/>
    <x v="1"/>
    <s v="Both"/>
    <x v="0"/>
    <x v="1"/>
    <x v="2"/>
    <s v="Error / No Results Found messages"/>
    <s v="Other Vision areas work when popup appears"/>
    <s v="1. Search for invalid criteria or criteria with no results._x000a_2. Applicable display message appears._x000a_3. Select another window, a first row icon, or any menus in Vision - all options are selectable."/>
    <s v="All other functionality is disabled."/>
    <m/>
    <m/>
    <s v="10/29: leave as-is"/>
    <m/>
  </r>
  <r>
    <n v="6"/>
    <x v="2"/>
    <s v="Both"/>
    <x v="0"/>
    <x v="1"/>
    <x v="2"/>
    <s v="Search field &quot;To Date:&quot;"/>
    <s v="Restricted to &lt;= Sysdate"/>
    <s v="Calendar Date selections are restricted to be &lt;= sysdate."/>
    <s v="Existing window does not have this validation._x000a_- 1 image included"/>
    <m/>
    <m/>
    <s v="10/29: leave as-is"/>
    <m/>
  </r>
  <r>
    <n v="7"/>
    <x v="3"/>
    <s v="Both"/>
    <x v="0"/>
    <x v="0"/>
    <x v="0"/>
    <s v="Vision level &quot;X&quot;"/>
    <s v="Job Error window only closes"/>
    <s v="Selecting the Vision level &quot;X&quot; closes the Job Error Log window only."/>
    <s v="Selecting Vision level &quot;X&quot; closes Vision application."/>
    <d v="2025-11-13T00:00:00"/>
    <s v="Pass"/>
    <s v="10/29: devs to fix"/>
    <s v="10/30 SM - has been addressed via vision update"/>
  </r>
  <r>
    <n v="8"/>
    <x v="0"/>
    <s v="Both"/>
    <x v="0"/>
    <x v="0"/>
    <x v="0"/>
    <s v="Window"/>
    <s v="Page Up/Down keys vs scrolling"/>
    <s v="Using page up and page down has no effect on the window."/>
    <s v="Using page up and page down moves the data to the first row outside of the visible datawindow."/>
    <d v="2025-11-13T00:00:00"/>
    <s v="Pass"/>
    <m/>
    <s v="10/31 SM - addressed. Note, other windows use F7, F8, etc. "/>
  </r>
  <r>
    <n v="9"/>
    <x v="0"/>
    <s v="Both"/>
    <x v="0"/>
    <x v="0"/>
    <x v="0"/>
    <s v="Window"/>
    <s v="Up and Down keys"/>
    <s v="Using up and down keys on the top most or bottom most row displays, the next available row. The second key press of the same key displays the next 7 rows."/>
    <s v="Using up and down keys on the top most and bottom most row displays the next available row each iteration."/>
    <d v="2025-11-13T00:00:00"/>
    <s v="Pass with Comments"/>
    <s v="11/13: Changes work. However, if you hold the up or down arrow for a long time, the scroll is eventually slower than the up/ down arrow. This causes the highlighted cell to no longer appear in the view. Might need to be addressed by SyncFusion, but this is very minor and a user would likely not do this._x000a_11/24: lazy load"/>
    <s v="10/31 SM - addressed. Note, other windows use F7, F8, etc. "/>
  </r>
  <r>
    <n v="10"/>
    <x v="0"/>
    <s v="Both"/>
    <x v="0"/>
    <x v="0"/>
    <x v="2"/>
    <s v="Window"/>
    <s v="Loading During Deployment"/>
    <s v="1. Open window and update search fields for valid search._x000a_2. Select &quot;Search&quot; button_x000a_3. Changes deployed_x000a_4. &quot;Rejoining the server...&quot; message appears and window does not load the search."/>
    <m/>
    <m/>
    <m/>
    <s v="10/29: devs to send notices of deployment; deployments to be done COB hours"/>
    <m/>
  </r>
  <r>
    <n v="11"/>
    <x v="0"/>
    <s v="Both"/>
    <x v="0"/>
    <x v="0"/>
    <x v="0"/>
    <s v="Window level &quot;X&quot;"/>
    <s v="Slow to close window"/>
    <s v="Window close takes ~1 second."/>
    <s v="Window closes instantly."/>
    <d v="2025-11-13T00:00:00"/>
    <s v="Pass"/>
    <m/>
    <m/>
  </r>
  <r>
    <n v="12"/>
    <x v="0"/>
    <s v="Both"/>
    <x v="1"/>
    <x v="1"/>
    <x v="2"/>
    <s v="&quot;...&quot; button"/>
    <s v="&quot;...&quot; button color"/>
    <s v="&quot;...&quot; button color is dark blue with white font. &quot;...&quot; text width is significantly smaller than the button width."/>
    <s v="&quot;...&quot; button color is light blue with white border. Font color is dark blue. &quot;...&quot; text width takes up most of the button width._x000a__x000a_When a row is highlighted, the button color is identical to the highlight color. This makes it difficult to see the button."/>
    <m/>
    <m/>
    <s v="10/29: leave as-is"/>
    <m/>
  </r>
  <r>
    <n v="13"/>
    <x v="0"/>
    <s v="Both"/>
    <x v="1"/>
    <x v="1"/>
    <x v="0"/>
    <s v="&quot;...&quot; column"/>
    <s v="&quot;...&quot; column is in the &quot;Additional Info&quot; column"/>
    <s v="The &quot;...&quot; field is in the &quot;Additional Info&quot; column."/>
    <s v="The &quot;...&quot; field is a separate unlabelled column between &quot;Additional Info&quot; and &quot;Alert Type&quot;"/>
    <d v="2025-11-13T00:00:00"/>
    <s v="Pass"/>
    <s v="10/29: devs to address so it fixes ID #15"/>
    <s v="10/29 SM - addressed. New unlabeled column added"/>
  </r>
  <r>
    <n v="14"/>
    <x v="0"/>
    <s v="Both"/>
    <x v="1"/>
    <x v="1"/>
    <x v="2"/>
    <s v="Alert Type"/>
    <s v="Header Display"/>
    <s v="The &quot;T&quot; and &quot;y&quot; in alert type overlap due to the large font size."/>
    <s v="1 image for this defect"/>
    <m/>
    <m/>
    <s v="10/29: leave as-is"/>
    <m/>
  </r>
  <r>
    <n v="15"/>
    <x v="0"/>
    <s v="Both"/>
    <x v="1"/>
    <x v="1"/>
    <x v="2"/>
    <s v="All Columns"/>
    <s v="Column values cutoff"/>
    <s v="Column values cut off at the same character count as the existing window."/>
    <s v="Column values cut off at the end of the column width."/>
    <m/>
    <m/>
    <s v="10/29: leave as-is"/>
    <m/>
  </r>
  <r>
    <n v="16"/>
    <x v="0"/>
    <s v="Both"/>
    <x v="1"/>
    <x v="1"/>
    <x v="2"/>
    <s v="All Columns"/>
    <s v="Data section background color"/>
    <s v="Data section background color is white."/>
    <s v="Data section background color is light blue to white gradient from top to bottom."/>
    <m/>
    <m/>
    <s v="10/29: leave as-is; just ensure consistency across screens"/>
    <m/>
  </r>
  <r>
    <n v="17"/>
    <x v="0"/>
    <s v="Both"/>
    <x v="1"/>
    <x v="1"/>
    <x v="2"/>
    <s v="All Columns"/>
    <s v="Column header colors"/>
    <s v="Column header color "/>
    <m/>
    <m/>
    <m/>
    <m/>
    <m/>
  </r>
  <r>
    <n v="18"/>
    <x v="0"/>
    <s v="Both"/>
    <x v="1"/>
    <x v="1"/>
    <x v="2"/>
    <s v="All Columns"/>
    <s v="Right click"/>
    <s v="Right clicking a field will highlighted the selected cell."/>
    <s v="Right clicking a field will have the same functionality as left click - highlighting the row in blue."/>
    <m/>
    <m/>
    <s v="10/29: leave as-is"/>
    <m/>
  </r>
  <r>
    <n v="19"/>
    <x v="2"/>
    <s v="Both"/>
    <x v="1"/>
    <x v="1"/>
    <x v="2"/>
    <s v="Calendar Icon"/>
    <s v="Colors/ Style Differ"/>
    <s v="Some UI elements differ between Blazor and Vision calendars._x000a_1. Calendar header displays the date/ month/ year range on the top left corner in blue font._x000a_2. Calendar header displays aup and down facing carrot icons. _x000a_3. Day of the week column headers use 1 letter abbreviations._x000a_4. &quot;Today&quot; button is a blue button on the bottom right with white font within the button._x000a_5. Year, decade, and century level results show months, years, and decades in light grey boxes with black text respectively._x000a_6. Selected Day/ Month/ Year/ Decade is blue with white font._x000a_"/>
    <s v="Some UI elements differ between Blazor and Vision calendars._x000a_1. Calendar header displays the date/ month/ year range towards the center in black font._x000a_2. Calendar header displays left and right facing arrows on the left and right side of the calendar header. _x000a_3. Day of the week column headers use 3 letter abbreviations._x000a_4. &quot;Today&quot; button is a white with a light blue border, centered with black text &quot;Today: MM/DD/YYYY&quot;._x000a_5. Year, decade, and century level results have no color differences._x000a_6. Selected Day/ Month/ Year/ Decade is light blue with darker blue border and black font._x000a_- 2 images included: One in column H and one in column I."/>
    <m/>
    <m/>
    <s v="10/29: leave as-is"/>
    <m/>
  </r>
  <r>
    <n v="20"/>
    <x v="2"/>
    <s v="Both"/>
    <x v="1"/>
    <x v="1"/>
    <x v="2"/>
    <s v="Calendar Icon"/>
    <s v="Highlighted Value"/>
    <s v="1. Select calendar icon to open calendar._x000a_2. Select month on the top to expand search to months in the current calendar year._x000a_3. Select the down up arrow to switch back to the previous calendar year - previously selected month is highlighted._x000a_- This occurs for Year/ Decade searches as well."/>
    <s v="1. Months view: January is highlighted. _x000a_2. Years view: years with a multiple of 10 are highlighted. _x000a_3. Decades view: the %00 - %10 option is highlighted."/>
    <m/>
    <m/>
    <s v="10/29: leave as-is"/>
    <m/>
  </r>
  <r>
    <n v="21"/>
    <x v="3"/>
    <s v="Both"/>
    <x v="0"/>
    <x v="1"/>
    <x v="2"/>
    <s v="Calendar on Search fields &quot;From Date:&quot; and &quot;To Date:&quot;"/>
    <s v="Locked Date Range"/>
    <s v="After a valid &quot;From Date:&quot; value is entered, &quot;To Date:&quot; calendar selection is restricted to be on or 10 days after the &quot;From Date:&quot;."/>
    <s v="This could be a good feature since job error log window is very slow in CRMQ/ CRMP, but this is not in the existing window._x000a_- 1 image for this defect"/>
    <m/>
    <m/>
    <s v="10/29: leave as-is"/>
    <s v="11/6 SM - left as-is"/>
  </r>
  <r>
    <n v="22"/>
    <x v="0"/>
    <s v="Both"/>
    <x v="1"/>
    <x v="1"/>
    <x v="2"/>
    <s v="N/A"/>
    <s v="Window Resizing"/>
    <s v="Decreasing the window size, then increasing the window size causes the alert type column to display twice."/>
    <m/>
    <m/>
    <m/>
    <s v="10/29: leave as-is for now (move to different cattegory to be addressed later)"/>
    <m/>
  </r>
  <r>
    <n v="23"/>
    <x v="0"/>
    <s v="Both"/>
    <x v="1"/>
    <x v="1"/>
    <x v="2"/>
    <s v="Search button"/>
    <s v="Search button color"/>
    <s v="Search button is dark blue with white font."/>
    <s v="Search button has, top to bottom, white to light blue gradient, navy blue font, and the 'S' in 'Search' is underlined."/>
    <m/>
    <m/>
    <s v="10/29: leave as-is"/>
    <m/>
  </r>
  <r>
    <n v="24"/>
    <x v="0"/>
    <s v="Both"/>
    <x v="1"/>
    <x v="1"/>
    <x v="2"/>
    <s v="Search button"/>
    <s v="Search button font size"/>
    <s v="Search button font size is ~10."/>
    <s v="Search button font size is ~12."/>
    <m/>
    <m/>
    <s v="10/29: leave as-is"/>
    <m/>
  </r>
  <r>
    <n v="25"/>
    <x v="3"/>
    <s v="Both"/>
    <x v="1"/>
    <x v="0"/>
    <x v="0"/>
    <s v="Search field &quot;Job Id:&quot;"/>
    <s v="Typing value into search field"/>
    <s v="After typing values into &quot;Job Id:&quot; field, the results appear for the first character only unless you type characters in rapid succession, ~1/6th of a second apart."/>
    <s v="Existing window allows ~2/3rds of a second between characters."/>
    <d v="2025-11-13T00:00:00"/>
    <s v="Pass"/>
    <s v="10/29: JL to follow up with SyncFusion to see if there is a fix"/>
    <s v="11/6 SM - added filtering to drop down"/>
  </r>
  <r>
    <n v="26"/>
    <x v="0"/>
    <s v="Both"/>
    <x v="1"/>
    <x v="1"/>
    <x v="2"/>
    <s v="All dropdowns "/>
    <s v="Selecting dropdown"/>
    <s v="Selecting dropdown causes a ~0.5 second lag before displaying the dropdown selection"/>
    <s v="Selecting dropdown displays list instantly."/>
    <m/>
    <m/>
    <s v="10/29: leave as-is"/>
    <m/>
  </r>
  <r>
    <n v="27"/>
    <x v="0"/>
    <s v="Both"/>
    <x v="1"/>
    <x v="1"/>
    <x v="2"/>
    <s v="Search field &quot;Job Id:&quot;"/>
    <s v="Hovering cursor over dropdown icon"/>
    <s v="When dropdown is selected, hovering cursor over the dropdown or carrot icon does not highlight the icon."/>
    <s v="When dropdown is selected, hovering cursor over the dropdown or carrot icon should highlight the icon."/>
    <m/>
    <m/>
    <s v="10/29: leave as-is"/>
    <m/>
  </r>
  <r>
    <n v="28"/>
    <x v="0"/>
    <s v="Both"/>
    <x v="1"/>
    <x v="1"/>
    <x v="2"/>
    <s v="Search field labels"/>
    <s v="Search field label font size"/>
    <s v="Search field - &quot;From Date:&quot;, &quot;To Date:&quot;, &quot;Job Id:&quot; - font size is ~10."/>
    <s v="Search field font size is ~12."/>
    <m/>
    <m/>
    <s v="10/29: leave as-is"/>
    <m/>
  </r>
  <r>
    <n v="29"/>
    <x v="3"/>
    <s v="Both"/>
    <x v="1"/>
    <x v="2"/>
    <x v="0"/>
    <s v="Date Fields"/>
    <s v="Format is not fixed"/>
    <s v="User can type values outside of the MM/DD/YYYY format into 'From Date:' and 'To Date:' fields."/>
    <s v="Expected result is the format MM/DD/YYYY is locked._x000a_- Search validation rules prevent invalid entries._x000a_- 3 images for this defect"/>
    <d v="2025-11-13T00:00:00"/>
    <s v="Pass with Comments"/>
    <s v="11/13: Format is fixed, but new issues occur. See Defects 45, 46, 47, 48, 49"/>
    <s v="10/29 SM - addressed via mask"/>
  </r>
  <r>
    <n v="30"/>
    <x v="0"/>
    <s v="Both"/>
    <x v="1"/>
    <x v="1"/>
    <x v="2"/>
    <s v="Search fields &quot;From Date:&quot; and &quot;To Date:&quot;"/>
    <s v="Calendar Icon"/>
    <s v="Search field - &quot;From Date:&quot;, &quot;To Date:&quot; have a calendar icon on the right side."/>
    <s v="Search field - &quot;From Date:&quot;, &quot;To Date:&quot; have a dropdown or carrot icon on the right side."/>
    <m/>
    <m/>
    <s v="10/29: leave as-is"/>
    <m/>
  </r>
  <r>
    <n v="31"/>
    <x v="0"/>
    <s v="Both"/>
    <x v="1"/>
    <x v="1"/>
    <x v="1"/>
    <s v="Search fields &quot;From Date:&quot; and &quot;To Date:&quot;"/>
    <s v="Cursor location"/>
    <s v="Selecting the search fields &quot;From Date:&quot; and &quot;To Date:&quot; causes the cursor to be located at the point of selection."/>
    <s v="Cursor should default to the left of the cell"/>
    <d v="2025-11-13T00:00:00"/>
    <s v="Fail"/>
    <s v="11/13: Cursor defaults to right side of the cell"/>
    <m/>
  </r>
  <r>
    <n v="32"/>
    <x v="0"/>
    <s v="Both"/>
    <x v="1"/>
    <x v="1"/>
    <x v="0"/>
    <s v="Search section"/>
    <s v="Search section background color"/>
    <s v="Search section has white background with light blue border."/>
    <s v="Search section matches the window background (light blue)."/>
    <d v="2025-11-13T00:00:00"/>
    <s v="Pass"/>
    <s v="11/13: Matches UI of other Blazor windows"/>
    <s v="10/30 SM - has been addressed. Will be consistant with other windows"/>
  </r>
  <r>
    <n v="33"/>
    <x v="0"/>
    <s v="Both"/>
    <x v="1"/>
    <x v="1"/>
    <x v="0"/>
    <s v="Search section"/>
    <s v="Section size changes"/>
    <s v="Select search section or field in search section causes the search section size to decrease and the data section to increase."/>
    <s v="Search section height should be fixed. Search fields and search button are the only selectable areas."/>
    <d v="2025-11-13T00:00:00"/>
    <s v="Pass"/>
    <m/>
    <s v="10/30 SM - search section height now is fixed"/>
  </r>
  <r>
    <n v="34"/>
    <x v="0"/>
    <s v="Both"/>
    <x v="1"/>
    <x v="1"/>
    <x v="0"/>
    <s v="Search section"/>
    <s v="No rows retrieved message"/>
    <s v="Searching for criteria with no results displays the No Rows error message. The error message has the following UI elements:_x000a_1*. Information logo is to the left of the error message header._x000a_2*. Header font size is ~18 and font color is black._x000a_3*. Background of the error message is white._x000a_4*. &quot;OK&quot; button is blue with white font._x000a_5*. &quot;OK&quot; button font size is ~12._x000a_6*. Body font size is ~12._x000a_7. &quot;No rows retrieved.&quot; text includes a period._x000a_8*. Hovering cursor over &quot;OK&quot; button or X changes the cursor to a hand with pointer finger._x000a_9. Background of the window is replaced by grey color._x000a_*These items are present in all Blazor popups."/>
    <s v="Searching for criteria with no results displays the No Rows error message. The error message has the following UI elements:_x000a_1. Information logo is to the left of the error message body._x000a_2. Header font size is ~12 and font color is grey._x000a_3. Background of the error message body is white, but the header and bottom sections are light grey._x000a_4. &quot;OK&quot; button is white with black font._x000a_5. &quot;OK&quot; button font size is ~9._x000a_6. &quot;No rows retrieved.&quot; font size is ~9._x000a_7. &quot;No rows retrieved&quot; text does not include a period._x000a_8. Hovering cursor over &quot;OK&quot; button or X maintains the arrow cursor._x000a_9. Window is visible behind the error message._x000a_- 2 images included, one in Column H and one in Column I."/>
    <d v="2025-11-13T00:00:00"/>
    <s v="Pass"/>
    <s v="10/29: devs to review_x000a_11/13: Pass. Rows display in background of error message"/>
    <s v="10/30 SM - has been addressed. ro results popup removed"/>
  </r>
  <r>
    <n v="35"/>
    <x v="0"/>
    <s v="Both"/>
    <x v="1"/>
    <x v="1"/>
    <x v="2"/>
    <s v="Window"/>
    <s v="Window background color"/>
    <s v="Window background color is a light blue gradient."/>
    <s v="Window background color is light blue."/>
    <d v="2025-11-13T00:00:00"/>
    <s v="Pass"/>
    <m/>
    <s v="11/4 SM - leaving as-is"/>
  </r>
  <r>
    <n v="36"/>
    <x v="0"/>
    <s v="Both"/>
    <x v="1"/>
    <x v="1"/>
    <x v="2"/>
    <s v="Window"/>
    <s v="Window size"/>
    <s v="Window content spans the full width of the Vision application."/>
    <s v="Window spans slightly more than half the width of Vision application."/>
    <m/>
    <m/>
    <s v="10/29: leave as-is"/>
    <m/>
  </r>
  <r>
    <n v="37"/>
    <x v="0"/>
    <s v="Both"/>
    <x v="1"/>
    <x v="1"/>
    <x v="2"/>
    <s v="Window"/>
    <s v="Window Load"/>
    <s v="While window is loading, the bottom right time continues."/>
    <s v="While window is loading, the bottom right time is paused."/>
    <m/>
    <m/>
    <s v="10/29: leave as-is"/>
    <m/>
  </r>
  <r>
    <n v="38"/>
    <x v="1"/>
    <s v="Both"/>
    <x v="0"/>
    <x v="1"/>
    <x v="2"/>
    <s v="Column Headers"/>
    <s v="Column width is adjustable"/>
    <s v="1. Search for a valid result_x000a_2. Hover cursor on white column border - cursor will change to vertical lines_x000a_3. Select white column border_x000a_4. Drag border left and right - column width will adjust_x000a_"/>
    <s v="Column width is not adjustable."/>
    <d v="2025-11-13T00:00:00"/>
    <s v="Pass"/>
    <s v="10/29: leave as-is"/>
    <s v="11/4 SM - leaving as-is"/>
  </r>
  <r>
    <n v="39"/>
    <x v="1"/>
    <s v="Both"/>
    <x v="1"/>
    <x v="1"/>
    <x v="0"/>
    <s v="Tooltip"/>
    <s v="Tooltip shape"/>
    <s v="1. Search for a valid result_x000a_2. Hover cursor over any row value_x000a_3. Tooltip appears - tooltip shape is a rectangle"/>
    <s v="Tooltip shape is a speech bubble."/>
    <d v="2025-11-13T00:00:00"/>
    <s v="Pass with Comments"/>
    <s v="11/13: Defect addressed. See Defect 44"/>
    <s v="10/30 SM - addressed. Tooltip modified"/>
  </r>
  <r>
    <n v="40"/>
    <x v="1"/>
    <s v="Both"/>
    <x v="1"/>
    <x v="1"/>
    <x v="0"/>
    <s v="Additional Info"/>
    <s v="Adjusting column width"/>
    <s v="1. Search for a valid result_x000a_2. Minimize the &quot;Additional Info&quot; column width - blue &quot;...&quot; buttons are no longer in line"/>
    <m/>
    <d v="2025-11-13T00:00:00"/>
    <s v="Pass"/>
    <m/>
    <s v="10/29 SM - addressed by making button its own column"/>
  </r>
  <r>
    <n v="41"/>
    <x v="1"/>
    <s v="Both"/>
    <x v="1"/>
    <x v="1"/>
    <x v="2"/>
    <s v="Dt Error and Alert Type"/>
    <s v="Adjusting column width"/>
    <s v="Decreasing the column width to partially cut of the values causes 3 dots to appear in place of the missing characters."/>
    <s v="Other Vision windows with this feature, such as ATP Dashboard and Summary Judgment window, will cut off the text. Other blazor columns do this as well."/>
    <m/>
    <m/>
    <s v="10/29: leave as-is"/>
    <s v="11/6 SM - leaving as-is"/>
  </r>
  <r>
    <n v="42"/>
    <x v="1"/>
    <s v="Both"/>
    <x v="1"/>
    <x v="1"/>
    <x v="0"/>
    <s v="Window"/>
    <s v="Modifying Window Views - Horizontal"/>
    <s v="1. Search for a valid result._x000a_2. Open at least one window besides Job Error Log blazor._x000a_3. On the top menu options, select &quot;Window&quot;, then &quot;Horizontal&quot; - White area at the bottom of the window remains, which decreases the amount of data visible in the data section"/>
    <m/>
    <d v="2025-11-13T00:00:00"/>
    <s v="Pass"/>
    <m/>
    <s v="10/30 SM - added dynamic height, please retest"/>
  </r>
  <r>
    <n v="43"/>
    <x v="4"/>
    <s v="Both"/>
    <x v="1"/>
    <x v="1"/>
    <x v="0"/>
    <s v="Window"/>
    <s v="Search"/>
    <s v="Ctrl + Shift + F search does not work"/>
    <s v="Ctrl + Shift + F applies search in data section"/>
    <d v="2025-11-24T00:00:00"/>
    <s v="Fail"/>
    <s v="11/03: not included in blazor_x000a_11/13: Ctrl + F added in window with the same functionality_x000a_11/24: Devs to update"/>
    <m/>
  </r>
  <r>
    <n v="44"/>
    <x v="5"/>
    <s v="Both"/>
    <x v="1"/>
    <x v="1"/>
    <x v="3"/>
    <s v="Window"/>
    <s v="Tooltip appears too quickly"/>
    <s v="When hovering cursor over a data, the tooltip immediately appears."/>
    <s v="Hovering cursor over data takes ~1 second to appear. Previous QA version was a good pace."/>
    <m/>
    <m/>
    <s v="11/24: Devs to fix"/>
    <m/>
  </r>
  <r>
    <n v="45"/>
    <x v="5"/>
    <s v="Both"/>
    <x v="1"/>
    <x v="0"/>
    <x v="3"/>
    <s v="Search fields &quot;From Date:&quot; and &quot;To Date:&quot;"/>
    <s v="Typing in date field"/>
    <s v="1. Select date field - cursor appears on right most cell_x000a_2. Select month section - both month digits highlight_x000a_3. Type month - days section highlights_x000a_4. Type day - year section highlights_x000a_5. Type year"/>
    <s v="Marked as major because this will affect all formatted date fields_x000a__x000a_In existing window, the cursor will move to the next cell rather than highlighting all digits associated with the month/ day/ year"/>
    <m/>
    <m/>
    <s v="Overall for the date issues, the issue occurs because blazor highlights the month/ day/ year section, while PB uses cursor only_x000a_11/24: leave as is"/>
    <m/>
  </r>
  <r>
    <n v="46"/>
    <x v="5"/>
    <s v="Both"/>
    <x v="1"/>
    <x v="0"/>
    <x v="3"/>
    <s v="Search fields &quot;From Date:&quot; and &quot;To Date:&quot;"/>
    <s v="Modifying single digit month to 2 digit month"/>
    <s v="1. Select and clear date field_x000a_2. Type valid single digit month date, such as 01/01/2025_x000a_3. Double click, or sometimes single click, the month section_x000a_4. Type &quot;12&quot; - 01/02/XXXX appears"/>
    <s v="Marked as major because this will affect all formatted date fields"/>
    <m/>
    <m/>
    <s v="11/24: leave as is"/>
    <s v="11/21 SM - could not reproduce issue"/>
  </r>
  <r>
    <n v="47"/>
    <x v="5"/>
    <s v="Both"/>
    <x v="1"/>
    <x v="0"/>
    <x v="3"/>
    <s v="Search fields &quot;From Date:&quot; and &quot;To Date:&quot;"/>
    <s v="Numbers populate incorrectly if &quot;0&quot; is typed"/>
    <s v="1. Type a date into date field_x000a_2. Type '0' in highlight section - month, day, or year - '0' only is entered into the cell and you are not able to type the second character"/>
    <s v="Marked as major because this will affect all formatted date fields"/>
    <m/>
    <m/>
    <s v="11/24: leave as is"/>
    <m/>
  </r>
  <r>
    <n v="48"/>
    <x v="5"/>
    <s v="Both"/>
    <x v="1"/>
    <x v="0"/>
    <x v="3"/>
    <s v="Search fields &quot;From Date:&quot; and &quot;To Date:&quot;"/>
    <s v="00/00/0000 populates when date is invalid"/>
    <s v="1. Clear date fields_x000a_2. Type invalid date into date fields, such as 12/00/0000_x000a_3. Exit the field_x000a_4. Select the field - 00/00/0000 displays"/>
    <s v="Marked as major because this will affect all formatted date fields"/>
    <m/>
    <m/>
    <s v="11/24: leave as is"/>
    <s v="11/21 SM - 2 options: can become 00/00/0000 or return to previously valid date - using an option called STRICT MODE"/>
  </r>
  <r>
    <n v="49"/>
    <x v="5"/>
    <s v="Both"/>
    <x v="1"/>
    <x v="0"/>
    <x v="3"/>
    <s v="Search fields &quot;From Date:&quot;"/>
    <s v="00/00/0000 populates when date is invalid"/>
    <s v="1. Type old date into date field, such as 12/12/1200_x000a_2. Date field highlights as red_x000a_3. Type same old date into date field for 'To Date' field._x000a_4. Date field is not highlighted red"/>
    <s v="Marked as major because this will affect all formatted date fields_x000a_- 1 image for the defect"/>
    <m/>
    <m/>
    <s v="11/24: leave as is"/>
    <s v="11/21 SM - The to_date validation logic is working as designed. Since 12/12/1200 falls within the maximum date range from from_date, no validation error displays on to_date. Updated from_date to enforce a minimum value of 01/01/1900."/>
  </r>
  <r>
    <n v="50"/>
    <x v="5"/>
    <s v="Web Only"/>
    <x v="1"/>
    <x v="1"/>
    <x v="3"/>
    <s v="Help Button"/>
    <s v="Erraneous Help button in Web Version"/>
    <s v="There is an erraneous Help button on the top left of the window that has no functionality"/>
    <s v="Help button can be removed."/>
    <m/>
    <m/>
    <s v="11/24: leave as is"/>
    <m/>
  </r>
  <r>
    <n v="51"/>
    <x v="6"/>
    <s v="Web Only"/>
    <x v="1"/>
    <x v="1"/>
    <x v="3"/>
    <s v="Scroll"/>
    <s v="Window height allows for scroll"/>
    <s v="In Web version, you can slightly scroll down the main window. Should less rows be visible in the web version to prevent the scroll?"/>
    <m/>
    <m/>
    <m/>
    <s v="11/24: Devs to fix"/>
    <s v="11/21 SM - looking into this"/>
  </r>
  <r>
    <n v="52"/>
    <x v="7"/>
    <m/>
    <x v="2"/>
    <x v="3"/>
    <x v="4"/>
    <m/>
    <m/>
    <m/>
    <m/>
    <m/>
    <m/>
    <m/>
    <m/>
  </r>
  <r>
    <n v="53"/>
    <x v="7"/>
    <m/>
    <x v="2"/>
    <x v="3"/>
    <x v="4"/>
    <m/>
    <m/>
    <m/>
    <m/>
    <m/>
    <m/>
    <m/>
    <m/>
  </r>
  <r>
    <n v="54"/>
    <x v="7"/>
    <m/>
    <x v="2"/>
    <x v="3"/>
    <x v="4"/>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x v="0"/>
    <s v="Both"/>
    <s v="Functionality"/>
    <x v="0"/>
  </r>
  <r>
    <x v="0"/>
    <s v="Both"/>
    <s v="Functionality"/>
    <x v="0"/>
  </r>
  <r>
    <x v="0"/>
    <s v="Both"/>
    <s v="Functionality"/>
    <x v="0"/>
  </r>
  <r>
    <x v="0"/>
    <s v="Both"/>
    <s v="Functionality"/>
    <x v="1"/>
  </r>
  <r>
    <x v="1"/>
    <s v="Both"/>
    <s v="Functionality"/>
    <x v="1"/>
  </r>
  <r>
    <x v="2"/>
    <s v="Both"/>
    <s v="Functionality"/>
    <x v="1"/>
  </r>
  <r>
    <x v="3"/>
    <s v="Both"/>
    <s v="Functionality"/>
    <x v="0"/>
  </r>
  <r>
    <x v="0"/>
    <s v="Both"/>
    <s v="Functionality"/>
    <x v="0"/>
  </r>
  <r>
    <x v="0"/>
    <s v="Both"/>
    <s v="Functionality"/>
    <x v="0"/>
  </r>
  <r>
    <x v="0"/>
    <s v="Both"/>
    <s v="Functionality"/>
    <x v="0"/>
  </r>
  <r>
    <x v="0"/>
    <s v="Both"/>
    <s v="Functionality"/>
    <x v="0"/>
  </r>
  <r>
    <x v="0"/>
    <s v="Both"/>
    <s v="UI"/>
    <x v="1"/>
  </r>
  <r>
    <x v="0"/>
    <s v="Both"/>
    <s v="UI"/>
    <x v="1"/>
  </r>
  <r>
    <x v="0"/>
    <s v="Both"/>
    <s v="UI"/>
    <x v="1"/>
  </r>
  <r>
    <x v="0"/>
    <s v="Both"/>
    <s v="UI"/>
    <x v="1"/>
  </r>
  <r>
    <x v="0"/>
    <s v="Both"/>
    <s v="UI"/>
    <x v="1"/>
  </r>
  <r>
    <x v="0"/>
    <s v="Both"/>
    <s v="UI"/>
    <x v="1"/>
  </r>
  <r>
    <x v="0"/>
    <s v="Both"/>
    <s v="UI"/>
    <x v="1"/>
  </r>
  <r>
    <x v="2"/>
    <s v="Both"/>
    <s v="UI"/>
    <x v="1"/>
  </r>
  <r>
    <x v="2"/>
    <s v="Both"/>
    <s v="UI"/>
    <x v="1"/>
  </r>
  <r>
    <x v="3"/>
    <s v="Both"/>
    <s v="Functionality"/>
    <x v="1"/>
  </r>
  <r>
    <x v="0"/>
    <s v="Both"/>
    <s v="UI"/>
    <x v="1"/>
  </r>
  <r>
    <x v="0"/>
    <s v="Both"/>
    <s v="UI"/>
    <x v="1"/>
  </r>
  <r>
    <x v="0"/>
    <s v="Both"/>
    <s v="UI"/>
    <x v="1"/>
  </r>
  <r>
    <x v="3"/>
    <s v="Both"/>
    <s v="UI"/>
    <x v="0"/>
  </r>
  <r>
    <x v="0"/>
    <s v="Both"/>
    <s v="UI"/>
    <x v="1"/>
  </r>
  <r>
    <x v="0"/>
    <s v="Both"/>
    <s v="UI"/>
    <x v="1"/>
  </r>
  <r>
    <x v="0"/>
    <s v="Both"/>
    <s v="UI"/>
    <x v="1"/>
  </r>
  <r>
    <x v="3"/>
    <s v="Both"/>
    <s v="UI"/>
    <x v="2"/>
  </r>
  <r>
    <x v="0"/>
    <s v="Both"/>
    <s v="UI"/>
    <x v="1"/>
  </r>
  <r>
    <x v="0"/>
    <s v="Both"/>
    <s v="UI"/>
    <x v="1"/>
  </r>
  <r>
    <x v="0"/>
    <s v="Both"/>
    <s v="UI"/>
    <x v="1"/>
  </r>
  <r>
    <x v="0"/>
    <s v="Both"/>
    <s v="UI"/>
    <x v="1"/>
  </r>
  <r>
    <x v="0"/>
    <s v="Both"/>
    <s v="UI"/>
    <x v="1"/>
  </r>
  <r>
    <x v="0"/>
    <s v="Both"/>
    <s v="UI"/>
    <x v="1"/>
  </r>
  <r>
    <x v="0"/>
    <s v="Both"/>
    <s v="UI"/>
    <x v="1"/>
  </r>
  <r>
    <x v="0"/>
    <s v="Both"/>
    <s v="UI"/>
    <x v="1"/>
  </r>
  <r>
    <x v="1"/>
    <s v="Both"/>
    <s v="Functionality"/>
    <x v="1"/>
  </r>
  <r>
    <x v="1"/>
    <s v="Both"/>
    <s v="UI"/>
    <x v="1"/>
  </r>
  <r>
    <x v="1"/>
    <s v="Both"/>
    <s v="UI"/>
    <x v="1"/>
  </r>
  <r>
    <x v="1"/>
    <s v="Both"/>
    <s v="UI"/>
    <x v="1"/>
  </r>
  <r>
    <x v="1"/>
    <s v="Both"/>
    <s v="UI"/>
    <x v="1"/>
  </r>
  <r>
    <x v="4"/>
    <s v="Both"/>
    <s v="UI"/>
    <x v="1"/>
  </r>
  <r>
    <x v="5"/>
    <s v="Both"/>
    <s v="UI"/>
    <x v="1"/>
  </r>
  <r>
    <x v="5"/>
    <s v="Both"/>
    <s v="UI"/>
    <x v="0"/>
  </r>
  <r>
    <x v="5"/>
    <s v="Both"/>
    <s v="UI"/>
    <x v="0"/>
  </r>
  <r>
    <x v="5"/>
    <s v="Both"/>
    <s v="UI"/>
    <x v="0"/>
  </r>
  <r>
    <x v="5"/>
    <s v="Both"/>
    <s v="UI"/>
    <x v="0"/>
  </r>
  <r>
    <x v="5"/>
    <s v="Both"/>
    <s v="UI"/>
    <x v="0"/>
  </r>
  <r>
    <x v="5"/>
    <s v="Web Only"/>
    <s v="UI"/>
    <x v="1"/>
  </r>
  <r>
    <x v="6"/>
    <s v="Web Only"/>
    <s v="UI"/>
    <x v="1"/>
  </r>
  <r>
    <x v="7"/>
    <m/>
    <m/>
    <x v="3"/>
  </r>
  <r>
    <x v="7"/>
    <m/>
    <m/>
    <x v="3"/>
  </r>
  <r>
    <x v="7"/>
    <m/>
    <m/>
    <x v="3"/>
  </r>
  <r>
    <x v="7"/>
    <m/>
    <m/>
    <x v="3"/>
  </r>
  <r>
    <x v="7"/>
    <m/>
    <m/>
    <x v="3"/>
  </r>
  <r>
    <x v="7"/>
    <m/>
    <m/>
    <x v="3"/>
  </r>
  <r>
    <x v="7"/>
    <m/>
    <m/>
    <x v="3"/>
  </r>
  <r>
    <x v="7"/>
    <m/>
    <m/>
    <x v="3"/>
  </r>
  <r>
    <x v="7"/>
    <m/>
    <m/>
    <x v="3"/>
  </r>
  <r>
    <x v="7"/>
    <m/>
    <m/>
    <x v="3"/>
  </r>
  <r>
    <x v="7"/>
    <m/>
    <m/>
    <x v="3"/>
  </r>
  <r>
    <x v="7"/>
    <m/>
    <m/>
    <x v="3"/>
  </r>
  <r>
    <x v="7"/>
    <m/>
    <m/>
    <x v="3"/>
  </r>
  <r>
    <x v="7"/>
    <m/>
    <m/>
    <x v="3"/>
  </r>
  <r>
    <x v="7"/>
    <m/>
    <m/>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n v="1"/>
    <x v="0"/>
    <s v="Both"/>
    <x v="0"/>
    <x v="0"/>
    <x v="0"/>
    <s v="Window"/>
    <s v="Window Load Time"/>
    <s v="CRMD: 6 seconds_x000a_CRMQ: 40 seconds"/>
    <s v="CRMD: 2 seconds_x000a_CRMQ: 35 seconds"/>
    <d v="2025-11-13T00:00:00"/>
    <s v="Pass"/>
    <s v="10/29: devs to review_x000a_11/13: Pass. 4 seconds to load in CRMQ!"/>
    <s v="11/6 SM - loads slow 1st time, but ~3s after"/>
  </r>
  <r>
    <n v="2"/>
    <x v="0"/>
    <s v="Both"/>
    <x v="0"/>
    <x v="0"/>
    <x v="0"/>
    <s v="Window"/>
    <s v="Load Time - Results Expected"/>
    <s v="CRMD 10/10/25 - 10/20/25 Job ID All: (Morning) 50 seconds to load 19,712 rows. (~4:50pm) 74 seconds to load 19,712 rows._x000a_CRMQ 10/21/25 - 10/21/25 Job ID All: 24 seconds to load 833 rows._x000a_CRMQ 10/19/25 - 10/20/25 Job ID All: Load failed at 100 seconds. Error message appears. After closing the window, data section will display &quot;No records to display&quot;"/>
    <s v="CRMD 10/10/25 - 10/20/25 Job ID All: (Morning and ~5pm) 4 seconds to load a 19,712 rows._x000a_CRMQ: 10/21/25 - 10/21/25 Job ID All: 19 seconds to load 833 rows._x000a_CRMQ 10/19/25  - 10/20/25 Job ID All: 35 seconds to load 123,785 rows._x000a_- 1 image for this defect"/>
    <d v="2025-12-10T00:00:00"/>
    <s v="Pass with Comments"/>
    <s v="10/29: retest later this week; should receive timeout message instead of unexpected error_x000a_11/13: CRMD 10/10 - 10/20 load time is 9 seconds. CRMQ 10/21/25 load time is 20 seconds, which matches Vision. CRMQ 10/19 - 10/20 throws error message the first time loading, then successfully loads in ~95 seconds. CRMQ 10/26 - 10/27 fails first time. Error message is updated:_x000a_11/24: Devs to fix with indexing_x000a_12/4: After index/ mass datafix:_x000a_CRMQ old window 10/19 - 10/20: 20-22 seconds_x000a_12/11: CRMQ 12/1 - 12/11 notice ftp driver 6314 rows: 8 seconds blazor in PB, 7 seconds blazor web, 2 seconds existing"/>
    <s v="10/29 SM - error message are more descriptive now_x000a_12/1 SM - will add indexing with next build to the table, but this is not NG related."/>
  </r>
  <r>
    <n v="3"/>
    <x v="0"/>
    <s v="Both"/>
    <x v="0"/>
    <x v="0"/>
    <x v="0"/>
    <s v="Window"/>
    <s v="Minimize/ Maximize Vision Application"/>
    <s v="1. Minimize Vision application_x000a_2. Use other windows on device_x000a_3. Select Vision Application_x000a_4a. Job Error Log window opens, shows white, then after 7-8 seconds will show the window again._x000a_4b. Job Error Log window shows white, then after 4 seconds will show previous information._x000a_5. Selecting window after these steps causes lag."/>
    <s v="Job Error Log window is immediately available. There is no lag when selecting rows."/>
    <d v="2025-11-13T00:00:00"/>
    <s v="Pass"/>
    <m/>
    <s v="11/6 SM - not addressed. I don't recall what was discussed during the qa meeting for this."/>
  </r>
  <r>
    <n v="4"/>
    <x v="0"/>
    <s v="Both"/>
    <x v="0"/>
    <x v="1"/>
    <x v="1"/>
    <s v="Error / No Results Found messages"/>
    <s v="Window level buttons work when popup appears"/>
    <s v="1. Search for invalid criteria or criteria with no results._x000a_2. Applicable display message appears._x000a_3. Select window level minimize, maximize, and &quot;X&quot; button - all buttons work."/>
    <s v="The window level buttons are disabled when any messages appear."/>
    <m/>
    <m/>
    <s v="10/29: leave as-is"/>
    <m/>
  </r>
  <r>
    <n v="5"/>
    <x v="1"/>
    <s v="Both"/>
    <x v="0"/>
    <x v="1"/>
    <x v="1"/>
    <s v="Error / No Results Found messages"/>
    <s v="Other Vision areas work when popup appears"/>
    <s v="1. Search for invalid criteria or criteria with no results._x000a_2. Applicable display message appears._x000a_3. Select another window, a first row icon, or any menus in Vision - all options are selectable."/>
    <s v="All other functionality is disabled."/>
    <m/>
    <m/>
    <s v="10/29: leave as-is"/>
    <m/>
  </r>
  <r>
    <n v="6"/>
    <x v="2"/>
    <s v="Both"/>
    <x v="0"/>
    <x v="1"/>
    <x v="1"/>
    <s v="Search field &quot;To Date:&quot;"/>
    <s v="Restricted to &lt;= Sysdate"/>
    <s v="Calendar Date selections are restricted to be &lt;= sysdate."/>
    <s v="Existing window does not have this validation._x000a_- 1 image included"/>
    <m/>
    <m/>
    <s v="10/29: leave as-is"/>
    <m/>
  </r>
  <r>
    <n v="7"/>
    <x v="3"/>
    <s v="Both"/>
    <x v="0"/>
    <x v="0"/>
    <x v="0"/>
    <s v="Vision level &quot;X&quot;"/>
    <s v="Job Error window only closes"/>
    <s v="Selecting the Vision level &quot;X&quot; closes the Job Error Log window only."/>
    <s v="Selecting Vision level &quot;X&quot; closes Vision application."/>
    <d v="2025-11-13T00:00:00"/>
    <s v="Pass"/>
    <s v="10/29: devs to fix"/>
    <s v="10/30 SM - has been addressed via vision update"/>
  </r>
  <r>
    <n v="8"/>
    <x v="0"/>
    <s v="Both"/>
    <x v="0"/>
    <x v="0"/>
    <x v="0"/>
    <s v="Window"/>
    <s v="Page Up/Down keys vs scrolling"/>
    <s v="Using page up and page down has no effect on the window."/>
    <s v="Using page up and page down moves the data to the first row outside of the visible datawindow."/>
    <d v="2025-11-13T00:00:00"/>
    <s v="Pass"/>
    <m/>
    <s v="10/31 SM - addressed. Note, other windows use F7, F8, etc. "/>
  </r>
  <r>
    <n v="9"/>
    <x v="0"/>
    <s v="Both"/>
    <x v="0"/>
    <x v="0"/>
    <x v="0"/>
    <s v="Window"/>
    <s v="Up and Down keys"/>
    <s v="Using up and down keys on the top most or bottom most row displays, the next available row. The second key press of the same key displays the next 7 rows."/>
    <s v="Using up and down keys on the top most and bottom most row displays the next available row each iteration."/>
    <d v="2025-11-13T00:00:00"/>
    <s v="Pass with Comments"/>
    <s v="11/13: Changes work. However, if you hold the up or down arrow for a long time, the scroll is eventually slower than the up/ down arrow. This causes the highlighted cell to no longer appear in the view. Might need to be addressed by SyncFusion, but this is very minor and a user would likely not do this._x000a_11/24: lazy load"/>
    <s v="10/31 SM - addressed. Note, other windows use F7, F8, etc. "/>
  </r>
  <r>
    <n v="10"/>
    <x v="0"/>
    <s v="Both"/>
    <x v="0"/>
    <x v="0"/>
    <x v="1"/>
    <s v="Window"/>
    <s v="Loading During Deployment"/>
    <s v="1. Open window and update search fields for valid search._x000a_2. Select &quot;Search&quot; button_x000a_3. Changes deployed_x000a_4. &quot;Rejoining the server...&quot; message appears and window does not load the search."/>
    <m/>
    <m/>
    <m/>
    <s v="10/29: devs to send notices of deployment; deployments to be done COB hours"/>
    <m/>
  </r>
  <r>
    <n v="11"/>
    <x v="0"/>
    <s v="Both"/>
    <x v="0"/>
    <x v="0"/>
    <x v="0"/>
    <s v="Window level &quot;X&quot;"/>
    <s v="Slow to close window"/>
    <s v="Window close takes ~1 second."/>
    <s v="Window closes instantly."/>
    <d v="2025-11-13T00:00:00"/>
    <s v="Pass"/>
    <m/>
    <m/>
  </r>
  <r>
    <n v="12"/>
    <x v="0"/>
    <s v="Both"/>
    <x v="1"/>
    <x v="1"/>
    <x v="1"/>
    <s v="&quot;...&quot; button"/>
    <s v="&quot;...&quot; button color"/>
    <s v="&quot;...&quot; button color is dark blue with white font. &quot;...&quot; text width is significantly smaller than the button width."/>
    <s v="&quot;...&quot; button color is light blue with white border. Font color is dark blue. &quot;...&quot; text width takes up most of the button width._x000a__x000a_When a row is highlighted, the button color is identical to the highlight color. This makes it difficult to see the button."/>
    <m/>
    <m/>
    <s v="10/29: leave as-is"/>
    <m/>
  </r>
  <r>
    <n v="13"/>
    <x v="0"/>
    <s v="Both"/>
    <x v="1"/>
    <x v="1"/>
    <x v="0"/>
    <s v="&quot;...&quot; column"/>
    <s v="&quot;...&quot; column is in the &quot;Additional Info&quot; column"/>
    <s v="The &quot;...&quot; field is in the &quot;Additional Info&quot; column."/>
    <s v="The &quot;...&quot; field is a separate unlabelled column between &quot;Additional Info&quot; and &quot;Alert Type&quot;"/>
    <d v="2025-11-13T00:00:00"/>
    <s v="Pass"/>
    <s v="10/29: devs to address so it fixes ID #15"/>
    <s v="10/29 SM - addressed. New unlabeled column added"/>
  </r>
  <r>
    <n v="14"/>
    <x v="0"/>
    <s v="Both"/>
    <x v="1"/>
    <x v="1"/>
    <x v="1"/>
    <s v="Alert Type"/>
    <s v="Header Display"/>
    <s v="The &quot;T&quot; and &quot;y&quot; in alert type overlap due to the large font size."/>
    <s v="1 image for this defect"/>
    <m/>
    <m/>
    <s v="10/29: leave as-is"/>
    <m/>
  </r>
  <r>
    <n v="15"/>
    <x v="0"/>
    <s v="Both"/>
    <x v="1"/>
    <x v="1"/>
    <x v="1"/>
    <s v="All Columns"/>
    <s v="Column values cutoff"/>
    <s v="Column values cut off at the same character count as the existing window."/>
    <s v="Column values cut off at the end of the column width."/>
    <m/>
    <m/>
    <s v="10/29: leave as-is"/>
    <m/>
  </r>
  <r>
    <n v="16"/>
    <x v="0"/>
    <s v="Both"/>
    <x v="1"/>
    <x v="1"/>
    <x v="1"/>
    <s v="All Columns"/>
    <s v="Data section background color"/>
    <s v="Data section background color is white."/>
    <s v="Data section background color is light blue to white gradient from top to bottom."/>
    <m/>
    <m/>
    <s v="10/29: leave as-is; just ensure consistency across screens"/>
    <m/>
  </r>
  <r>
    <n v="17"/>
    <x v="0"/>
    <s v="Both"/>
    <x v="1"/>
    <x v="1"/>
    <x v="1"/>
    <s v="All Columns"/>
    <s v="Column header colors"/>
    <s v="Column header color "/>
    <m/>
    <m/>
    <m/>
    <m/>
    <m/>
  </r>
  <r>
    <n v="18"/>
    <x v="0"/>
    <s v="Both"/>
    <x v="1"/>
    <x v="1"/>
    <x v="1"/>
    <s v="All Columns"/>
    <s v="Right click"/>
    <s v="Right clicking a field will highlighted the selected cell."/>
    <s v="Right clicking a field will have the same functionality as left click - highlighting the row in blue."/>
    <m/>
    <m/>
    <s v="10/29: leave as-is"/>
    <m/>
  </r>
  <r>
    <n v="19"/>
    <x v="2"/>
    <s v="Both"/>
    <x v="1"/>
    <x v="1"/>
    <x v="1"/>
    <s v="Calendar Icon"/>
    <s v="Colors/ Style Differ"/>
    <s v="Some UI elements differ between Blazor and Vision calendars._x000a_1. Calendar header displays the date/ month/ year range on the top left corner in blue font._x000a_2. Calendar header displays aup and down facing carrot icons. _x000a_3. Day of the week column headers use 1 letter abbreviations._x000a_4. &quot;Today&quot; button is a blue button on the bottom right with white font within the button._x000a_5. Year, decade, and century level results show months, years, and decades in light grey boxes with black text respectively._x000a_6. Selected Day/ Month/ Year/ Decade is blue with white font._x000a_"/>
    <s v="Some UI elements differ between Blazor and Vision calendars._x000a_1. Calendar header displays the date/ month/ year range towards the center in black font._x000a_2. Calendar header displays left and right facing arrows on the left and right side of the calendar header. _x000a_3. Day of the week column headers use 3 letter abbreviations._x000a_4. &quot;Today&quot; button is a white with a light blue border, centered with black text &quot;Today: MM/DD/YYYY&quot;._x000a_5. Year, decade, and century level results have no color differences._x000a_6. Selected Day/ Month/ Year/ Decade is light blue with darker blue border and black font._x000a_- 2 images included: One in column H and one in column I."/>
    <m/>
    <m/>
    <s v="10/29: leave as-is"/>
    <m/>
  </r>
  <r>
    <n v="20"/>
    <x v="2"/>
    <s v="Both"/>
    <x v="1"/>
    <x v="1"/>
    <x v="1"/>
    <s v="Calendar Icon"/>
    <s v="Highlighted Value"/>
    <s v="1. Select calendar icon to open calendar._x000a_2. Select month on the top to expand search to months in the current calendar year._x000a_3. Select the down up arrow to switch back to the previous calendar year - previously selected month is highlighted._x000a_- This occurs for Year/ Decade searches as well."/>
    <s v="1. Months view: January is highlighted. _x000a_2. Years view: years with a multiple of 10 are highlighted. _x000a_3. Decades view: the %00 - %10 option is highlighted."/>
    <m/>
    <m/>
    <s v="10/29: leave as-is"/>
    <m/>
  </r>
  <r>
    <n v="21"/>
    <x v="3"/>
    <s v="Both"/>
    <x v="0"/>
    <x v="1"/>
    <x v="1"/>
    <s v="Calendar on Search fields &quot;From Date:&quot; and &quot;To Date:&quot;"/>
    <s v="Locked Date Range"/>
    <s v="After a valid &quot;From Date:&quot; value is entered, &quot;To Date:&quot; calendar selection is restricted to be on or 10 days after the &quot;From Date:&quot;."/>
    <s v="This could be a good feature since job error log window is very slow in CRMQ/ CRMP, but this is not in the existing window._x000a_- 1 image for this defect"/>
    <m/>
    <m/>
    <s v="10/29: leave as-is"/>
    <s v="11/6 SM - left as-is"/>
  </r>
  <r>
    <n v="22"/>
    <x v="0"/>
    <s v="Both"/>
    <x v="1"/>
    <x v="1"/>
    <x v="1"/>
    <s v="N/A"/>
    <s v="Window Resizing"/>
    <s v="Decreasing the window size, then increasing the window size causes the alert type column to display twice."/>
    <m/>
    <m/>
    <m/>
    <s v="10/29: leave as-is for now (move to different cattegory to be addressed later)"/>
    <m/>
  </r>
  <r>
    <n v="23"/>
    <x v="0"/>
    <s v="Both"/>
    <x v="1"/>
    <x v="1"/>
    <x v="1"/>
    <s v="Search button"/>
    <s v="Search button color"/>
    <s v="Search button is dark blue with white font."/>
    <s v="Search button has, top to bottom, white to light blue gradient, navy blue font, and the 'S' in 'Search' is underlined."/>
    <m/>
    <m/>
    <s v="10/29: leave as-is"/>
    <m/>
  </r>
  <r>
    <n v="24"/>
    <x v="0"/>
    <s v="Both"/>
    <x v="1"/>
    <x v="1"/>
    <x v="1"/>
    <s v="Search button"/>
    <s v="Search button font size"/>
    <s v="Search button font size is ~10."/>
    <s v="Search button font size is ~12."/>
    <m/>
    <m/>
    <s v="10/29: leave as-is"/>
    <m/>
  </r>
  <r>
    <n v="25"/>
    <x v="3"/>
    <s v="Both"/>
    <x v="1"/>
    <x v="0"/>
    <x v="0"/>
    <s v="Search field &quot;Job Id:&quot;"/>
    <s v="Typing value into search field"/>
    <s v="After typing values into &quot;Job Id:&quot; field, the results appear for the first character only unless you type characters in rapid succession, ~1/6th of a second apart."/>
    <s v="Existing window allows ~2/3rds of a second between characters."/>
    <d v="2025-11-13T00:00:00"/>
    <s v="Pass"/>
    <s v="10/29: JL to follow up with SyncFusion to see if there is a fix"/>
    <s v="11/6 SM - added filtering to drop down"/>
  </r>
  <r>
    <n v="26"/>
    <x v="0"/>
    <s v="Both"/>
    <x v="1"/>
    <x v="1"/>
    <x v="1"/>
    <s v="All dropdowns "/>
    <s v="Selecting dropdown"/>
    <s v="Selecting dropdown causes a ~0.5 second lag before displaying the dropdown selection"/>
    <s v="Selecting dropdown displays list instantly."/>
    <m/>
    <m/>
    <s v="10/29: leave as-is"/>
    <m/>
  </r>
  <r>
    <n v="27"/>
    <x v="0"/>
    <s v="Both"/>
    <x v="1"/>
    <x v="1"/>
    <x v="1"/>
    <s v="Search field &quot;Job Id:&quot;"/>
    <s v="Hovering cursor over dropdown icon"/>
    <s v="When dropdown is selected, hovering cursor over the dropdown or carrot icon does not highlight the icon."/>
    <s v="When dropdown is selected, hovering cursor over the dropdown or carrot icon should highlight the icon."/>
    <m/>
    <m/>
    <s v="10/29: leave as-is"/>
    <m/>
  </r>
  <r>
    <n v="28"/>
    <x v="0"/>
    <s v="Both"/>
    <x v="1"/>
    <x v="1"/>
    <x v="1"/>
    <s v="Search field labels"/>
    <s v="Search field label font size"/>
    <s v="Search field - &quot;From Date:&quot;, &quot;To Date:&quot;, &quot;Job Id:&quot; - font size is ~10."/>
    <s v="Search field font size is ~12."/>
    <m/>
    <m/>
    <s v="10/29: leave as-is"/>
    <m/>
  </r>
  <r>
    <n v="29"/>
    <x v="3"/>
    <s v="Both"/>
    <x v="1"/>
    <x v="2"/>
    <x v="0"/>
    <s v="Date Fields"/>
    <s v="Format is not fixed"/>
    <s v="User can type values outside of the MM/DD/YYYY format into 'From Date:' and 'To Date:' fields."/>
    <s v="Expected result is the format MM/DD/YYYY is locked._x000a_- Search validation rules prevent invalid entries._x000a_- 3 images for this defect"/>
    <d v="2025-11-13T00:00:00"/>
    <s v="Pass with Comments"/>
    <s v="11/13: Format is fixed, but new issues occur. See Defects 45, 46, 47, 48, 49"/>
    <s v="10/29 SM - addressed via mask"/>
  </r>
  <r>
    <n v="30"/>
    <x v="0"/>
    <s v="Both"/>
    <x v="1"/>
    <x v="1"/>
    <x v="1"/>
    <s v="Search fields &quot;From Date:&quot; and &quot;To Date:&quot;"/>
    <s v="Calendar Icon"/>
    <s v="Search field - &quot;From Date:&quot;, &quot;To Date:&quot; have a calendar icon on the right side."/>
    <s v="Search field - &quot;From Date:&quot;, &quot;To Date:&quot; have a dropdown or carrot icon on the right side."/>
    <m/>
    <m/>
    <s v="10/29: leave as-is"/>
    <m/>
  </r>
  <r>
    <n v="31"/>
    <x v="0"/>
    <s v="Both"/>
    <x v="1"/>
    <x v="1"/>
    <x v="0"/>
    <s v="Search fields &quot;From Date:&quot; and &quot;To Date:&quot;"/>
    <s v="Cursor location"/>
    <s v="Selecting the search fields &quot;From Date:&quot; and &quot;To Date:&quot; causes the cursor to be located at the point of selection."/>
    <s v="Cursor should default to the left of the cell"/>
    <d v="2025-12-04T00:00:00"/>
    <s v="Pass with Comments"/>
    <s v="11/13: Cursor defaults to right side of the cell_x000a_12/4: Cursor defaults to selected location. This occurs for all Blazor date fields."/>
    <s v="11/25 SM - I believe this has been addressed on 11/24's meeting. Leaving as-is"/>
  </r>
  <r>
    <n v="32"/>
    <x v="0"/>
    <s v="Both"/>
    <x v="1"/>
    <x v="1"/>
    <x v="0"/>
    <s v="Search section"/>
    <s v="Search section background color"/>
    <s v="Search section has white background with light blue border."/>
    <s v="Search section matches the window background (light blue)."/>
    <d v="2025-11-13T00:00:00"/>
    <s v="Pass"/>
    <s v="11/13: Matches UI of other Blazor windows"/>
    <s v="10/30 SM - has been addressed. Will be consistant with other windows"/>
  </r>
  <r>
    <n v="33"/>
    <x v="0"/>
    <s v="Both"/>
    <x v="1"/>
    <x v="1"/>
    <x v="0"/>
    <s v="Search section"/>
    <s v="Section size changes"/>
    <s v="Select search section or field in search section causes the search section size to decrease and the data section to increase."/>
    <s v="Search section height should be fixed. Search fields and search button are the only selectable areas."/>
    <d v="2025-11-13T00:00:00"/>
    <s v="Pass"/>
    <m/>
    <s v="10/30 SM - search section height now is fixed"/>
  </r>
  <r>
    <n v="34"/>
    <x v="0"/>
    <s v="Both"/>
    <x v="1"/>
    <x v="1"/>
    <x v="0"/>
    <s v="Search section"/>
    <s v="No rows retrieved message"/>
    <s v="Searching for criteria with no results displays the No Rows error message. The error message has the following UI elements:_x000a_1*. Information logo is to the left of the error message header._x000a_2*. Header font size is ~18 and font color is black._x000a_3*. Background of the error message is white._x000a_4*. &quot;OK&quot; button is blue with white font._x000a_5*. &quot;OK&quot; button font size is ~12._x000a_6*. Body font size is ~12._x000a_7. &quot;No rows retrieved.&quot; text includes a period._x000a_8*. Hovering cursor over &quot;OK&quot; button or X changes the cursor to a hand with pointer finger._x000a_9. Background of the window is replaced by grey color._x000a_*These items are present in all Blazor popups."/>
    <s v="Searching for criteria with no results displays the No Rows error message. The error message has the following UI elements:_x000a_1. Information logo is to the left of the error message body._x000a_2. Header font size is ~12 and font color is grey._x000a_3. Background of the error message body is white, but the header and bottom sections are light grey._x000a_4. &quot;OK&quot; button is white with black font._x000a_5. &quot;OK&quot; button font size is ~9._x000a_6. &quot;No rows retrieved.&quot; font size is ~9._x000a_7. &quot;No rows retrieved&quot; text does not include a period._x000a_8. Hovering cursor over &quot;OK&quot; button or X maintains the arrow cursor._x000a_9. Window is visible behind the error message._x000a_- 2 images included, one in Column H and one in Column I."/>
    <d v="2025-11-13T00:00:00"/>
    <s v="Pass"/>
    <s v="10/29: devs to review_x000a_11/13: Pass. Rows display in background of error message"/>
    <s v="10/30 SM - has been addressed. ro results popup removed"/>
  </r>
  <r>
    <n v="35"/>
    <x v="0"/>
    <s v="Both"/>
    <x v="1"/>
    <x v="1"/>
    <x v="1"/>
    <s v="Window"/>
    <s v="Window background color"/>
    <s v="Window background color is a light blue gradient."/>
    <s v="Window background color is light blue."/>
    <d v="2025-11-13T00:00:00"/>
    <s v="Pass"/>
    <m/>
    <s v="11/4 SM - leaving as-is"/>
  </r>
  <r>
    <n v="36"/>
    <x v="0"/>
    <s v="Both"/>
    <x v="1"/>
    <x v="1"/>
    <x v="1"/>
    <s v="Window"/>
    <s v="Window size"/>
    <s v="Window content spans the full width of the Vision application."/>
    <s v="Window spans slightly more than half the width of Vision application."/>
    <m/>
    <m/>
    <s v="10/29: leave as-is"/>
    <m/>
  </r>
  <r>
    <n v="37"/>
    <x v="0"/>
    <s v="Both"/>
    <x v="1"/>
    <x v="1"/>
    <x v="1"/>
    <s v="Window"/>
    <s v="Window Load"/>
    <s v="While window is loading, the bottom right time continues."/>
    <s v="While window is loading, the bottom right time is paused."/>
    <m/>
    <m/>
    <s v="10/29: leave as-is"/>
    <m/>
  </r>
  <r>
    <n v="38"/>
    <x v="1"/>
    <s v="Both"/>
    <x v="0"/>
    <x v="1"/>
    <x v="1"/>
    <s v="Column Headers"/>
    <s v="Column width is adjustable"/>
    <s v="1. Search for a valid result_x000a_2. Hover cursor on white column border - cursor will change to vertical lines_x000a_3. Select white column border_x000a_4. Drag border left and right - column width will adjust_x000a_"/>
    <s v="Column width is not adjustable."/>
    <d v="2025-11-13T00:00:00"/>
    <s v="Pass"/>
    <s v="10/29: leave as-is"/>
    <s v="11/4 SM - leaving as-is"/>
  </r>
  <r>
    <n v="39"/>
    <x v="1"/>
    <s v="Both"/>
    <x v="1"/>
    <x v="1"/>
    <x v="0"/>
    <s v="Tooltip"/>
    <s v="Tooltip shape"/>
    <s v="1. Search for a valid result_x000a_2. Hover cursor over any row value_x000a_3. Tooltip appears - tooltip shape is a rectangle"/>
    <s v="Tooltip shape is a speech bubble."/>
    <d v="2025-11-13T00:00:00"/>
    <s v="Pass"/>
    <s v="11/13: Defect addressed. See Defect 44"/>
    <s v="10/30 SM - addressed. Tooltip modified"/>
  </r>
  <r>
    <n v="40"/>
    <x v="1"/>
    <s v="Both"/>
    <x v="1"/>
    <x v="1"/>
    <x v="0"/>
    <s v="Additional Info"/>
    <s v="Adjusting column width"/>
    <s v="1. Search for a valid result_x000a_2. Minimize the &quot;Additional Info&quot; column width - blue &quot;...&quot; buttons are no longer in line"/>
    <m/>
    <d v="2025-11-13T00:00:00"/>
    <s v="Pass"/>
    <m/>
    <s v="10/29 SM - addressed by making button its own column"/>
  </r>
  <r>
    <n v="41"/>
    <x v="1"/>
    <s v="Both"/>
    <x v="1"/>
    <x v="1"/>
    <x v="1"/>
    <s v="Dt Error and Alert Type"/>
    <s v="Adjusting column width"/>
    <s v="Decreasing the column width to partially cut of the values causes 3 dots to appear in place of the missing characters."/>
    <s v="Other Vision windows with this feature, such as ATP Dashboard and Summary Judgment window, will cut off the text. Other blazor columns do this as well."/>
    <m/>
    <m/>
    <s v="10/29: leave as-is"/>
    <s v="11/6 SM - leaving as-is"/>
  </r>
  <r>
    <n v="42"/>
    <x v="1"/>
    <s v="Both"/>
    <x v="1"/>
    <x v="1"/>
    <x v="0"/>
    <s v="Window"/>
    <s v="Modifying Window Views - Horizontal"/>
    <s v="1. Search for a valid result._x000a_2. Open at least one window besides Job Error Log blazor._x000a_3. On the top menu options, select &quot;Window&quot;, then &quot;Horizontal&quot; - White area at the bottom of the window remains, which decreases the amount of data visible in the data section"/>
    <m/>
    <d v="2025-11-13T00:00:00"/>
    <s v="Pass"/>
    <m/>
    <s v="10/30 SM - added dynamic height, please retest"/>
  </r>
  <r>
    <n v="43"/>
    <x v="4"/>
    <s v="Both"/>
    <x v="1"/>
    <x v="1"/>
    <x v="0"/>
    <s v="Window"/>
    <s v="Search"/>
    <s v="Ctrl + Shift + F search does not work"/>
    <s v="Ctrl + Shift + F applies search in data section"/>
    <d v="2025-12-04T00:00:00"/>
    <s v="Pass"/>
    <s v="11/03: not included in blazor_x000a_11/13: Ctrl + F added in window with the same functionality_x000a_11/24: Devs to update"/>
    <s v="11/25 SM - added CTRL+SHIFT+F keyboard shortcut to find. "/>
  </r>
  <r>
    <n v="44"/>
    <x v="5"/>
    <s v="Both"/>
    <x v="1"/>
    <x v="1"/>
    <x v="0"/>
    <s v="Window"/>
    <s v="Tooltip appears too quickly"/>
    <s v="When hovering cursor over a data, the tooltip immediately appears."/>
    <s v="Hovering cursor over data takes ~1 second to appear. Previous QA version was a good pace."/>
    <d v="2025-12-04T00:00:00"/>
    <s v="Pass"/>
    <s v="11/24: Devs to fix"/>
    <s v="11/25 SM - added 300 milliseconds delay when user first hovers over column with tooltip. Additionally, there is a close delay I can add if the tooltip closes to fast if requested."/>
  </r>
  <r>
    <n v="45"/>
    <x v="5"/>
    <s v="Both"/>
    <x v="1"/>
    <x v="0"/>
    <x v="1"/>
    <s v="Search fields &quot;From Date:&quot; and &quot;To Date:&quot;"/>
    <s v="Typing in date field"/>
    <s v="1. Select date field - cursor appears on right most cell_x000a_2. Select month section - both month digits highlight_x000a_3. Type month - days section highlights_x000a_4. Type day - year section highlights_x000a_5. Type year"/>
    <s v="Marked as major because this will affect all formatted date fields_x000a__x000a_In existing window, the cursor will move to the next cell rather than highlighting all digits associated with the month/ day/ year"/>
    <m/>
    <m/>
    <s v="Overall for the date issues, the issue occurs because blazor highlights the month/ day/ year section, while PB uses cursor only_x000a_11/24: leave as is"/>
    <m/>
  </r>
  <r>
    <n v="46"/>
    <x v="5"/>
    <s v="Both"/>
    <x v="1"/>
    <x v="0"/>
    <x v="1"/>
    <s v="Search fields &quot;From Date:&quot; and &quot;To Date:&quot;"/>
    <s v="Modifying single digit month to 2 digit month"/>
    <s v="1. Select and clear date field_x000a_2. Type valid single digit month date, such as 01/01/2025_x000a_3. Double click, or sometimes single click, the month section_x000a_4. Type &quot;12&quot; - 01/02/XXXX appears"/>
    <s v="Marked as major because this will affect all formatted date fields"/>
    <m/>
    <m/>
    <s v="11/24: leave as is"/>
    <s v="11/21 SM - could not reproduce issue"/>
  </r>
  <r>
    <n v="47"/>
    <x v="5"/>
    <s v="Both"/>
    <x v="1"/>
    <x v="0"/>
    <x v="1"/>
    <s v="Search fields &quot;From Date:&quot; and &quot;To Date:&quot;"/>
    <s v="Numbers populate incorrectly if &quot;0&quot; is typed"/>
    <s v="1. Type a date into date field_x000a_2. Type '0' in highlight section - month, day, or year - '0' only is entered into the cell and you are not able to type the second character"/>
    <s v="Marked as major because this will affect all formatted date fields"/>
    <m/>
    <m/>
    <s v="11/24: leave as is"/>
    <m/>
  </r>
  <r>
    <n v="48"/>
    <x v="5"/>
    <s v="Both"/>
    <x v="1"/>
    <x v="0"/>
    <x v="1"/>
    <s v="Search fields &quot;From Date:&quot; and &quot;To Date:&quot;"/>
    <s v="00/00/0000 populates when date is invalid"/>
    <s v="1. Clear date fields_x000a_2. Type invalid date into date fields, such as 12/00/0000_x000a_3. Exit the field_x000a_4. Select the field - 00/00/0000 displays"/>
    <s v="Marked as major because this will affect all formatted date fields"/>
    <m/>
    <m/>
    <s v="11/24: leave as is"/>
    <s v="11/21 SM - 2 options: can become 00/00/0000 or return to previously valid date - using an option called STRICT MODE_x000a_11/25 SM - using strict mode to reset the date to the last valid date entered. Additionally, I wanted to note the I set the minimum date able to 1/1/1900 in case this date appears in testing"/>
  </r>
  <r>
    <n v="49"/>
    <x v="5"/>
    <s v="Both"/>
    <x v="1"/>
    <x v="0"/>
    <x v="1"/>
    <s v="Search fields &quot;From Date:&quot;"/>
    <s v="00/00/0000 populates when date is invalid"/>
    <s v="1. Type old date into date field, such as 12/12/1200_x000a_2. Date field highlights as red_x000a_3. Type same old date into date field for 'To Date' field._x000a_4. Date field is not highlighted red"/>
    <s v="Marked as major because this will affect all formatted date fields_x000a_- 1 image for the defect"/>
    <m/>
    <m/>
    <s v="11/24: leave as is"/>
    <s v="11/21 SM - The to_date validation logic is working as designed. Since 12/12/1200 falls within the maximum date range from from_date, no validation error displays on to_date. Updated from_date to enforce a minimum value of 01/01/1900."/>
  </r>
  <r>
    <n v="50"/>
    <x v="5"/>
    <s v="Web Only"/>
    <x v="1"/>
    <x v="1"/>
    <x v="1"/>
    <s v="Help Button"/>
    <s v="Erraneous Help button in Web Version"/>
    <s v="There is an erraneous Help button on the top left of the window that has no functionality"/>
    <s v="Help button can be removed."/>
    <m/>
    <m/>
    <s v="11/24: leave as is"/>
    <m/>
  </r>
  <r>
    <n v="51"/>
    <x v="6"/>
    <s v="Web Only"/>
    <x v="1"/>
    <x v="1"/>
    <x v="0"/>
    <s v="Scroll"/>
    <s v="Window height allows for scroll"/>
    <s v="In Web version, you can slightly scroll down the main window. Should less rows be visible in the web version to prevent the scroll?"/>
    <m/>
    <d v="2025-12-04T00:00:00"/>
    <s v="Pass"/>
    <s v="11/24: Devs to fix"/>
    <s v="11/25 SM - has been addressed. Window is responsive for powerbuilder and visionNG. No more vertical scrollbar"/>
  </r>
  <r>
    <n v="52"/>
    <x v="7"/>
    <s v="Web Only"/>
    <x v="1"/>
    <x v="2"/>
    <x v="1"/>
    <s v="Scroll"/>
    <s v="Multiple Scroll bars on minimized window"/>
    <s v="After adjustment for Defect 51, new issue where there are 3 scroll bars on a minimized window. The middle and right most scroll bars work as expected. The left most scroll bar will scroll past the visible area. You will not be able to find the scroll bar location until you adjust the middle or right most scroll bars."/>
    <s v="Possible Options:_x000a_- Switch Job Error Log window to paging_x000a_- remove left most scrollbar"/>
    <m/>
    <m/>
    <s v="12/15: leave as is for now"/>
    <m/>
  </r>
  <r>
    <n v="53"/>
    <x v="7"/>
    <s v="Both"/>
    <x v="1"/>
    <x v="1"/>
    <x v="2"/>
    <s v="Ctrl + Shift + F"/>
    <s v="Search bar remains during refresh"/>
    <s v="1. Type Ctrl + Shift + F - search field opens_x000a_2. Select F3 - refresh no longer works. When refresh does work, search field remains open. Can be closed with Esc only during the refresh_x000a_"/>
    <m/>
    <m/>
    <m/>
    <s v="12/15: devs to address"/>
    <m/>
  </r>
  <r>
    <n v="54"/>
    <x v="7"/>
    <s v="Both"/>
    <x v="1"/>
    <x v="1"/>
    <x v="2"/>
    <s v="Ctrl + Shift + F"/>
    <s v="Typing or deleting in search bar"/>
    <s v="Typing or deleting text in the Ctrl + Shift + F search area causes the cursor to move back a space sporadically "/>
    <s v="Issue occurs in all windows"/>
    <m/>
    <m/>
    <s v="12/15: devs to address"/>
    <m/>
  </r>
  <r>
    <n v="55"/>
    <x v="7"/>
    <s v="Both"/>
    <x v="1"/>
    <x v="3"/>
    <x v="1"/>
    <s v="Column Sort"/>
    <s v="Sort on empty cells"/>
    <s v="This is not a defect. No action item added for awareness. _x000a__x000a_In PB if a column has both null values and values of any other datatype, the ascending and descending sort will display the null values on top. In Blazor, the null values will appear on top when sorted in ascending order and will appear on the bottom in descending order"/>
    <s v="BSAs discussed and agreed the Blazor behavior is preferred. Not a defect. This null sort behavior should be present in all Blazor windows moving forward._x000a__x000a_Down the line, we will need to check how the sort behavior works if the column has 2 datatypes and a null value. This occurs in some ATP Dashboard and Summary Judgment window columns."/>
    <m/>
    <m/>
    <m/>
    <m/>
  </r>
  <r>
    <n v="56"/>
    <x v="7"/>
    <s v="Both"/>
    <x v="0"/>
    <x v="2"/>
    <x v="1"/>
    <s v="Date Fields"/>
    <s v="Strict Mode"/>
    <s v="Instead of having fluid validation on the date fields, the date fields will automatically correct to a valid date range"/>
    <m/>
    <m/>
    <m/>
    <s v="12/15: leave as is"/>
    <m/>
  </r>
  <r>
    <n v="57"/>
    <x v="8"/>
    <s v="Both"/>
    <x v="0"/>
    <x v="0"/>
    <x v="1"/>
    <s v="Window"/>
    <s v="Buttons do not work on initial open"/>
    <s v="When initially opening the window, the calendar icons did not work, the date field selection was not the month/ day/ year highlighting it normally has, and the job id dropdown button did not work"/>
    <s v="Not sure if this is replicable"/>
    <m/>
    <m/>
    <s v="12/15: leave as is for now"/>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n v="1"/>
    <x v="0"/>
    <s v="Both"/>
    <x v="0"/>
    <x v="0"/>
    <x v="0"/>
    <s v="Window"/>
    <s v="Window Load Time"/>
    <s v="CRMD: 6 seconds_x000a_CRMQ: 40 seconds"/>
    <s v="CRMD: 2 seconds_x000a_CRMQ: 35 seconds"/>
    <d v="2025-11-13T00:00:00"/>
    <s v="Pass"/>
    <s v="10/29: devs to review_x000a_11/13: Pass. 4 seconds to load in CRMQ!"/>
    <s v="11/6 SM - loads slow 1st time, but ~3s after"/>
  </r>
  <r>
    <n v="2"/>
    <x v="0"/>
    <s v="Both"/>
    <x v="0"/>
    <x v="0"/>
    <x v="0"/>
    <s v="Window"/>
    <s v="Load Time - Results Expected"/>
    <s v="CRMD 10/10/25 - 10/20/25 Job ID All: (Morning) 50 seconds to load 19,712 rows. (~4:50pm) 74 seconds to load 19,712 rows._x000a_CRMQ 10/21/25 - 10/21/25 Job ID All: 24 seconds to load 833 rows._x000a_CRMQ 10/19/25 - 10/20/25 Job ID All: Load failed at 100 seconds. Error message appears. After closing the window, data section will display &quot;No records to display&quot;"/>
    <s v="CRMD 10/10/25 - 10/20/25 Job ID All: (Morning and ~5pm) 4 seconds to load a 19,712 rows._x000a_CRMQ: 10/21/25 - 10/21/25 Job ID All: 19 seconds to load 833 rows._x000a_CRMQ 10/19/25  - 10/20/25 Job ID All: 35 seconds to load 123,785 rows._x000a_- 1 image for this defect"/>
    <d v="2025-12-10T00:00:00"/>
    <s v="Pass with Comments"/>
    <s v="10/29: retest later this week; should receive timeout message instead of unexpected error_x000a_11/13: CRMD 10/10 - 10/20 load time is 9 seconds. CRMQ 10/21/25 load time is 20 seconds, which matches Vision. CRMQ 10/19 - 10/20 throws error message the first time loading, then successfully loads in ~95 seconds. CRMQ 10/26 - 10/27 fails first time. Error message is updated:_x000a_11/24: Devs to fix with indexing_x000a_12/4: After index/ mass datafix:_x000a_CRMQ old window 10/19 - 10/20: 20-22 seconds_x000a_12/11: CRMQ 12/1 - 12/11 notice ftp driver 6314 rows: 8 seconds blazor in PB, 7 seconds blazor web, 2 seconds existing"/>
    <s v="10/29 SM - error message are more descriptive now_x000a_12/1 SM - will add indexing with next build to the table, but this is not NG related."/>
  </r>
  <r>
    <n v="3"/>
    <x v="0"/>
    <s v="Both"/>
    <x v="0"/>
    <x v="0"/>
    <x v="0"/>
    <s v="Window"/>
    <s v="Minimize/ Maximize Vision Application"/>
    <s v="1. Minimize Vision application_x000a_2. Use other windows on device_x000a_3. Select Vision Application_x000a_4a. Job Error Log window opens, shows white, then after 7-8 seconds will show the window again._x000a_4b. Job Error Log window shows white, then after 4 seconds will show previous information._x000a_5. Selecting window after these steps causes lag."/>
    <s v="Job Error Log window is immediately available. There is no lag when selecting rows."/>
    <d v="2025-11-13T00:00:00"/>
    <s v="Pass"/>
    <m/>
    <s v="11/6 SM - not addressed. I don't recall what was discussed during the qa meeting for this."/>
  </r>
  <r>
    <n v="4"/>
    <x v="0"/>
    <s v="Both"/>
    <x v="0"/>
    <x v="1"/>
    <x v="1"/>
    <s v="Error / No Results Found messages"/>
    <s v="Window level buttons work when popup appears"/>
    <s v="1. Search for invalid criteria or criteria with no results._x000a_2. Applicable display message appears._x000a_3. Select window level minimize, maximize, and &quot;X&quot; button - all buttons work."/>
    <s v="The window level buttons are disabled when any messages appear."/>
    <m/>
    <m/>
    <s v="10/29: leave as-is"/>
    <m/>
  </r>
  <r>
    <n v="5"/>
    <x v="1"/>
    <s v="Both"/>
    <x v="0"/>
    <x v="1"/>
    <x v="1"/>
    <s v="Error / No Results Found messages"/>
    <s v="Other Vision areas work when popup appears"/>
    <s v="1. Search for invalid criteria or criteria with no results._x000a_2. Applicable display message appears._x000a_3. Select another window, a first row icon, or any menus in Vision - all options are selectable."/>
    <s v="All other functionality is disabled."/>
    <m/>
    <m/>
    <s v="10/29: leave as-is"/>
    <m/>
  </r>
  <r>
    <n v="6"/>
    <x v="2"/>
    <s v="Both"/>
    <x v="0"/>
    <x v="1"/>
    <x v="1"/>
    <s v="Search field &quot;To Date:&quot;"/>
    <s v="Restricted to &lt;= Sysdate"/>
    <s v="Calendar Date selections are restricted to be &lt;= sysdate."/>
    <s v="Existing window does not have this validation._x000a_- 1 image included"/>
    <m/>
    <m/>
    <s v="10/29: leave as-is"/>
    <m/>
  </r>
  <r>
    <n v="7"/>
    <x v="3"/>
    <s v="Both"/>
    <x v="0"/>
    <x v="0"/>
    <x v="0"/>
    <s v="Vision level &quot;X&quot;"/>
    <s v="Job Error window only closes"/>
    <s v="Selecting the Vision level &quot;X&quot; closes the Job Error Log window only."/>
    <s v="Selecting Vision level &quot;X&quot; closes Vision application."/>
    <d v="2025-11-13T00:00:00"/>
    <s v="Pass"/>
    <s v="10/29: devs to fix"/>
    <s v="10/30 SM - has been addressed via vision update"/>
  </r>
  <r>
    <n v="8"/>
    <x v="0"/>
    <s v="Both"/>
    <x v="0"/>
    <x v="0"/>
    <x v="0"/>
    <s v="Window"/>
    <s v="Page Up/Down keys vs scrolling"/>
    <s v="Using page up and page down has no effect on the window."/>
    <s v="Using page up and page down moves the data to the first row outside of the visible datawindow."/>
    <d v="2025-11-13T00:00:00"/>
    <s v="Pass"/>
    <m/>
    <s v="10/31 SM - addressed. Note, other windows use F7, F8, etc. "/>
  </r>
  <r>
    <n v="9"/>
    <x v="0"/>
    <s v="Both"/>
    <x v="0"/>
    <x v="0"/>
    <x v="0"/>
    <s v="Window"/>
    <s v="Up and Down keys"/>
    <s v="Using up and down keys on the top most or bottom most row displays, the next available row. The second key press of the same key displays the next 7 rows."/>
    <s v="Using up and down keys on the top most and bottom most row displays the next available row each iteration."/>
    <d v="2025-11-13T00:00:00"/>
    <s v="Pass with Comments"/>
    <s v="11/13: Changes work. However, if you hold the up or down arrow for a long time, the scroll is eventually slower than the up/ down arrow. This causes the highlighted cell to no longer appear in the view. Might need to be addressed by SyncFusion, but this is very minor and a user would likely not do this._x000a_11/24: lazy load"/>
    <s v="10/31 SM - addressed. Note, other windows use F7, F8, etc. "/>
  </r>
  <r>
    <n v="10"/>
    <x v="0"/>
    <s v="Both"/>
    <x v="0"/>
    <x v="0"/>
    <x v="1"/>
    <s v="Window"/>
    <s v="Loading During Deployment"/>
    <s v="1. Open window and update search fields for valid search._x000a_2. Select &quot;Search&quot; button_x000a_3. Changes deployed_x000a_4. &quot;Rejoining the server...&quot; message appears and window does not load the search."/>
    <m/>
    <m/>
    <m/>
    <s v="10/29: devs to send notices of deployment; deployments to be done COB hours"/>
    <m/>
  </r>
  <r>
    <n v="11"/>
    <x v="0"/>
    <s v="Both"/>
    <x v="0"/>
    <x v="0"/>
    <x v="0"/>
    <s v="Window level &quot;X&quot;"/>
    <s v="Slow to close window"/>
    <s v="Window close takes ~1 second."/>
    <s v="Window closes instantly."/>
    <d v="2025-11-13T00:00:00"/>
    <s v="Pass"/>
    <m/>
    <m/>
  </r>
  <r>
    <n v="12"/>
    <x v="0"/>
    <s v="Both"/>
    <x v="1"/>
    <x v="1"/>
    <x v="1"/>
    <s v="&quot;...&quot; button"/>
    <s v="&quot;...&quot; button color"/>
    <s v="&quot;...&quot; button color is dark blue with white font. &quot;...&quot; text width is significantly smaller than the button width."/>
    <s v="&quot;...&quot; button color is light blue with white border. Font color is dark blue. &quot;...&quot; text width takes up most of the button width._x000a__x000a_When a row is highlighted, the button color is identical to the highlight color. This makes it difficult to see the button."/>
    <m/>
    <m/>
    <s v="10/29: leave as-is"/>
    <m/>
  </r>
  <r>
    <n v="13"/>
    <x v="0"/>
    <s v="Both"/>
    <x v="1"/>
    <x v="1"/>
    <x v="0"/>
    <s v="&quot;...&quot; column"/>
    <s v="&quot;...&quot; column is in the &quot;Additional Info&quot; column"/>
    <s v="The &quot;...&quot; field is in the &quot;Additional Info&quot; column."/>
    <s v="The &quot;...&quot; field is a separate unlabelled column between &quot;Additional Info&quot; and &quot;Alert Type&quot;"/>
    <d v="2025-11-13T00:00:00"/>
    <s v="Pass"/>
    <s v="10/29: devs to address so it fixes ID #15"/>
    <s v="10/29 SM - addressed. New unlabeled column added"/>
  </r>
  <r>
    <n v="14"/>
    <x v="0"/>
    <s v="Both"/>
    <x v="1"/>
    <x v="1"/>
    <x v="1"/>
    <s v="Alert Type"/>
    <s v="Header Display"/>
    <s v="The &quot;T&quot; and &quot;y&quot; in alert type overlap due to the large font size."/>
    <s v="1 image for this defect"/>
    <m/>
    <m/>
    <s v="10/29: leave as-is"/>
    <m/>
  </r>
  <r>
    <n v="15"/>
    <x v="0"/>
    <s v="Both"/>
    <x v="1"/>
    <x v="1"/>
    <x v="1"/>
    <s v="All Columns"/>
    <s v="Column values cutoff"/>
    <s v="Column values cut off at the same character count as the existing window."/>
    <s v="Column values cut off at the end of the column width."/>
    <m/>
    <m/>
    <s v="10/29: leave as-is"/>
    <m/>
  </r>
  <r>
    <n v="16"/>
    <x v="0"/>
    <s v="Both"/>
    <x v="1"/>
    <x v="1"/>
    <x v="1"/>
    <s v="All Columns"/>
    <s v="Data section background color"/>
    <s v="Data section background color is white."/>
    <s v="Data section background color is light blue to white gradient from top to bottom."/>
    <m/>
    <m/>
    <s v="10/29: leave as-is; just ensure consistency across screens"/>
    <m/>
  </r>
  <r>
    <n v="17"/>
    <x v="0"/>
    <s v="Both"/>
    <x v="1"/>
    <x v="1"/>
    <x v="1"/>
    <s v="All Columns"/>
    <s v="Column header colors"/>
    <s v="Column header color "/>
    <m/>
    <m/>
    <m/>
    <m/>
    <m/>
  </r>
  <r>
    <n v="18"/>
    <x v="0"/>
    <s v="Both"/>
    <x v="1"/>
    <x v="1"/>
    <x v="1"/>
    <s v="All Columns"/>
    <s v="Right click"/>
    <s v="Right clicking a field will highlighted the selected cell."/>
    <s v="Right clicking a field will have the same functionality as left click - highlighting the row in blue."/>
    <m/>
    <m/>
    <s v="10/29: leave as-is"/>
    <m/>
  </r>
  <r>
    <n v="19"/>
    <x v="2"/>
    <s v="Both"/>
    <x v="1"/>
    <x v="1"/>
    <x v="1"/>
    <s v="Calendar Icon"/>
    <s v="Colors/ Style Differ"/>
    <s v="Some UI elements differ between Blazor and Vision calendars._x000a_1. Calendar header displays the date/ month/ year range on the top left corner in blue font._x000a_2. Calendar header displays aup and down facing carrot icons. _x000a_3. Day of the week column headers use 1 letter abbreviations._x000a_4. &quot;Today&quot; button is a blue button on the bottom right with white font within the button._x000a_5. Year, decade, and century level results show months, years, and decades in light grey boxes with black text respectively._x000a_6. Selected Day/ Month/ Year/ Decade is blue with white font._x000a_"/>
    <s v="Some UI elements differ between Blazor and Vision calendars._x000a_1. Calendar header displays the date/ month/ year range towards the center in black font._x000a_2. Calendar header displays left and right facing arrows on the left and right side of the calendar header. _x000a_3. Day of the week column headers use 3 letter abbreviations._x000a_4. &quot;Today&quot; button is a white with a light blue border, centered with black text &quot;Today: MM/DD/YYYY&quot;._x000a_5. Year, decade, and century level results have no color differences._x000a_6. Selected Day/ Month/ Year/ Decade is light blue with darker blue border and black font._x000a_- 2 images included: One in column H and one in column I."/>
    <m/>
    <m/>
    <s v="10/29: leave as-is"/>
    <m/>
  </r>
  <r>
    <n v="20"/>
    <x v="2"/>
    <s v="Both"/>
    <x v="1"/>
    <x v="1"/>
    <x v="1"/>
    <s v="Calendar Icon"/>
    <s v="Highlighted Value"/>
    <s v="1. Select calendar icon to open calendar._x000a_2. Select month on the top to expand search to months in the current calendar year._x000a_3. Select the down up arrow to switch back to the previous calendar year - previously selected month is highlighted._x000a_- This occurs for Year/ Decade searches as well."/>
    <s v="1. Months view: January is highlighted. _x000a_2. Years view: years with a multiple of 10 are highlighted. _x000a_3. Decades view: the %00 - %10 option is highlighted."/>
    <m/>
    <m/>
    <s v="10/29: leave as-is"/>
    <m/>
  </r>
  <r>
    <n v="21"/>
    <x v="3"/>
    <s v="Both"/>
    <x v="0"/>
    <x v="1"/>
    <x v="1"/>
    <s v="Calendar on Search fields &quot;From Date:&quot; and &quot;To Date:&quot;"/>
    <s v="Locked Date Range"/>
    <s v="After a valid &quot;From Date:&quot; value is entered, &quot;To Date:&quot; calendar selection is restricted to be on or 10 days after the &quot;From Date:&quot;."/>
    <s v="This could be a good feature since job error log window is very slow in CRMQ/ CRMP, but this is not in the existing window._x000a_- 1 image for this defect"/>
    <m/>
    <m/>
    <s v="10/29: leave as-is"/>
    <s v="11/6 SM - left as-is"/>
  </r>
  <r>
    <n v="22"/>
    <x v="0"/>
    <s v="Both"/>
    <x v="1"/>
    <x v="1"/>
    <x v="1"/>
    <s v="N/A"/>
    <s v="Window Resizing"/>
    <s v="Decreasing the window size, then increasing the window size causes the alert type column to display twice."/>
    <m/>
    <m/>
    <m/>
    <s v="10/29: leave as-is for now (move to different cattegory to be addressed later)"/>
    <m/>
  </r>
  <r>
    <n v="23"/>
    <x v="0"/>
    <s v="Both"/>
    <x v="1"/>
    <x v="1"/>
    <x v="1"/>
    <s v="Search button"/>
    <s v="Search button color"/>
    <s v="Search button is dark blue with white font."/>
    <s v="Search button has, top to bottom, white to light blue gradient, navy blue font, and the 'S' in 'Search' is underlined."/>
    <m/>
    <m/>
    <s v="10/29: leave as-is"/>
    <m/>
  </r>
  <r>
    <n v="24"/>
    <x v="0"/>
    <s v="Both"/>
    <x v="1"/>
    <x v="1"/>
    <x v="1"/>
    <s v="Search button"/>
    <s v="Search button font size"/>
    <s v="Search button font size is ~10."/>
    <s v="Search button font size is ~12."/>
    <m/>
    <m/>
    <s v="10/29: leave as-is"/>
    <m/>
  </r>
  <r>
    <n v="25"/>
    <x v="3"/>
    <s v="Both"/>
    <x v="1"/>
    <x v="0"/>
    <x v="0"/>
    <s v="Search field &quot;Job Id:&quot;"/>
    <s v="Typing value into search field"/>
    <s v="After typing values into &quot;Job Id:&quot; field, the results appear for the first character only unless you type characters in rapid succession, ~1/6th of a second apart."/>
    <s v="Existing window allows ~2/3rds of a second between characters."/>
    <d v="2025-11-13T00:00:00"/>
    <s v="Pass"/>
    <s v="10/29: JL to follow up with SyncFusion to see if there is a fix"/>
    <s v="11/6 SM - added filtering to drop down"/>
  </r>
  <r>
    <n v="26"/>
    <x v="0"/>
    <s v="Both"/>
    <x v="1"/>
    <x v="1"/>
    <x v="1"/>
    <s v="All dropdowns "/>
    <s v="Selecting dropdown"/>
    <s v="Selecting dropdown causes a ~0.5 second lag before displaying the dropdown selection"/>
    <s v="Selecting dropdown displays list instantly."/>
    <m/>
    <m/>
    <s v="10/29: leave as-is"/>
    <m/>
  </r>
  <r>
    <n v="27"/>
    <x v="0"/>
    <s v="Both"/>
    <x v="1"/>
    <x v="1"/>
    <x v="1"/>
    <s v="Search field &quot;Job Id:&quot;"/>
    <s v="Hovering cursor over dropdown icon"/>
    <s v="When dropdown is selected, hovering cursor over the dropdown or carrot icon does not highlight the icon."/>
    <s v="When dropdown is selected, hovering cursor over the dropdown or carrot icon should highlight the icon."/>
    <m/>
    <m/>
    <s v="10/29: leave as-is"/>
    <m/>
  </r>
  <r>
    <n v="28"/>
    <x v="0"/>
    <s v="Both"/>
    <x v="1"/>
    <x v="1"/>
    <x v="1"/>
    <s v="Search field labels"/>
    <s v="Search field label font size"/>
    <s v="Search field - &quot;From Date:&quot;, &quot;To Date:&quot;, &quot;Job Id:&quot; - font size is ~10."/>
    <s v="Search field font size is ~12."/>
    <m/>
    <m/>
    <s v="10/29: leave as-is"/>
    <m/>
  </r>
  <r>
    <n v="29"/>
    <x v="3"/>
    <s v="Both"/>
    <x v="1"/>
    <x v="2"/>
    <x v="0"/>
    <s v="Date Fields"/>
    <s v="Format is not fixed"/>
    <s v="User can type values outside of the MM/DD/YYYY format into 'From Date:' and 'To Date:' fields."/>
    <s v="Expected result is the format MM/DD/YYYY is locked._x000a_- Search validation rules prevent invalid entries._x000a_- 3 images for this defect"/>
    <d v="2025-11-13T00:00:00"/>
    <s v="Pass with Comments"/>
    <s v="11/13: Format is fixed, but new issues occur. See Defects 45, 46, 47, 48, 49"/>
    <s v="10/29 SM - addressed via mask"/>
  </r>
  <r>
    <n v="30"/>
    <x v="0"/>
    <s v="Both"/>
    <x v="1"/>
    <x v="1"/>
    <x v="1"/>
    <s v="Search fields &quot;From Date:&quot; and &quot;To Date:&quot;"/>
    <s v="Calendar Icon"/>
    <s v="Search field - &quot;From Date:&quot;, &quot;To Date:&quot; have a calendar icon on the right side."/>
    <s v="Search field - &quot;From Date:&quot;, &quot;To Date:&quot; have a dropdown or carrot icon on the right side."/>
    <m/>
    <m/>
    <s v="10/29: leave as-is"/>
    <m/>
  </r>
  <r>
    <n v="31"/>
    <x v="0"/>
    <s v="Both"/>
    <x v="1"/>
    <x v="1"/>
    <x v="0"/>
    <s v="Search fields &quot;From Date:&quot; and &quot;To Date:&quot;"/>
    <s v="Cursor location"/>
    <s v="Selecting the search fields &quot;From Date:&quot; and &quot;To Date:&quot; causes the cursor to be located at the point of selection."/>
    <s v="Cursor should default to the left of the cell"/>
    <d v="2025-12-04T00:00:00"/>
    <s v="Pass with Comments"/>
    <s v="11/13: Cursor defaults to right side of the cell_x000a_12/4: Cursor defaults to selected location. This occurs for all Blazor date fields."/>
    <s v="11/25 SM - I believe this has been addressed on 11/24's meeting. Leaving as-is"/>
  </r>
  <r>
    <n v="32"/>
    <x v="0"/>
    <s v="Both"/>
    <x v="1"/>
    <x v="1"/>
    <x v="0"/>
    <s v="Search section"/>
    <s v="Search section background color"/>
    <s v="Search section has white background with light blue border."/>
    <s v="Search section matches the window background (light blue)."/>
    <d v="2025-11-13T00:00:00"/>
    <s v="Pass"/>
    <s v="11/13: Matches UI of other Blazor windows"/>
    <s v="10/30 SM - has been addressed. Will be consistant with other windows"/>
  </r>
  <r>
    <n v="33"/>
    <x v="0"/>
    <s v="Both"/>
    <x v="1"/>
    <x v="1"/>
    <x v="0"/>
    <s v="Search section"/>
    <s v="Section size changes"/>
    <s v="Select search section or field in search section causes the search section size to decrease and the data section to increase."/>
    <s v="Search section height should be fixed. Search fields and search button are the only selectable areas."/>
    <d v="2025-11-13T00:00:00"/>
    <s v="Pass"/>
    <m/>
    <s v="10/30 SM - search section height now is fixed"/>
  </r>
  <r>
    <n v="34"/>
    <x v="0"/>
    <s v="Both"/>
    <x v="1"/>
    <x v="1"/>
    <x v="0"/>
    <s v="Search section"/>
    <s v="No rows retrieved message"/>
    <s v="Searching for criteria with no results displays the No Rows error message. The error message has the following UI elements:_x000a_1*. Information logo is to the left of the error message header._x000a_2*. Header font size is ~18 and font color is black._x000a_3*. Background of the error message is white._x000a_4*. &quot;OK&quot; button is blue with white font._x000a_5*. &quot;OK&quot; button font size is ~12._x000a_6*. Body font size is ~12._x000a_7. &quot;No rows retrieved.&quot; text includes a period._x000a_8*. Hovering cursor over &quot;OK&quot; button or X changes the cursor to a hand with pointer finger._x000a_9. Background of the window is replaced by grey color._x000a_*These items are present in all Blazor popups."/>
    <s v="Searching for criteria with no results displays the No Rows error message. The error message has the following UI elements:_x000a_1. Information logo is to the left of the error message body._x000a_2. Header font size is ~12 and font color is grey._x000a_3. Background of the error message body is white, but the header and bottom sections are light grey._x000a_4. &quot;OK&quot; button is white with black font._x000a_5. &quot;OK&quot; button font size is ~9._x000a_6. &quot;No rows retrieved.&quot; font size is ~9._x000a_7. &quot;No rows retrieved&quot; text does not include a period._x000a_8. Hovering cursor over &quot;OK&quot; button or X maintains the arrow cursor._x000a_9. Window is visible behind the error message._x000a_- 2 images included, one in Column H and one in Column I."/>
    <d v="2025-11-13T00:00:00"/>
    <s v="Pass"/>
    <s v="10/29: devs to review_x000a_11/13: Pass. Rows display in background of error message"/>
    <s v="10/30 SM - has been addressed. ro results popup removed"/>
  </r>
  <r>
    <n v="35"/>
    <x v="0"/>
    <s v="Both"/>
    <x v="1"/>
    <x v="1"/>
    <x v="1"/>
    <s v="Window"/>
    <s v="Window background color"/>
    <s v="Window background color is a light blue gradient."/>
    <s v="Window background color is light blue."/>
    <d v="2025-11-13T00:00:00"/>
    <s v="Pass"/>
    <m/>
    <s v="11/4 SM - leaving as-is"/>
  </r>
  <r>
    <n v="36"/>
    <x v="0"/>
    <s v="Both"/>
    <x v="1"/>
    <x v="1"/>
    <x v="1"/>
    <s v="Window"/>
    <s v="Window size"/>
    <s v="Window content spans the full width of the Vision application."/>
    <s v="Window spans slightly more than half the width of Vision application."/>
    <m/>
    <m/>
    <s v="10/29: leave as-is"/>
    <m/>
  </r>
  <r>
    <n v="37"/>
    <x v="0"/>
    <s v="Both"/>
    <x v="1"/>
    <x v="1"/>
    <x v="1"/>
    <s v="Window"/>
    <s v="Window Load"/>
    <s v="While window is loading, the bottom right time continues."/>
    <s v="While window is loading, the bottom right time is paused."/>
    <m/>
    <m/>
    <s v="10/29: leave as-is"/>
    <m/>
  </r>
  <r>
    <n v="38"/>
    <x v="1"/>
    <s v="Both"/>
    <x v="0"/>
    <x v="1"/>
    <x v="1"/>
    <s v="Column Headers"/>
    <s v="Column width is adjustable"/>
    <s v="1. Search for a valid result_x000a_2. Hover cursor on white column border - cursor will change to vertical lines_x000a_3. Select white column border_x000a_4. Drag border left and right - column width will adjust_x000a_"/>
    <s v="Column width is not adjustable."/>
    <d v="2025-11-13T00:00:00"/>
    <s v="Pass"/>
    <s v="10/29: leave as-is"/>
    <s v="11/4 SM - leaving as-is"/>
  </r>
  <r>
    <n v="39"/>
    <x v="1"/>
    <s v="Both"/>
    <x v="1"/>
    <x v="1"/>
    <x v="0"/>
    <s v="Tooltip"/>
    <s v="Tooltip shape"/>
    <s v="1. Search for a valid result_x000a_2. Hover cursor over any row value_x000a_3. Tooltip appears - tooltip shape is a rectangle"/>
    <s v="Tooltip shape is a speech bubble."/>
    <d v="2025-11-13T00:00:00"/>
    <s v="Pass"/>
    <s v="11/13: Defect addressed. See Defect 44"/>
    <s v="10/30 SM - addressed. Tooltip modified"/>
  </r>
  <r>
    <n v="40"/>
    <x v="1"/>
    <s v="Both"/>
    <x v="1"/>
    <x v="1"/>
    <x v="0"/>
    <s v="Additional Info"/>
    <s v="Adjusting column width"/>
    <s v="1. Search for a valid result_x000a_2. Minimize the &quot;Additional Info&quot; column width - blue &quot;...&quot; buttons are no longer in line"/>
    <m/>
    <d v="2025-11-13T00:00:00"/>
    <s v="Pass"/>
    <m/>
    <s v="10/29 SM - addressed by making button its own column"/>
  </r>
  <r>
    <n v="41"/>
    <x v="1"/>
    <s v="Both"/>
    <x v="1"/>
    <x v="1"/>
    <x v="1"/>
    <s v="Dt Error and Alert Type"/>
    <s v="Adjusting column width"/>
    <s v="Decreasing the column width to partially cut of the values causes 3 dots to appear in place of the missing characters."/>
    <s v="Other Vision windows with this feature, such as ATP Dashboard and Summary Judgment window, will cut off the text. Other blazor columns do this as well."/>
    <m/>
    <m/>
    <s v="10/29: leave as-is"/>
    <s v="11/6 SM - leaving as-is"/>
  </r>
  <r>
    <n v="42"/>
    <x v="1"/>
    <s v="Both"/>
    <x v="1"/>
    <x v="1"/>
    <x v="0"/>
    <s v="Window"/>
    <s v="Modifying Window Views - Horizontal"/>
    <s v="1. Search for a valid result._x000a_2. Open at least one window besides Job Error Log blazor._x000a_3. On the top menu options, select &quot;Window&quot;, then &quot;Horizontal&quot; - White area at the bottom of the window remains, which decreases the amount of data visible in the data section"/>
    <m/>
    <d v="2025-11-13T00:00:00"/>
    <s v="Pass"/>
    <m/>
    <s v="10/30 SM - added dynamic height, please retest"/>
  </r>
  <r>
    <n v="43"/>
    <x v="4"/>
    <s v="Both"/>
    <x v="1"/>
    <x v="1"/>
    <x v="0"/>
    <s v="Window"/>
    <s v="Search"/>
    <s v="Ctrl + Shift + F search does not work"/>
    <s v="Ctrl + Shift + F applies search in data section"/>
    <d v="2025-12-04T00:00:00"/>
    <s v="Pass"/>
    <s v="11/03: not included in blazor_x000a_11/13: Ctrl + F added in window with the same functionality_x000a_11/24: Devs to update"/>
    <s v="11/25 SM - added CTRL+SHIFT+F keyboard shortcut to find. "/>
  </r>
  <r>
    <n v="44"/>
    <x v="5"/>
    <s v="Both"/>
    <x v="1"/>
    <x v="1"/>
    <x v="0"/>
    <s v="Window"/>
    <s v="Tooltip appears too quickly"/>
    <s v="When hovering cursor over a data, the tooltip immediately appears."/>
    <s v="Hovering cursor over data takes ~1 second to appear. Previous QA version was a good pace."/>
    <d v="2025-12-04T00:00:00"/>
    <s v="Pass"/>
    <s v="11/24: Devs to fix"/>
    <s v="11/25 SM - added 300 milliseconds delay when user first hovers over column with tooltip. Additionally, there is a close delay I can add if the tooltip closes to fast if requested."/>
  </r>
  <r>
    <n v="45"/>
    <x v="5"/>
    <s v="Both"/>
    <x v="1"/>
    <x v="0"/>
    <x v="1"/>
    <s v="Search fields &quot;From Date:&quot; and &quot;To Date:&quot;"/>
    <s v="Typing in date field"/>
    <s v="1. Select date field - cursor appears on right most cell_x000a_2. Select month section - both month digits highlight_x000a_3. Type month - days section highlights_x000a_4. Type day - year section highlights_x000a_5. Type year"/>
    <s v="Marked as major because this will affect all formatted date fields_x000a__x000a_In existing window, the cursor will move to the next cell rather than highlighting all digits associated with the month/ day/ year"/>
    <m/>
    <m/>
    <s v="Overall for the date issues, the issue occurs because blazor highlights the month/ day/ year section, while PB uses cursor only_x000a_11/24: leave as is"/>
    <m/>
  </r>
  <r>
    <n v="46"/>
    <x v="5"/>
    <s v="Both"/>
    <x v="1"/>
    <x v="0"/>
    <x v="1"/>
    <s v="Search fields &quot;From Date:&quot; and &quot;To Date:&quot;"/>
    <s v="Modifying single digit month to 2 digit month"/>
    <s v="1. Select and clear date field_x000a_2. Type valid single digit month date, such as 01/01/2025_x000a_3. Double click, or sometimes single click, the month section_x000a_4. Type &quot;12&quot; - 01/02/XXXX appears"/>
    <s v="Marked as major because this will affect all formatted date fields"/>
    <m/>
    <m/>
    <s v="11/24: leave as is"/>
    <s v="11/21 SM - could not reproduce issue"/>
  </r>
  <r>
    <n v="47"/>
    <x v="5"/>
    <s v="Both"/>
    <x v="1"/>
    <x v="0"/>
    <x v="1"/>
    <s v="Search fields &quot;From Date:&quot; and &quot;To Date:&quot;"/>
    <s v="Numbers populate incorrectly if &quot;0&quot; is typed"/>
    <s v="1. Type a date into date field_x000a_2. Type '0' in highlight section - month, day, or year - '0' only is entered into the cell and you are not able to type the second character"/>
    <s v="Marked as major because this will affect all formatted date fields"/>
    <m/>
    <m/>
    <s v="11/24: leave as is"/>
    <m/>
  </r>
  <r>
    <n v="48"/>
    <x v="5"/>
    <s v="Both"/>
    <x v="1"/>
    <x v="0"/>
    <x v="1"/>
    <s v="Search fields &quot;From Date:&quot; and &quot;To Date:&quot;"/>
    <s v="00/00/0000 populates when date is invalid"/>
    <s v="1. Clear date fields_x000a_2. Type invalid date into date fields, such as 12/00/0000_x000a_3. Exit the field_x000a_4. Select the field - 00/00/0000 displays"/>
    <s v="Marked as major because this will affect all formatted date fields"/>
    <m/>
    <m/>
    <s v="11/24: leave as is"/>
    <s v="11/21 SM - 2 options: can become 00/00/0000 or return to previously valid date - using an option called STRICT MODE_x000a_11/25 SM - using strict mode to reset the date to the last valid date entered. Additionally, I wanted to note the I set the minimum date able to 1/1/1900 in case this date appears in testing"/>
  </r>
  <r>
    <n v="49"/>
    <x v="5"/>
    <s v="Both"/>
    <x v="1"/>
    <x v="0"/>
    <x v="1"/>
    <s v="Search fields &quot;From Date:&quot;"/>
    <s v="00/00/0000 populates when date is invalid"/>
    <s v="1. Type old date into date field, such as 12/12/1200_x000a_2. Date field highlights as red_x000a_3. Type same old date into date field for 'To Date' field._x000a_4. Date field is not highlighted red"/>
    <s v="Marked as major because this will affect all formatted date fields_x000a_- 1 image for the defect"/>
    <m/>
    <m/>
    <s v="11/24: leave as is"/>
    <s v="11/21 SM - The to_date validation logic is working as designed. Since 12/12/1200 falls within the maximum date range from from_date, no validation error displays on to_date. Updated from_date to enforce a minimum value of 01/01/1900."/>
  </r>
  <r>
    <n v="50"/>
    <x v="5"/>
    <s v="Web Only"/>
    <x v="1"/>
    <x v="1"/>
    <x v="1"/>
    <s v="Help Button"/>
    <s v="Erraneous Help button in Web Version"/>
    <s v="There is an erraneous Help button on the top left of the window that has no functionality"/>
    <s v="Help button can be removed."/>
    <m/>
    <m/>
    <s v="11/24: leave as is"/>
    <m/>
  </r>
  <r>
    <n v="51"/>
    <x v="6"/>
    <s v="Web Only"/>
    <x v="1"/>
    <x v="1"/>
    <x v="0"/>
    <s v="Scroll"/>
    <s v="Window height allows for scroll"/>
    <s v="In Web version, you can slightly scroll down the main window. Should less rows be visible in the web version to prevent the scroll?"/>
    <m/>
    <d v="2025-12-04T00:00:00"/>
    <s v="Pass"/>
    <s v="11/24: Devs to fix"/>
    <s v="11/25 SM - has been addressed. Window is responsive for powerbuilder and visionNG. No more vertical scrollbar"/>
  </r>
  <r>
    <n v="52"/>
    <x v="7"/>
    <s v="Web Only"/>
    <x v="1"/>
    <x v="2"/>
    <x v="1"/>
    <s v="Scroll"/>
    <s v="Multiple Scroll bars on minimized window"/>
    <s v="After adjustment for Defect 51, new issue where there are 3 scroll bars on a minimized window. The middle and right most scroll bars work as expected. The left most scroll bar will scroll past the visible area. You will not be able to find the scroll bar location until you adjust the middle or right most scroll bars."/>
    <s v="Possible Options:_x000a_- Switch Job Error Log window to paging_x000a_- remove left most scrollbar"/>
    <m/>
    <m/>
    <s v="12/15: leave as is for now"/>
    <m/>
  </r>
  <r>
    <n v="53"/>
    <x v="7"/>
    <s v="Both"/>
    <x v="1"/>
    <x v="1"/>
    <x v="0"/>
    <s v="Ctrl + Shift + F"/>
    <s v="Search bar remains during refresh"/>
    <s v="1. Type Ctrl + Shift + F - search field opens_x000a_2. Select F3 - refresh no longer works. When refresh does work, search field remains open. Can be closed with Esc only during the refresh_x000a_"/>
    <m/>
    <d v="2025-12-22T00:00:00"/>
    <s v="Pass"/>
    <s v="12/15: devs to address"/>
    <s v="12/16 SM - Refresh readded. Search component is now hidden when the user refreshes. This has been updated across error code, event code, job error log and court control"/>
  </r>
  <r>
    <n v="54"/>
    <x v="7"/>
    <s v="Both"/>
    <x v="1"/>
    <x v="1"/>
    <x v="2"/>
    <s v="Ctrl + Shift + F"/>
    <s v="Typing or deleting in search bar"/>
    <s v="Typing or deleting text in the Ctrl + Shift + F search area causes the cursor to move back a space sporadically "/>
    <s v="Issue occurs in all windows"/>
    <d v="2025-12-22T00:00:00"/>
    <s v="Fail"/>
    <s v="12/15: devs to address_x000a_12/22: Defect was not addressed. Demo version is not appearing in QA windows."/>
    <s v="12/18 SM - added a debouncer on the grid search component"/>
  </r>
  <r>
    <n v="55"/>
    <x v="7"/>
    <s v="Both"/>
    <x v="1"/>
    <x v="3"/>
    <x v="1"/>
    <s v="Column Sort"/>
    <s v="Sort on empty cells"/>
    <s v="This is not a defect. No action item added for awareness. _x000a__x000a_In PB if a column has both null values and values of any other datatype, the ascending and descending sort will display the null values on top. In Blazor, the null values will appear on top when sorted in ascending order and will appear on the bottom in descending order"/>
    <s v="BSAs discussed and agreed the Blazor behavior is preferred. Not a defect. This null sort behavior should be present in all Blazor windows moving forward._x000a__x000a_Down the line, we will need to check how the sort behavior works if the column has 2 datatypes and a null value. This occurs in some ATP Dashboard and Summary Judgment window columns."/>
    <m/>
    <m/>
    <m/>
    <m/>
  </r>
  <r>
    <n v="56"/>
    <x v="7"/>
    <s v="Both"/>
    <x v="0"/>
    <x v="2"/>
    <x v="1"/>
    <s v="Date Fields"/>
    <s v="Strict Mode"/>
    <s v="Instead of having fluid validation on the date fields, the date fields will automatically correct to a valid date range"/>
    <m/>
    <m/>
    <m/>
    <s v="12/15: leave as is"/>
    <m/>
  </r>
  <r>
    <n v="57"/>
    <x v="8"/>
    <s v="Both"/>
    <x v="0"/>
    <x v="0"/>
    <x v="1"/>
    <s v="Window"/>
    <s v="Buttons do not work on initial open"/>
    <s v="When initially opening the window, the calendar icons did not work, the date field selection was not the month/ day/ year highlighting it normally has, and the job id dropdown button did not work"/>
    <s v="Not sure if this is replicable"/>
    <m/>
    <m/>
    <s v="12/15: leave as is for now"/>
    <m/>
  </r>
  <r>
    <n v="58"/>
    <x v="9"/>
    <s v="Both"/>
    <x v="1"/>
    <x v="3"/>
    <x v="1"/>
    <s v="Window_x000a_Column(s)"/>
    <s v="Column filter if date varies by second"/>
    <s v="Not a defect, but item added for awareness. If the same date with different time stamps exist in a column, the Column Filter will show multiple options._x000a__x000a__x000a_"/>
    <s v="If date column includes time stamps in the future, the filter should capture the date and not the time stamp"/>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n v="1"/>
    <d v="2025-10-22T00:00:00"/>
    <s v="Both"/>
    <s v="Functionality"/>
    <s v="Major"/>
    <x v="0"/>
    <s v="Window"/>
    <s v="Window Load Time"/>
    <s v="CRMD: 6 seconds_x000a_CRMQ: 40 seconds"/>
    <s v="CRMD: 2 seconds_x000a_CRMQ: 35 seconds"/>
    <d v="2025-11-13T00:00:00"/>
    <s v="Pass"/>
    <s v="10/29: devs to review_x000a_11/13: Pass. 4 seconds to load in CRMQ!"/>
    <s v="11/6 SM - loads slow 1st time, but ~3s after"/>
  </r>
  <r>
    <n v="2"/>
    <d v="2025-10-22T00:00:00"/>
    <s v="Both"/>
    <s v="Functionality"/>
    <s v="Major"/>
    <x v="0"/>
    <s v="Window"/>
    <s v="Load Time - Results Expected"/>
    <s v="CRMD 10/10/25 - 10/20/25 Job ID All: (Morning) 50 seconds to load 19,712 rows. (~4:50pm) 74 seconds to load 19,712 rows._x000a_CRMQ 10/21/25 - 10/21/25 Job ID All: 24 seconds to load 833 rows._x000a_CRMQ 10/19/25 - 10/20/25 Job ID All: Load failed at 100 seconds. Error message appears. After closing the window, data section will display &quot;No records to display&quot;"/>
    <s v="CRMD 10/10/25 - 10/20/25 Job ID All: (Morning and ~5pm) 4 seconds to load a 19,712 rows._x000a_CRMQ: 10/21/25 - 10/21/25 Job ID All: 19 seconds to load 833 rows._x000a_CRMQ 10/19/25  - 10/20/25 Job ID All: 35 seconds to load 123,785 rows._x000a_- 1 image for this defect"/>
    <d v="2025-12-10T00:00:00"/>
    <s v="Pass with Comments"/>
    <s v="10/29: retest later this week; should receive timeout message instead of unexpected error_x000a_11/13: CRMD 10/10 - 10/20 load time is 9 seconds. CRMQ 10/21/25 load time is 20 seconds, which matches Vision. CRMQ 10/19 - 10/20 throws error message the first time loading, then successfully loads in ~95 seconds. CRMQ 10/26 - 10/27 fails first time. Error message is updated:_x000a_11/24: Devs to fix with indexing_x000a_12/4: After index/ mass datafix:_x000a_CRMQ old window 10/19 - 10/20: 20-22 seconds_x000a_12/11: CRMQ 12/1 - 12/11 notice ftp driver 6314 rows: 8 seconds blazor in PB, 7 seconds blazor web, 2 seconds existing"/>
    <s v="10/29 SM - error message are more descriptive now_x000a_12/1 SM - will add indexing with next build to the table, but this is not NG related."/>
  </r>
  <r>
    <n v="3"/>
    <d v="2025-10-22T00:00:00"/>
    <s v="Both"/>
    <s v="Functionality"/>
    <s v="Major"/>
    <x v="0"/>
    <s v="Window"/>
    <s v="Minimize/ Maximize Vision Application"/>
    <s v="1. Minimize Vision application_x000a_2. Use other windows on device_x000a_3. Select Vision Application_x000a_4a. Job Error Log window opens, shows white, then after 7-8 seconds will show the window again._x000a_4b. Job Error Log window shows white, then after 4 seconds will show previous information._x000a_5. Selecting window after these steps causes lag."/>
    <s v="Job Error Log window is immediately available. There is no lag when selecting rows."/>
    <d v="2025-11-13T00:00:00"/>
    <s v="Pass"/>
    <m/>
    <s v="11/6 SM - not addressed. I don't recall what was discussed during the qa meeting for this."/>
  </r>
  <r>
    <n v="4"/>
    <d v="2025-10-22T00:00:00"/>
    <s v="Both"/>
    <s v="Functionality"/>
    <s v="Minor"/>
    <x v="1"/>
    <s v="Error / No Results Found messages"/>
    <s v="Window level buttons work when popup appears"/>
    <s v="1. Search for invalid criteria or criteria with no results._x000a_2. Applicable display message appears._x000a_3. Select window level minimize, maximize, and &quot;X&quot; button - all buttons work."/>
    <s v="The window level buttons are disabled when any messages appear."/>
    <m/>
    <m/>
    <s v="10/29: leave as-is"/>
    <m/>
  </r>
  <r>
    <n v="5"/>
    <d v="2025-10-24T00:00:00"/>
    <s v="Both"/>
    <s v="Functionality"/>
    <s v="Minor"/>
    <x v="1"/>
    <s v="Error / No Results Found messages"/>
    <s v="Other Vision areas work when popup appears"/>
    <s v="1. Search for invalid criteria or criteria with no results._x000a_2. Applicable display message appears._x000a_3. Select another window, a first row icon, or any menus in Vision - all options are selectable."/>
    <s v="All other functionality is disabled."/>
    <m/>
    <m/>
    <s v="10/29: leave as-is"/>
    <m/>
  </r>
  <r>
    <n v="6"/>
    <d v="2025-10-23T00:00:00"/>
    <s v="Both"/>
    <s v="Functionality"/>
    <s v="Minor"/>
    <x v="1"/>
    <s v="Search field &quot;To Date:&quot;"/>
    <s v="Restricted to &lt;= Sysdate"/>
    <s v="Calendar Date selections are restricted to be &lt;= sysdate."/>
    <s v="Existing window does not have this validation._x000a_- 1 image included"/>
    <m/>
    <m/>
    <s v="10/29: leave as-is"/>
    <m/>
  </r>
  <r>
    <n v="7"/>
    <d v="2025-10-21T00:00:00"/>
    <s v="Both"/>
    <s v="Functionality"/>
    <s v="Major"/>
    <x v="0"/>
    <s v="Vision level &quot;X&quot;"/>
    <s v="Job Error window only closes"/>
    <s v="Selecting the Vision level &quot;X&quot; closes the Job Error Log window only."/>
    <s v="Selecting Vision level &quot;X&quot; closes Vision application."/>
    <d v="2025-11-13T00:00:00"/>
    <s v="Pass"/>
    <s v="10/29: devs to fix"/>
    <s v="10/30 SM - has been addressed via vision update"/>
  </r>
  <r>
    <n v="8"/>
    <d v="2025-10-22T00:00:00"/>
    <s v="Both"/>
    <s v="Functionality"/>
    <s v="Major"/>
    <x v="0"/>
    <s v="Window"/>
    <s v="Page Up/Down keys vs scrolling"/>
    <s v="Using page up and page down has no effect on the window."/>
    <s v="Using page up and page down moves the data to the first row outside of the visible datawindow."/>
    <d v="2025-11-13T00:00:00"/>
    <s v="Pass"/>
    <m/>
    <s v="10/31 SM - addressed. Note, other windows use F7, F8, etc. "/>
  </r>
  <r>
    <n v="9"/>
    <d v="2025-10-22T00:00:00"/>
    <s v="Both"/>
    <s v="Functionality"/>
    <s v="Major"/>
    <x v="0"/>
    <s v="Window"/>
    <s v="Up and Down keys"/>
    <s v="Using up and down keys on the top most or bottom most row displays, the next available row. The second key press of the same key displays the next 7 rows."/>
    <s v="Using up and down keys on the top most and bottom most row displays the next available row each iteration."/>
    <d v="2025-11-13T00:00:00"/>
    <s v="Pass with Comments"/>
    <s v="11/13: Changes work. However, if you hold the up or down arrow for a long time, the scroll is eventually slower than the up/ down arrow. This causes the highlighted cell to no longer appear in the view. Might need to be addressed by SyncFusion, but this is very minor and a user would likely not do this._x000a_11/24: lazy load"/>
    <s v="10/31 SM - addressed. Note, other windows use F7, F8, etc. "/>
  </r>
  <r>
    <n v="10"/>
    <d v="2025-10-22T00:00:00"/>
    <s v="Both"/>
    <s v="Functionality"/>
    <s v="Major"/>
    <x v="1"/>
    <s v="Window"/>
    <s v="Loading During Deployment"/>
    <s v="1. Open window and update search fields for valid search._x000a_2. Select &quot;Search&quot; button_x000a_3. Changes deployed_x000a_4. &quot;Rejoining the server...&quot; message appears and window does not load the search."/>
    <m/>
    <m/>
    <m/>
    <s v="10/29: devs to send notices of deployment; deployments to be done COB hours"/>
    <m/>
  </r>
  <r>
    <n v="11"/>
    <d v="2025-10-22T00:00:00"/>
    <s v="Both"/>
    <s v="Functionality"/>
    <s v="Major"/>
    <x v="0"/>
    <s v="Window level &quot;X&quot;"/>
    <s v="Slow to close window"/>
    <s v="Window close takes ~1 second."/>
    <s v="Window closes instantly."/>
    <d v="2025-11-13T00:00:00"/>
    <s v="Pass"/>
    <m/>
    <m/>
  </r>
  <r>
    <n v="12"/>
    <d v="2025-10-22T00:00:00"/>
    <s v="Both"/>
    <s v="UI"/>
    <s v="Minor"/>
    <x v="1"/>
    <s v="&quot;...&quot; button"/>
    <s v="&quot;...&quot; button color"/>
    <s v="&quot;...&quot; button color is dark blue with white font. &quot;...&quot; text width is significantly smaller than the button width."/>
    <s v="&quot;...&quot; button color is light blue with white border. Font color is dark blue. &quot;...&quot; text width takes up most of the button width._x000a__x000a_When a row is highlighted, the button color is identical to the highlight color. This makes it difficult to see the button."/>
    <m/>
    <m/>
    <s v="10/29: leave as-is"/>
    <m/>
  </r>
  <r>
    <n v="13"/>
    <d v="2025-10-22T00:00:00"/>
    <s v="Both"/>
    <s v="UI"/>
    <s v="Minor"/>
    <x v="0"/>
    <s v="&quot;...&quot; column"/>
    <s v="&quot;...&quot; column is in the &quot;Additional Info&quot; column"/>
    <s v="The &quot;...&quot; field is in the &quot;Additional Info&quot; column."/>
    <s v="The &quot;...&quot; field is a separate unlabelled column between &quot;Additional Info&quot; and &quot;Alert Type&quot;"/>
    <d v="2025-11-13T00:00:00"/>
    <s v="Pass"/>
    <s v="10/29: devs to address so it fixes ID #15"/>
    <s v="10/29 SM - addressed. New unlabeled column added"/>
  </r>
  <r>
    <n v="14"/>
    <d v="2025-10-22T00:00:00"/>
    <s v="Both"/>
    <s v="UI"/>
    <s v="Minor"/>
    <x v="1"/>
    <s v="Alert Type"/>
    <s v="Header Display"/>
    <s v="The &quot;T&quot; and &quot;y&quot; in alert type overlap due to the large font size."/>
    <s v="1 image for this defect"/>
    <m/>
    <m/>
    <s v="10/29: leave as-is"/>
    <m/>
  </r>
  <r>
    <n v="15"/>
    <d v="2025-10-22T00:00:00"/>
    <s v="Both"/>
    <s v="UI"/>
    <s v="Minor"/>
    <x v="1"/>
    <s v="All Columns"/>
    <s v="Column values cutoff"/>
    <s v="Column values cut off at the same character count as the existing window."/>
    <s v="Column values cut off at the end of the column width."/>
    <m/>
    <m/>
    <s v="10/29: leave as-is"/>
    <m/>
  </r>
  <r>
    <n v="16"/>
    <d v="2025-10-22T00:00:00"/>
    <s v="Both"/>
    <s v="UI"/>
    <s v="Minor"/>
    <x v="1"/>
    <s v="All Columns"/>
    <s v="Data section background color"/>
    <s v="Data section background color is white."/>
    <s v="Data section background color is light blue to white gradient from top to bottom."/>
    <m/>
    <m/>
    <s v="10/29: leave as-is; just ensure consistency across screens"/>
    <m/>
  </r>
  <r>
    <n v="17"/>
    <d v="2025-10-22T00:00:00"/>
    <s v="Both"/>
    <s v="UI"/>
    <s v="Minor"/>
    <x v="1"/>
    <s v="All Columns"/>
    <s v="Column header colors"/>
    <s v="Column header color "/>
    <m/>
    <m/>
    <m/>
    <m/>
    <m/>
  </r>
  <r>
    <n v="18"/>
    <d v="2025-10-22T00:00:00"/>
    <s v="Both"/>
    <s v="UI"/>
    <s v="Minor"/>
    <x v="1"/>
    <s v="All Columns"/>
    <s v="Right click"/>
    <s v="Right clicking a field will highlighted the selected cell."/>
    <s v="Right clicking a field will have the same functionality as left click - highlighting the row in blue."/>
    <m/>
    <m/>
    <s v="10/29: leave as-is"/>
    <m/>
  </r>
  <r>
    <n v="19"/>
    <d v="2025-10-23T00:00:00"/>
    <s v="Both"/>
    <s v="UI"/>
    <s v="Minor"/>
    <x v="1"/>
    <s v="Calendar Icon"/>
    <s v="Colors/ Style Differ"/>
    <s v="Some UI elements differ between Blazor and Vision calendars._x000a_1. Calendar header displays the date/ month/ year range on the top left corner in blue font._x000a_2. Calendar header displays aup and down facing carrot icons. _x000a_3. Day of the week column headers use 1 letter abbreviations._x000a_4. &quot;Today&quot; button is a blue button on the bottom right with white font within the button._x000a_5. Year, decade, and century level results show months, years, and decades in light grey boxes with black text respectively._x000a_6. Selected Day/ Month/ Year/ Decade is blue with white font._x000a_"/>
    <s v="Some UI elements differ between Blazor and Vision calendars._x000a_1. Calendar header displays the date/ month/ year range towards the center in black font._x000a_2. Calendar header displays left and right facing arrows on the left and right side of the calendar header. _x000a_3. Day of the week column headers use 3 letter abbreviations._x000a_4. &quot;Today&quot; button is a white with a light blue border, centered with black text &quot;Today: MM/DD/YYYY&quot;._x000a_5. Year, decade, and century level results have no color differences._x000a_6. Selected Day/ Month/ Year/ Decade is light blue with darker blue border and black font._x000a_- 2 images included: One in column H and one in column I."/>
    <m/>
    <m/>
    <s v="10/29: leave as-is"/>
    <m/>
  </r>
  <r>
    <n v="20"/>
    <d v="2025-10-23T00:00:00"/>
    <s v="Both"/>
    <s v="UI"/>
    <s v="Minor"/>
    <x v="1"/>
    <s v="Calendar Icon"/>
    <s v="Highlighted Value"/>
    <s v="1. Select calendar icon to open calendar._x000a_2. Select month on the top to expand search to months in the current calendar year._x000a_3. Select the down up arrow to switch back to the previous calendar year - previously selected month is highlighted._x000a_- This occurs for Year/ Decade searches as well."/>
    <s v="1. Months view: January is highlighted. _x000a_2. Years view: years with a multiple of 10 are highlighted. _x000a_3. Decades view: the %00 - %10 option is highlighted."/>
    <m/>
    <m/>
    <s v="10/29: leave as-is"/>
    <m/>
  </r>
  <r>
    <n v="21"/>
    <d v="2025-10-21T00:00:00"/>
    <s v="Both"/>
    <s v="Functionality"/>
    <s v="Minor"/>
    <x v="1"/>
    <s v="Calendar on Search fields &quot;From Date:&quot; and &quot;To Date:&quot;"/>
    <s v="Locked Date Range"/>
    <s v="After a valid &quot;From Date:&quot; value is entered, &quot;To Date:&quot; calendar selection is restricted to be on or 10 days after the &quot;From Date:&quot;."/>
    <s v="This could be a good feature since job error log window is very slow in CRMQ/ CRMP, but this is not in the existing window._x000a_- 1 image for this defect"/>
    <m/>
    <m/>
    <s v="10/29: leave as-is"/>
    <s v="11/6 SM - left as-is"/>
  </r>
  <r>
    <n v="22"/>
    <d v="2025-10-22T00:00:00"/>
    <s v="Both"/>
    <s v="UI"/>
    <s v="Minor"/>
    <x v="1"/>
    <s v="N/A"/>
    <s v="Window Resizing"/>
    <s v="Decreasing the window size, then increasing the window size causes the alert type column to display twice."/>
    <m/>
    <m/>
    <m/>
    <s v="10/29: leave as-is for now (move to different cattegory to be addressed later)"/>
    <m/>
  </r>
  <r>
    <n v="23"/>
    <d v="2025-10-22T00:00:00"/>
    <s v="Both"/>
    <s v="UI"/>
    <s v="Minor"/>
    <x v="1"/>
    <s v="Search button"/>
    <s v="Search button color"/>
    <s v="Search button is dark blue with white font."/>
    <s v="Search button has, top to bottom, white to light blue gradient, navy blue font, and the 'S' in 'Search' is underlined."/>
    <m/>
    <m/>
    <s v="10/29: leave as-is"/>
    <m/>
  </r>
  <r>
    <n v="24"/>
    <d v="2025-10-22T00:00:00"/>
    <s v="Both"/>
    <s v="UI"/>
    <s v="Minor"/>
    <x v="1"/>
    <s v="Search button"/>
    <s v="Search button font size"/>
    <s v="Search button font size is ~10."/>
    <s v="Search button font size is ~12."/>
    <m/>
    <m/>
    <s v="10/29: leave as-is"/>
    <m/>
  </r>
  <r>
    <n v="25"/>
    <d v="2025-10-21T00:00:00"/>
    <s v="Both"/>
    <s v="UI"/>
    <s v="Major"/>
    <x v="0"/>
    <s v="Search field &quot;Job Id:&quot;"/>
    <s v="Typing value into search field"/>
    <s v="After typing values into &quot;Job Id:&quot; field, the results appear for the first character only unless you type characters in rapid succession, ~1/6th of a second apart."/>
    <s v="Existing window allows ~2/3rds of a second between characters."/>
    <d v="2025-11-13T00:00:00"/>
    <s v="Pass"/>
    <s v="10/29: JL to follow up with SyncFusion to see if there is a fix"/>
    <s v="11/6 SM - added filtering to drop down"/>
  </r>
  <r>
    <n v="26"/>
    <d v="2025-10-22T00:00:00"/>
    <s v="Both"/>
    <s v="UI"/>
    <s v="Minor"/>
    <x v="1"/>
    <s v="All dropdowns "/>
    <s v="Selecting dropdown"/>
    <s v="Selecting dropdown causes a ~0.5 second lag before displaying the dropdown selection"/>
    <s v="Selecting dropdown displays list instantly."/>
    <m/>
    <m/>
    <s v="10/29: leave as-is"/>
    <m/>
  </r>
  <r>
    <n v="27"/>
    <d v="2025-10-22T00:00:00"/>
    <s v="Both"/>
    <s v="UI"/>
    <s v="Minor"/>
    <x v="1"/>
    <s v="Search field &quot;Job Id:&quot;"/>
    <s v="Hovering cursor over dropdown icon"/>
    <s v="When dropdown is selected, hovering cursor over the dropdown or carrot icon does not highlight the icon."/>
    <s v="When dropdown is selected, hovering cursor over the dropdown or carrot icon should highlight the icon."/>
    <m/>
    <m/>
    <s v="10/29: leave as-is"/>
    <m/>
  </r>
  <r>
    <n v="28"/>
    <d v="2025-10-22T00:00:00"/>
    <s v="Both"/>
    <s v="UI"/>
    <s v="Minor"/>
    <x v="1"/>
    <s v="Search field labels"/>
    <s v="Search field label font size"/>
    <s v="Search field - &quot;From Date:&quot;, &quot;To Date:&quot;, &quot;Job Id:&quot; - font size is ~10."/>
    <s v="Search field font size is ~12."/>
    <m/>
    <m/>
    <s v="10/29: leave as-is"/>
    <m/>
  </r>
  <r>
    <n v="29"/>
    <d v="2025-10-21T00:00:00"/>
    <s v="Both"/>
    <s v="UI"/>
    <s v="Regression"/>
    <x v="0"/>
    <s v="Date Fields"/>
    <s v="Format is not fixed"/>
    <s v="User can type values outside of the MM/DD/YYYY format into 'From Date:' and 'To Date:' fields."/>
    <s v="Expected result is the format MM/DD/YYYY is locked._x000a_- Search validation rules prevent invalid entries._x000a_- 3 images for this defect"/>
    <d v="2025-11-13T00:00:00"/>
    <s v="Pass with Comments"/>
    <s v="11/13: Format is fixed, but new issues occur. See Defects 45, 46, 47, 48, 49"/>
    <s v="10/29 SM - addressed via mask"/>
  </r>
  <r>
    <n v="30"/>
    <d v="2025-10-22T00:00:00"/>
    <s v="Both"/>
    <s v="UI"/>
    <s v="Minor"/>
    <x v="1"/>
    <s v="Search fields &quot;From Date:&quot; and &quot;To Date:&quot;"/>
    <s v="Calendar Icon"/>
    <s v="Search field - &quot;From Date:&quot;, &quot;To Date:&quot; have a calendar icon on the right side."/>
    <s v="Search field - &quot;From Date:&quot;, &quot;To Date:&quot; have a dropdown or carrot icon on the right side."/>
    <m/>
    <m/>
    <s v="10/29: leave as-is"/>
    <m/>
  </r>
  <r>
    <n v="31"/>
    <d v="2025-10-22T00:00:00"/>
    <s v="Both"/>
    <s v="UI"/>
    <s v="Minor"/>
    <x v="0"/>
    <s v="Search fields &quot;From Date:&quot; and &quot;To Date:&quot;"/>
    <s v="Cursor location"/>
    <s v="Selecting the search fields &quot;From Date:&quot; and &quot;To Date:&quot; causes the cursor to be located at the point of selection."/>
    <s v="Cursor should default to the left of the cell"/>
    <d v="2025-12-04T00:00:00"/>
    <s v="Pass with Comments"/>
    <s v="11/13: Cursor defaults to right side of the cell_x000a_12/4: Cursor defaults to selected location. This occurs for all Blazor date fields."/>
    <s v="11/25 SM - I believe this has been addressed on 11/24's meeting. Leaving as-is"/>
  </r>
  <r>
    <n v="32"/>
    <d v="2025-10-22T00:00:00"/>
    <s v="Both"/>
    <s v="UI"/>
    <s v="Minor"/>
    <x v="0"/>
    <s v="Search section"/>
    <s v="Search section background color"/>
    <s v="Search section has white background with light blue border."/>
    <s v="Search section matches the window background (light blue)."/>
    <d v="2025-11-13T00:00:00"/>
    <s v="Pass"/>
    <s v="11/13: Matches UI of other Blazor windows"/>
    <s v="10/30 SM - has been addressed. Will be consistant with other windows"/>
  </r>
  <r>
    <n v="33"/>
    <d v="2025-10-22T00:00:00"/>
    <s v="Both"/>
    <s v="UI"/>
    <s v="Minor"/>
    <x v="0"/>
    <s v="Search section"/>
    <s v="Section size changes"/>
    <s v="Select search section or field in search section causes the search section size to decrease and the data section to increase."/>
    <s v="Search section height should be fixed. Search fields and search button are the only selectable areas."/>
    <d v="2025-11-13T00:00:00"/>
    <s v="Pass"/>
    <m/>
    <s v="10/30 SM - search section height now is fixed"/>
  </r>
  <r>
    <n v="34"/>
    <d v="2025-10-22T00:00:00"/>
    <s v="Both"/>
    <s v="UI"/>
    <s v="Minor"/>
    <x v="0"/>
    <s v="Search section"/>
    <s v="No rows retrieved message"/>
    <s v="Searching for criteria with no results displays the No Rows error message. The error message has the following UI elements:_x000a_1*. Information logo is to the left of the error message header._x000a_2*. Header font size is ~18 and font color is black._x000a_3*. Background of the error message is white._x000a_4*. &quot;OK&quot; button is blue with white font._x000a_5*. &quot;OK&quot; button font size is ~12._x000a_6*. Body font size is ~12._x000a_7. &quot;No rows retrieved.&quot; text includes a period._x000a_8*. Hovering cursor over &quot;OK&quot; button or X changes the cursor to a hand with pointer finger._x000a_9. Background of the window is replaced by grey color._x000a_*These items are present in all Blazor popups."/>
    <s v="Searching for criteria with no results displays the No Rows error message. The error message has the following UI elements:_x000a_1. Information logo is to the left of the error message body._x000a_2. Header font size is ~12 and font color is grey._x000a_3. Background of the error message body is white, but the header and bottom sections are light grey._x000a_4. &quot;OK&quot; button is white with black font._x000a_5. &quot;OK&quot; button font size is ~9._x000a_6. &quot;No rows retrieved.&quot; font size is ~9._x000a_7. &quot;No rows retrieved&quot; text does not include a period._x000a_8. Hovering cursor over &quot;OK&quot; button or X maintains the arrow cursor._x000a_9. Window is visible behind the error message._x000a_- 2 images included, one in Column H and one in Column I."/>
    <d v="2025-11-13T00:00:00"/>
    <s v="Pass"/>
    <s v="10/29: devs to review_x000a_11/13: Pass. Rows display in background of error message"/>
    <s v="10/30 SM - has been addressed. ro results popup removed"/>
  </r>
  <r>
    <n v="35"/>
    <d v="2025-10-22T00:00:00"/>
    <s v="Both"/>
    <s v="UI"/>
    <s v="Minor"/>
    <x v="1"/>
    <s v="Window"/>
    <s v="Window background color"/>
    <s v="Window background color is a light blue gradient."/>
    <s v="Window background color is light blue."/>
    <d v="2025-11-13T00:00:00"/>
    <s v="Pass"/>
    <m/>
    <s v="11/4 SM - leaving as-is"/>
  </r>
  <r>
    <n v="36"/>
    <d v="2025-10-22T00:00:00"/>
    <s v="Both"/>
    <s v="UI"/>
    <s v="Minor"/>
    <x v="1"/>
    <s v="Window"/>
    <s v="Window size"/>
    <s v="Window content spans the full width of the Vision application."/>
    <s v="Window spans slightly more than half the width of Vision application."/>
    <m/>
    <m/>
    <s v="10/29: leave as-is"/>
    <m/>
  </r>
  <r>
    <n v="37"/>
    <d v="2025-10-22T00:00:00"/>
    <s v="Both"/>
    <s v="UI"/>
    <s v="Minor"/>
    <x v="1"/>
    <s v="Window"/>
    <s v="Window Load"/>
    <s v="While window is loading, the bottom right time continues."/>
    <s v="While window is loading, the bottom right time is paused."/>
    <m/>
    <m/>
    <s v="10/29: leave as-is"/>
    <m/>
  </r>
  <r>
    <n v="38"/>
    <d v="2025-10-24T00:00:00"/>
    <s v="Both"/>
    <s v="Functionality"/>
    <s v="Minor"/>
    <x v="1"/>
    <s v="Column Headers"/>
    <s v="Column width is adjustable"/>
    <s v="1. Search for a valid result_x000a_2. Hover cursor on white column border - cursor will change to vertical lines_x000a_3. Select white column border_x000a_4. Drag border left and right - column width will adjust_x000a_"/>
    <s v="Column width is not adjustable."/>
    <d v="2025-11-13T00:00:00"/>
    <s v="Pass"/>
    <s v="10/29: leave as-is"/>
    <s v="11/4 SM - leaving as-is"/>
  </r>
  <r>
    <n v="39"/>
    <d v="2025-10-24T00:00:00"/>
    <s v="Both"/>
    <s v="UI"/>
    <s v="Minor"/>
    <x v="0"/>
    <s v="Tooltip"/>
    <s v="Tooltip shape"/>
    <s v="1. Search for a valid result_x000a_2. Hover cursor over any row value_x000a_3. Tooltip appears - tooltip shape is a rectangle"/>
    <s v="Tooltip shape is a speech bubble."/>
    <d v="2025-11-13T00:00:00"/>
    <s v="Pass"/>
    <s v="11/13: Defect addressed. See Defect 44"/>
    <s v="10/30 SM - addressed. Tooltip modified"/>
  </r>
  <r>
    <n v="40"/>
    <d v="2025-10-24T00:00:00"/>
    <s v="Both"/>
    <s v="UI"/>
    <s v="Minor"/>
    <x v="0"/>
    <s v="Additional Info"/>
    <s v="Adjusting column width"/>
    <s v="1. Search for a valid result_x000a_2. Minimize the &quot;Additional Info&quot; column width - blue &quot;...&quot; buttons are no longer in line"/>
    <m/>
    <d v="2025-11-13T00:00:00"/>
    <s v="Pass"/>
    <m/>
    <s v="10/29 SM - addressed by making button its own column"/>
  </r>
  <r>
    <n v="41"/>
    <d v="2025-10-24T00:00:00"/>
    <s v="Both"/>
    <s v="UI"/>
    <s v="Minor"/>
    <x v="1"/>
    <s v="Dt Error and Alert Type"/>
    <s v="Adjusting column width"/>
    <s v="Decreasing the column width to partially cut of the values causes 3 dots to appear in place of the missing characters."/>
    <s v="Other Vision windows with this feature, such as ATP Dashboard and Summary Judgment window, will cut off the text. Other blazor columns do this as well."/>
    <m/>
    <m/>
    <s v="10/29: leave as-is"/>
    <s v="11/6 SM - leaving as-is"/>
  </r>
  <r>
    <n v="42"/>
    <d v="2025-10-24T00:00:00"/>
    <s v="Both"/>
    <s v="UI"/>
    <s v="Minor"/>
    <x v="0"/>
    <s v="Window"/>
    <s v="Modifying Window Views - Horizontal"/>
    <s v="1. Search for a valid result._x000a_2. Open at least one window besides Job Error Log blazor._x000a_3. On the top menu options, select &quot;Window&quot;, then &quot;Horizontal&quot; - White area at the bottom of the window remains, which decreases the amount of data visible in the data section"/>
    <m/>
    <d v="2025-11-13T00:00:00"/>
    <s v="Pass"/>
    <m/>
    <s v="10/30 SM - added dynamic height, please retest"/>
  </r>
  <r>
    <n v="43"/>
    <d v="2025-11-03T00:00:00"/>
    <s v="Both"/>
    <s v="UI"/>
    <s v="Minor"/>
    <x v="0"/>
    <s v="Window"/>
    <s v="Search"/>
    <s v="Ctrl + Shift + F search does not work"/>
    <s v="Ctrl + Shift + F applies search in data section"/>
    <d v="2025-12-04T00:00:00"/>
    <s v="Pass"/>
    <s v="11/03: not included in blazor_x000a_11/13: Ctrl + F added in window with the same functionality_x000a_11/24: Devs to update"/>
    <s v="11/25 SM - added CTRL+SHIFT+F keyboard shortcut to find. "/>
  </r>
  <r>
    <n v="44"/>
    <d v="2025-11-13T00:00:00"/>
    <s v="Both"/>
    <s v="UI"/>
    <s v="Minor"/>
    <x v="0"/>
    <s v="Window"/>
    <s v="Tooltip appears too quickly"/>
    <s v="When hovering cursor over a data, the tooltip immediately appears."/>
    <s v="Hovering cursor over data takes ~1 second to appear. Previous QA version was a good pace."/>
    <d v="2025-12-04T00:00:00"/>
    <s v="Pass"/>
    <s v="11/24: Devs to fix"/>
    <s v="11/25 SM - added 300 milliseconds delay when user first hovers over column with tooltip. Additionally, there is a close delay I can add if the tooltip closes to fast if requested."/>
  </r>
  <r>
    <n v="45"/>
    <d v="2025-11-13T00:00:00"/>
    <s v="Both"/>
    <s v="UI"/>
    <s v="Major"/>
    <x v="1"/>
    <s v="Search fields &quot;From Date:&quot; and &quot;To Date:&quot;"/>
    <s v="Typing in date field"/>
    <s v="1. Select date field - cursor appears on right most cell_x000a_2. Select month section - both month digits highlight_x000a_3. Type month - days section highlights_x000a_4. Type day - year section highlights_x000a_5. Type year"/>
    <s v="Marked as major because this will affect all formatted date fields_x000a__x000a_In existing window, the cursor will move to the next cell rather than highlighting all digits associated with the month/ day/ year"/>
    <m/>
    <m/>
    <s v="Overall for the date issues, the issue occurs because blazor highlights the month/ day/ year section, while PB uses cursor only_x000a_11/24: leave as is"/>
    <m/>
  </r>
  <r>
    <n v="46"/>
    <d v="2025-11-13T00:00:00"/>
    <s v="Both"/>
    <s v="UI"/>
    <s v="Major"/>
    <x v="1"/>
    <s v="Search fields &quot;From Date:&quot; and &quot;To Date:&quot;"/>
    <s v="Modifying single digit month to 2 digit month"/>
    <s v="1. Select and clear date field_x000a_2. Type valid single digit month date, such as 01/01/2025_x000a_3. Double click, or sometimes single click, the month section_x000a_4. Type &quot;12&quot; - 01/02/XXXX appears"/>
    <s v="Marked as major because this will affect all formatted date fields"/>
    <m/>
    <m/>
    <s v="11/24: leave as is"/>
    <s v="11/21 SM - could not reproduce issue"/>
  </r>
  <r>
    <n v="47"/>
    <d v="2025-11-13T00:00:00"/>
    <s v="Both"/>
    <s v="UI"/>
    <s v="Major"/>
    <x v="1"/>
    <s v="Search fields &quot;From Date:&quot; and &quot;To Date:&quot;"/>
    <s v="Numbers populate incorrectly if &quot;0&quot; is typed"/>
    <s v="1. Type a date into date field_x000a_2. Type '0' in highlight section - month, day, or year - '0' only is entered into the cell and you are not able to type the second character"/>
    <s v="Marked as major because this will affect all formatted date fields"/>
    <m/>
    <m/>
    <s v="11/24: leave as is"/>
    <m/>
  </r>
  <r>
    <n v="48"/>
    <d v="2025-11-13T00:00:00"/>
    <s v="Both"/>
    <s v="UI"/>
    <s v="Major"/>
    <x v="1"/>
    <s v="Search fields &quot;From Date:&quot; and &quot;To Date:&quot;"/>
    <s v="00/00/0000 populates when date is invalid"/>
    <s v="1. Clear date fields_x000a_2. Type invalid date into date fields, such as 12/00/0000_x000a_3. Exit the field_x000a_4. Select the field - 00/00/0000 displays"/>
    <s v="Marked as major because this will affect all formatted date fields"/>
    <m/>
    <m/>
    <s v="11/24: leave as is"/>
    <s v="11/21 SM - 2 options: can become 00/00/0000 or return to previously valid date - using an option called STRICT MODE_x000a_11/25 SM - using strict mode to reset the date to the last valid date entered. Additionally, I wanted to note the I set the minimum date able to 1/1/1900 in case this date appears in testing"/>
  </r>
  <r>
    <n v="49"/>
    <d v="2025-11-13T00:00:00"/>
    <s v="Both"/>
    <s v="UI"/>
    <s v="Major"/>
    <x v="1"/>
    <s v="Search fields &quot;From Date:&quot;"/>
    <s v="00/00/0000 populates when date is invalid"/>
    <s v="1. Type old date into date field, such as 12/12/1200_x000a_2. Date field highlights as red_x000a_3. Type same old date into date field for 'To Date' field._x000a_4. Date field is not highlighted red"/>
    <s v="Marked as major because this will affect all formatted date fields_x000a_- 1 image for the defect"/>
    <m/>
    <m/>
    <s v="11/24: leave as is"/>
    <s v="11/21 SM - The to_date validation logic is working as designed. Since 12/12/1200 falls within the maximum date range from from_date, no validation error displays on to_date. Updated from_date to enforce a minimum value of 01/01/1900."/>
  </r>
  <r>
    <n v="50"/>
    <d v="2025-11-13T00:00:00"/>
    <s v="Web Only"/>
    <s v="UI"/>
    <s v="Minor"/>
    <x v="1"/>
    <s v="Help Button"/>
    <s v="Erraneous Help button in Web Version"/>
    <s v="There is an erraneous Help button on the top left of the window that has no functionality"/>
    <s v="Help button can be removed."/>
    <m/>
    <m/>
    <s v="11/24: leave as is"/>
    <m/>
  </r>
  <r>
    <n v="51"/>
    <d v="2025-11-17T00:00:00"/>
    <s v="Web Only"/>
    <s v="UI"/>
    <s v="Minor"/>
    <x v="0"/>
    <s v="Scroll"/>
    <s v="Window height allows for scroll"/>
    <s v="In Web version, you can slightly scroll down the main window. Should less rows be visible in the web version to prevent the scroll?"/>
    <m/>
    <d v="2025-12-04T00:00:00"/>
    <s v="Pass"/>
    <s v="11/24: Devs to fix"/>
    <s v="11/25 SM - has been addressed. Window is responsive for powerbuilder and visionNG. No more vertical scrollbar"/>
  </r>
  <r>
    <n v="52"/>
    <d v="2025-12-04T00:00:00"/>
    <s v="Web Only"/>
    <s v="UI"/>
    <s v="Regression"/>
    <x v="1"/>
    <s v="Scroll"/>
    <s v="Multiple Scroll bars on minimized window"/>
    <s v="After adjustment for Defect 51, new issue where there are 3 scroll bars on a minimized window. The middle and right most scroll bars work as expected. The left most scroll bar will scroll past the visible area. You will not be able to find the scroll bar location until you adjust the middle or right most scroll bars."/>
    <s v="Possible Options:_x000a_- Switch Job Error Log window to paging_x000a_- remove left most scrollbar"/>
    <m/>
    <m/>
    <s v="12/15: leave as is for now"/>
    <m/>
  </r>
  <r>
    <n v="53"/>
    <d v="2025-12-04T00:00:00"/>
    <s v="Both"/>
    <s v="UI"/>
    <s v="Minor"/>
    <x v="0"/>
    <s v="Ctrl + Shift + F"/>
    <s v="Search bar remains during refresh"/>
    <s v="1. Type Ctrl + Shift + F - search field opens_x000a_2. Select F3 - refresh no longer works. When refresh does work, search field remains open. Can be closed with Esc only during the refresh_x000a_"/>
    <m/>
    <d v="2025-12-22T00:00:00"/>
    <s v="Pass"/>
    <s v="12/15: devs to address"/>
    <s v="12/16 SM - Refresh readded. Search component is now hidden when the user refreshes. This has been updated across error code, event code, job error log and court control"/>
  </r>
  <r>
    <n v="54"/>
    <d v="2025-12-04T00:00:00"/>
    <s v="Both"/>
    <s v="UI"/>
    <s v="Minor"/>
    <x v="0"/>
    <s v="Ctrl + Shift + F"/>
    <s v="Typing or deleting in search bar"/>
    <s v="Typing or deleting text in the Ctrl + Shift + F search area causes the cursor to move back a space sporadically "/>
    <s v="Issue occurs in all windows"/>
    <d v="2025-12-22T00:00:00"/>
    <s v="Pass"/>
    <s v="12/15: devs to address_x000a_12/22: Defect was not addressed. Demo version is not appearing in QA windows._x000a_12/24: Leave as is"/>
    <s v="12/18 SM - added a debouncer on the grid search component"/>
  </r>
  <r>
    <n v="55"/>
    <d v="2025-12-04T00:00:00"/>
    <s v="Both"/>
    <s v="UI"/>
    <m/>
    <x v="1"/>
    <s v="Column Sort"/>
    <s v="Sort on empty cells"/>
    <s v="This is not a defect. No action item added for awareness. _x000a__x000a_In PB if a column has both null values and values of any other datatype, the ascending and descending sort will display the null values on top. In Blazor, the null values will appear on top when sorted in ascending order and will appear on the bottom in descending order"/>
    <s v="BSAs discussed and agreed the Blazor behavior is preferred. Not a defect. This null sort behavior should be present in all Blazor windows moving forward._x000a__x000a_Down the line, we will need to check how the sort behavior works if the column has 2 datatypes and a null value. This occurs in some ATP Dashboard and Summary Judgment window columns."/>
    <m/>
    <m/>
    <m/>
    <m/>
  </r>
  <r>
    <n v="56"/>
    <d v="2025-12-04T00:00:00"/>
    <s v="Both"/>
    <s v="Functionality"/>
    <s v="Regression"/>
    <x v="1"/>
    <s v="Date Fields"/>
    <s v="Strict Mode"/>
    <s v="Instead of having fluid validation on the date fields, the date fields will automatically correct to a valid date range"/>
    <m/>
    <m/>
    <m/>
    <s v="12/15: leave as is"/>
    <m/>
  </r>
  <r>
    <n v="57"/>
    <d v="2025-12-11T00:00:00"/>
    <s v="Both"/>
    <s v="Functionality"/>
    <s v="Major"/>
    <x v="1"/>
    <s v="Window"/>
    <s v="Buttons do not work on initial open"/>
    <s v="When initially opening the window, the calendar icons did not work, the date field selection was not the month/ day/ year highlighting it normally has, and the job id dropdown button did not work"/>
    <s v="Not sure if this is replicable"/>
    <m/>
    <m/>
    <s v="12/15: leave as is for now"/>
    <m/>
  </r>
  <r>
    <n v="58"/>
    <d v="2025-12-22T00:00:00"/>
    <s v="Both"/>
    <s v="UI"/>
    <m/>
    <x v="1"/>
    <s v="Window_x000a_Column(s)"/>
    <s v="Column filter if date timestamp varies"/>
    <s v="Not a defect, but item added for awareness. If the same date with different time stamps exist in a column, the Column Filter will show multiple options._x000a__x000a__x000a_"/>
    <s v="If date column includes time stamps in the future, the filter should capture the date and not the time stamp"/>
    <m/>
    <m/>
    <m/>
    <m/>
  </r>
  <r>
    <n v="59"/>
    <d v="2025-12-24T00:00:00"/>
    <s v="Both"/>
    <s v="Functionality"/>
    <s v="Minor"/>
    <x v="0"/>
    <s v="F3 Refresh"/>
    <s v="Column filters remain after F3 refresh"/>
    <s v="1. apply column filter_x000a_2. F3 refresh_x000a_3. Go to the date range and job id that had the filtered column -column filter remains"/>
    <s v="The filter will remain if you use different search criteria, but it is easiest to see if you use the same search criteria"/>
    <d v="2026-01-14T00:00:00"/>
    <s v="Pass"/>
    <m/>
    <m/>
  </r>
  <r>
    <n v="60"/>
    <m/>
    <m/>
    <m/>
    <m/>
    <x v="2"/>
    <m/>
    <m/>
    <m/>
    <m/>
    <m/>
    <m/>
    <m/>
    <m/>
  </r>
  <r>
    <n v="61"/>
    <m/>
    <m/>
    <m/>
    <m/>
    <x v="2"/>
    <m/>
    <m/>
    <m/>
    <m/>
    <m/>
    <m/>
    <m/>
    <m/>
  </r>
  <r>
    <n v="62"/>
    <m/>
    <m/>
    <m/>
    <m/>
    <x v="2"/>
    <m/>
    <m/>
    <m/>
    <m/>
    <m/>
    <m/>
    <m/>
    <m/>
  </r>
  <r>
    <n v="63"/>
    <m/>
    <m/>
    <m/>
    <m/>
    <x v="2"/>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7899E2-5081-4E28-B97F-7436B29B44E8}" name="PivotTable13" cacheId="138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8:H41" firstHeaderRow="1" firstDataRow="1" firstDataCol="1"/>
  <pivotFields count="14">
    <pivotField compact="0" outline="0" showAll="0"/>
    <pivotField compact="0" outline="0" showAll="0"/>
    <pivotField compact="0" outline="0" showAll="0"/>
    <pivotField compact="0" outline="0" showAll="0"/>
    <pivotField compact="0" outline="0" showAll="0"/>
    <pivotField axis="axisRow" dataField="1" compact="0" outline="0" showAll="0">
      <items count="4">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BED4BE-6D5E-467E-971E-06B52A2CE045}" name="PivotTable9" cacheId="1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22:H26" firstHeaderRow="1" firstDataRow="1" firstDataCol="1"/>
  <pivotFields count="14">
    <pivotField compact="0" outline="0" showAll="0"/>
    <pivotField compact="0" outline="0" showAll="0"/>
    <pivotField compact="0" outline="0" showAll="0"/>
    <pivotField compact="0" outline="0" showAll="0"/>
    <pivotField compact="0" outline="0" showAll="0"/>
    <pivotField axis="axisRow"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
    <i>
      <x/>
    </i>
    <i>
      <x v="1"/>
    </i>
    <i>
      <x v="2"/>
    </i>
    <i t="grand">
      <x/>
    </i>
  </rowItems>
  <colItems count="1">
    <i/>
  </colItems>
  <dataFields count="1">
    <dataField name="Count of Status" fld="5" subtotal="count" baseField="0" baseItem="0"/>
  </dataFields>
  <formats count="10">
    <format dxfId="115">
      <pivotArea field="5" type="button" dataOnly="0" labelOnly="1" outline="0" axis="axisRow" fieldPosition="0"/>
    </format>
    <format dxfId="116">
      <pivotArea dataOnly="0" labelOnly="1" outline="0" axis="axisValues" fieldPosition="0"/>
    </format>
    <format dxfId="117">
      <pivotArea grandRow="1" outline="0" collapsedLevelsAreSubtotals="1" fieldPosition="0"/>
    </format>
    <format dxfId="118">
      <pivotArea dataOnly="0" labelOnly="1" grandRow="1" outline="0" fieldPosition="0"/>
    </format>
    <format dxfId="119">
      <pivotArea type="all" dataOnly="0" outline="0" fieldPosition="0"/>
    </format>
    <format dxfId="120">
      <pivotArea outline="0" collapsedLevelsAreSubtotals="1" fieldPosition="0"/>
    </format>
    <format dxfId="121">
      <pivotArea field="5" type="button" dataOnly="0" labelOnly="1" outline="0" axis="axisRow" fieldPosition="0"/>
    </format>
    <format dxfId="122">
      <pivotArea dataOnly="0" labelOnly="1" outline="0" fieldPosition="0">
        <references count="1">
          <reference field="5" count="0"/>
        </references>
      </pivotArea>
    </format>
    <format dxfId="123">
      <pivotArea dataOnly="0" labelOnly="1" grandRow="1" outline="0" fieldPosition="0"/>
    </format>
    <format dxfId="1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1AD6E2-D4E6-4630-B99D-AE754DFF2491}" name="PivotTable2" cacheId="13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2:E15" firstHeaderRow="1" firstDataRow="1" firstDataCol="1" rowPageCount="2" colPageCount="1"/>
  <pivotFields count="14">
    <pivotField compact="0" outline="0" showAll="0"/>
    <pivotField axis="axisPage" compact="0" outline="0" multipleItemSelectionAllowed="1" showAll="0">
      <items count="9">
        <item h="1" x="3"/>
        <item h="1" x="0"/>
        <item h="1" x="2"/>
        <item h="1" x="1"/>
        <item x="4"/>
        <item x="5"/>
        <item h="1" x="7"/>
        <item x="6"/>
        <item t="default"/>
      </items>
    </pivotField>
    <pivotField compact="0" outline="0" showAll="0"/>
    <pivotField compact="0" outline="0" showAll="0"/>
    <pivotField axis="axisRow" dataField="1" compact="0" outline="0" showAll="0">
      <items count="5">
        <item x="0"/>
        <item x="1"/>
        <item x="2"/>
        <item h="1" x="3"/>
        <item t="default"/>
      </items>
    </pivotField>
    <pivotField axis="axisPage" compact="0" outline="0" showAll="0">
      <items count="6">
        <item x="3"/>
        <item x="2"/>
        <item x="0"/>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i>
    <i>
      <x v="1"/>
    </i>
    <i t="grand">
      <x/>
    </i>
  </rowItems>
  <colItems count="1">
    <i/>
  </colItems>
  <pageFields count="2">
    <pageField fld="1" hier="-1"/>
    <pageField fld="5" hier="-1"/>
  </pageFields>
  <dataFields count="1">
    <dataField name="Count of Bug Type" fld="4" subtotal="count" baseField="0" baseItem="0"/>
  </dataFields>
  <formats count="6">
    <format dxfId="109">
      <pivotArea dataOnly="0" labelOnly="1" outline="0" fieldPosition="0">
        <references count="1">
          <reference field="4" count="0"/>
        </references>
      </pivotArea>
    </format>
    <format dxfId="110">
      <pivotArea outline="0" fieldPosition="0">
        <references count="1">
          <reference field="4" count="0" selected="0"/>
        </references>
      </pivotArea>
    </format>
    <format dxfId="111">
      <pivotArea grandRow="1" outline="0" collapsedLevelsAreSubtotals="1" fieldPosition="0"/>
    </format>
    <format dxfId="112">
      <pivotArea dataOnly="0" labelOnly="1" grandRow="1" outline="0" fieldPosition="0"/>
    </format>
    <format dxfId="113">
      <pivotArea field="4" type="button" dataOnly="0" labelOnly="1" outline="0" axis="axisRow" fieldPosition="0"/>
    </format>
    <format dxfId="1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E9FFCC-59B9-4B19-9BBC-EA09FF7F3037}" name="PivotTable11" cacheId="13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2:E34" firstHeaderRow="1" firstDataRow="1" firstDataCol="1" rowPageCount="1" colPageCount="1"/>
  <pivotFields count="14">
    <pivotField compact="0" outline="0" showAll="0"/>
    <pivotField axis="axisPage" compact="0" outline="0" showAll="0">
      <items count="11">
        <item h="1" x="3"/>
        <item h="1" x="0"/>
        <item h="1" x="2"/>
        <item h="1" x="1"/>
        <item h="1" x="4"/>
        <item h="1" x="5"/>
        <item h="1" x="6"/>
        <item h="1" x="7"/>
        <item h="1" x="8"/>
        <item x="9"/>
        <item t="default"/>
      </items>
    </pivotField>
    <pivotField compact="0" outline="0" showAll="0"/>
    <pivotField compact="0" outline="0" showAll="0"/>
    <pivotField axis="axisRow" dataField="1"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2">
    <i>
      <x v="3"/>
    </i>
    <i t="grand">
      <x/>
    </i>
  </rowItems>
  <colItems count="1">
    <i/>
  </colItems>
  <pageFields count="1">
    <pageField fld="1" item="9" hier="-1"/>
  </pageFields>
  <dataFields count="1">
    <dataField name="Count of Bug Type" fld="4" subtotal="count" baseField="0" baseItem="0"/>
  </dataFields>
  <formats count="6">
    <format dxfId="103">
      <pivotArea type="all" dataOnly="0" outline="0" fieldPosition="0"/>
    </format>
    <format dxfId="104">
      <pivotArea outline="0" collapsedLevelsAreSubtotals="1" fieldPosition="0"/>
    </format>
    <format dxfId="105">
      <pivotArea field="4" type="button" dataOnly="0" labelOnly="1" outline="0" axis="axisRow" fieldPosition="0"/>
    </format>
    <format dxfId="106">
      <pivotArea dataOnly="0" labelOnly="1" outline="0" fieldPosition="0">
        <references count="1">
          <reference field="4" count="1">
            <x v="3"/>
          </reference>
        </references>
      </pivotArea>
    </format>
    <format dxfId="107">
      <pivotArea dataOnly="0" labelOnly="1" grandRow="1" outline="0" fieldPosition="0"/>
    </format>
    <format dxfId="1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3711FA-C6B7-4289-A9BA-C79FD46220FC}" name="PivotTable6" cacheId="1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2:B25" firstHeaderRow="1" firstDataRow="1" firstDataCol="1" rowPageCount="1" colPageCount="1"/>
  <pivotFields count="14">
    <pivotField compact="0" outline="0" showAll="0"/>
    <pivotField axis="axisPage" compact="0" outline="0" multipleItemSelectionAllowed="1" showAll="0">
      <items count="10">
        <item h="1" x="3"/>
        <item h="1" x="0"/>
        <item h="1" x="2"/>
        <item h="1" x="1"/>
        <item h="1" x="4"/>
        <item h="1" x="5"/>
        <item h="1" x="6"/>
        <item x="7"/>
        <item x="8"/>
        <item t="default"/>
      </items>
    </pivotField>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i>
    <i>
      <x v="1"/>
    </i>
    <i t="grand">
      <x/>
    </i>
  </rowItems>
  <colItems count="1">
    <i/>
  </colItems>
  <pageFields count="1">
    <pageField fld="1" hier="-1"/>
  </pageFields>
  <dataFields count="1">
    <dataField name="Count of Scenario Type" fld="3" subtotal="count" baseField="0" baseItem="0"/>
  </dataFields>
  <formats count="6">
    <format dxfId="97">
      <pivotArea type="all" dataOnly="0" outline="0" fieldPosition="0"/>
    </format>
    <format dxfId="98">
      <pivotArea outline="0" collapsedLevelsAreSubtotals="1" fieldPosition="0"/>
    </format>
    <format dxfId="99">
      <pivotArea field="3" type="button" dataOnly="0" labelOnly="1" outline="0" axis="axisRow" fieldPosition="0"/>
    </format>
    <format dxfId="100">
      <pivotArea dataOnly="0" labelOnly="1" outline="0" fieldPosition="0">
        <references count="1">
          <reference field="3" count="0"/>
        </references>
      </pivotArea>
    </format>
    <format dxfId="101">
      <pivotArea dataOnly="0" labelOnly="1" grandRow="1" outline="0" fieldPosition="0"/>
    </format>
    <format dxfId="1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87A6FE-6213-47A1-B179-FD2463A92B4D}" name="PivotTable3" cacheId="13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CENARIO">
  <location ref="A4:B7" firstHeaderRow="1" firstDataRow="1" firstDataCol="1" rowPageCount="1" colPageCount="1"/>
  <pivotFields count="2">
    <pivotField axis="axisPage" multipleItemSelectionAllowed="1" showAll="0">
      <items count="6">
        <item x="3"/>
        <item x="0"/>
        <item x="2"/>
        <item h="1" x="4"/>
        <item x="1"/>
        <item t="default"/>
      </items>
    </pivotField>
    <pivotField axis="axisRow" dataField="1" showAll="0">
      <items count="4">
        <item x="0"/>
        <item x="1"/>
        <item h="1" x="2"/>
        <item t="default"/>
      </items>
    </pivotField>
  </pivotFields>
  <rowFields count="1">
    <field x="1"/>
  </rowFields>
  <rowItems count="3">
    <i>
      <x/>
    </i>
    <i>
      <x v="1"/>
    </i>
    <i t="grand">
      <x/>
    </i>
  </rowItems>
  <colItems count="1">
    <i/>
  </colItems>
  <pageFields count="1">
    <pageField fld="0" hier="-1"/>
  </pageFields>
  <dataFields count="1">
    <dataField name="Count" fld="1" subtotal="count" baseField="0" baseItem="0"/>
  </dataFields>
  <formats count="19">
    <format dxfId="78">
      <pivotArea type="all" dataOnly="0" outline="0" fieldPosition="0"/>
    </format>
    <format dxfId="79">
      <pivotArea outline="0" collapsedLevelsAreSubtotals="1" fieldPosition="0"/>
    </format>
    <format dxfId="80">
      <pivotArea field="1" type="button" dataOnly="0" labelOnly="1" outline="0" axis="axisRow" fieldPosition="0"/>
    </format>
    <format dxfId="81">
      <pivotArea dataOnly="0" labelOnly="1" fieldPosition="0">
        <references count="1">
          <reference field="1" count="0"/>
        </references>
      </pivotArea>
    </format>
    <format dxfId="82">
      <pivotArea dataOnly="0" labelOnly="1" grandRow="1" outline="0" fieldPosition="0"/>
    </format>
    <format dxfId="83">
      <pivotArea dataOnly="0" labelOnly="1" outline="0" axis="axisValues" fieldPosition="0"/>
    </format>
    <format dxfId="84">
      <pivotArea type="all" dataOnly="0" outline="0" fieldPosition="0"/>
    </format>
    <format dxfId="85">
      <pivotArea outline="0" collapsedLevelsAreSubtotals="1" fieldPosition="0"/>
    </format>
    <format dxfId="86">
      <pivotArea field="1" type="button" dataOnly="0" labelOnly="1" outline="0" axis="axisRow" fieldPosition="0"/>
    </format>
    <format dxfId="87">
      <pivotArea dataOnly="0" labelOnly="1" fieldPosition="0">
        <references count="1">
          <reference field="1" count="0"/>
        </references>
      </pivotArea>
    </format>
    <format dxfId="88">
      <pivotArea dataOnly="0" labelOnly="1" grandRow="1" outline="0" fieldPosition="0"/>
    </format>
    <format dxfId="89">
      <pivotArea dataOnly="0" labelOnly="1" outline="0" axis="axisValues" fieldPosition="0"/>
    </format>
    <format dxfId="90">
      <pivotArea type="all" dataOnly="0" outline="0" fieldPosition="0"/>
    </format>
    <format dxfId="91">
      <pivotArea outline="0" collapsedLevelsAreSubtotals="1" fieldPosition="0"/>
    </format>
    <format dxfId="92">
      <pivotArea field="1" type="button" dataOnly="0" labelOnly="1" outline="0" axis="axisRow" fieldPosition="0"/>
    </format>
    <format dxfId="93">
      <pivotArea dataOnly="0" labelOnly="1" fieldPosition="0">
        <references count="1">
          <reference field="1" count="0"/>
        </references>
      </pivotArea>
    </format>
    <format dxfId="94">
      <pivotArea dataOnly="0" labelOnly="1" grandRow="1" outline="0" fieldPosition="0"/>
    </format>
    <format dxfId="95">
      <pivotArea dataOnly="0" labelOnly="1" outline="0" axis="axisValues"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3C15DE-2E26-4507-B7F0-AAA904603865}" name="PivotTable4" cacheId="13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8" firstHeaderRow="1" firstDataRow="1" firstDataCol="1" rowPageCount="1" colPageCount="1"/>
  <pivotFields count="4">
    <pivotField axis="axisPage" multipleItemSelectionAllowed="1" showAll="0">
      <items count="9">
        <item x="3"/>
        <item x="0"/>
        <item x="2"/>
        <item h="1" x="7"/>
        <item x="1"/>
        <item h="1" x="4"/>
        <item h="1" x="5"/>
        <item h="1" x="6"/>
        <item t="default"/>
      </items>
    </pivotField>
    <pivotField showAll="0"/>
    <pivotField showAll="0"/>
    <pivotField axis="axisRow" dataField="1" showAll="0">
      <items count="5">
        <item x="0"/>
        <item x="1"/>
        <item x="2"/>
        <item h="1" x="3"/>
        <item t="default"/>
      </items>
    </pivotField>
  </pivotFields>
  <rowFields count="1">
    <field x="3"/>
  </rowFields>
  <rowItems count="4">
    <i>
      <x/>
    </i>
    <i>
      <x v="1"/>
    </i>
    <i>
      <x v="2"/>
    </i>
    <i t="grand">
      <x/>
    </i>
  </rowItems>
  <colItems count="1">
    <i/>
  </colItems>
  <pageFields count="1">
    <pageField fld="0" hier="-1"/>
  </pageFields>
  <dataFields count="1">
    <dataField name="Count of Bug Type" fld="3" subtotal="count" baseField="0" baseItem="0"/>
  </dataFields>
  <formats count="13">
    <format dxfId="65">
      <pivotArea collapsedLevelsAreSubtotals="1" fieldPosition="0">
        <references count="1">
          <reference field="3" count="0"/>
        </references>
      </pivotArea>
    </format>
    <format dxfId="66">
      <pivotArea field="3" type="button" dataOnly="0" labelOnly="1" outline="0" axis="axisRow" fieldPosition="0"/>
    </format>
    <format dxfId="67">
      <pivotArea dataOnly="0" labelOnly="1" fieldPosition="0">
        <references count="1">
          <reference field="3" count="0"/>
        </references>
      </pivotArea>
    </format>
    <format dxfId="68">
      <pivotArea dataOnly="0" labelOnly="1" outline="0" axis="axisValues" fieldPosition="0"/>
    </format>
    <format dxfId="69">
      <pivotArea grandRow="1" outline="0" collapsedLevelsAreSubtotals="1" fieldPosition="0"/>
    </format>
    <format dxfId="70">
      <pivotArea dataOnly="0" labelOnly="1" grandRow="1" outline="0" fieldPosition="0"/>
    </format>
    <format dxfId="71">
      <pivotArea type="all" dataOnly="0" outline="0" fieldPosition="0"/>
    </format>
    <format dxfId="72">
      <pivotArea outline="0" collapsedLevelsAreSubtotals="1" fieldPosition="0"/>
    </format>
    <format dxfId="73">
      <pivotArea field="3" type="button" dataOnly="0" labelOnly="1" outline="0" axis="axisRow" fieldPosition="0"/>
    </format>
    <format dxfId="74">
      <pivotArea dataOnly="0" labelOnly="1" fieldPosition="0">
        <references count="1">
          <reference field="3" count="0"/>
        </references>
      </pivotArea>
    </format>
    <format dxfId="75">
      <pivotArea dataOnly="0" labelOnly="1" grandRow="1" outline="0" fieldPosition="0"/>
    </format>
    <format dxfId="76">
      <pivotArea dataOnly="0" labelOnly="1" outline="0" axis="axisValues"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13E897-B67B-48EA-9279-80C40F129E16}" name="PivotTable10" cacheId="13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2:B34" firstHeaderRow="1" firstDataRow="1" firstDataCol="1" rowPageCount="1" colPageCount="1"/>
  <pivotFields count="14">
    <pivotField compact="0" outline="0" showAll="0"/>
    <pivotField axis="axisPage" compact="0" outline="0" showAll="0">
      <items count="11">
        <item h="1" x="3"/>
        <item h="1" x="0"/>
        <item h="1" x="2"/>
        <item h="1" x="1"/>
        <item h="1" x="4"/>
        <item h="1" x="5"/>
        <item h="1" x="6"/>
        <item h="1" x="7"/>
        <item h="1" x="8"/>
        <item x="9"/>
        <item t="default"/>
      </items>
    </pivotField>
    <pivotField compact="0" outline="0" showAll="0"/>
    <pivotField axis="axisRow"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2">
    <i>
      <x v="1"/>
    </i>
    <i t="grand">
      <x/>
    </i>
  </rowItems>
  <colItems count="1">
    <i/>
  </colItems>
  <pageFields count="1">
    <pageField fld="1" item="9" hier="-1"/>
  </pageFields>
  <dataFields count="1">
    <dataField name="Count of Scenario Type" fld="3" subtotal="count" baseField="0" baseItem="0"/>
  </dataFields>
  <formats count="6">
    <format dxfId="59">
      <pivotArea type="all" dataOnly="0" outline="0" fieldPosition="0"/>
    </format>
    <format dxfId="60">
      <pivotArea outline="0" collapsedLevelsAreSubtotals="1" fieldPosition="0"/>
    </format>
    <format dxfId="61">
      <pivotArea field="3" type="button" dataOnly="0" labelOnly="1" outline="0" axis="axisRow" fieldPosition="0"/>
    </format>
    <format dxfId="62">
      <pivotArea dataOnly="0" labelOnly="1" outline="0" fieldPosition="0">
        <references count="1">
          <reference field="3" count="1">
            <x v="1"/>
          </reference>
        </references>
      </pivotArea>
    </format>
    <format dxfId="63">
      <pivotArea dataOnly="0" labelOnly="1" grandRow="1" outline="0"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35B7A9-8DB5-4553-A338-863DBE8660A8}" name="PivotTable5" cacheId="13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12:H17" firstHeaderRow="1" firstDataRow="1" firstDataCol="1" rowPageCount="1" colPageCount="1"/>
  <pivotFields count="14">
    <pivotField compact="0" outline="0" showAll="0"/>
    <pivotField axis="axisPage" compact="0" outline="0" showAll="0">
      <items count="9">
        <item x="3"/>
        <item x="0"/>
        <item x="2"/>
        <item x="1"/>
        <item x="4"/>
        <item x="5"/>
        <item x="7"/>
        <item x="6"/>
        <item t="default"/>
      </items>
    </pivotField>
    <pivotField compact="0" outline="0" showAll="0"/>
    <pivotField compact="0" outline="0" showAll="0"/>
    <pivotField compact="0" outline="0" showAll="0"/>
    <pivotField axis="axisRow" dataField="1" compact="0" outline="0" showAll="0">
      <items count="6">
        <item x="3"/>
        <item x="2"/>
        <item x="0"/>
        <item x="1"/>
        <item h="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5">
    <i>
      <x/>
    </i>
    <i>
      <x v="1"/>
    </i>
    <i>
      <x v="2"/>
    </i>
    <i>
      <x v="3"/>
    </i>
    <i t="grand">
      <x/>
    </i>
  </rowItems>
  <colItems count="1">
    <i/>
  </colItems>
  <pageFields count="1">
    <pageField fld="1" hier="-1"/>
  </pageFields>
  <dataFields count="1">
    <dataField name="Count of Status" fld="5" subtotal="count" baseField="0" baseItem="0"/>
  </dataFields>
  <formats count="12">
    <format dxfId="47">
      <pivotArea field="5" type="button" dataOnly="0" labelOnly="1" outline="0" axis="axisRow" fieldPosition="0"/>
    </format>
    <format dxfId="48">
      <pivotArea dataOnly="0" labelOnly="1" outline="0" axis="axisValues" fieldPosition="0"/>
    </format>
    <format dxfId="49">
      <pivotArea grandRow="1" outline="0" collapsedLevelsAreSubtotals="1" fieldPosition="0"/>
    </format>
    <format dxfId="50">
      <pivotArea dataOnly="0" labelOnly="1" grandRow="1" outline="0" fieldPosition="0"/>
    </format>
    <format dxfId="51">
      <pivotArea dataOnly="0" labelOnly="1" outline="0" fieldPosition="0">
        <references count="1">
          <reference field="5" count="0"/>
        </references>
      </pivotArea>
    </format>
    <format dxfId="52">
      <pivotArea outline="0" fieldPosition="0">
        <references count="1">
          <reference field="5" count="0" selected="0"/>
        </references>
      </pivotArea>
    </format>
    <format dxfId="53">
      <pivotArea outline="0" fieldPosition="0">
        <references count="1">
          <reference field="5" count="1" selected="0">
            <x v="3"/>
          </reference>
        </references>
      </pivotArea>
    </format>
    <format dxfId="54">
      <pivotArea dataOnly="0" labelOnly="1" outline="0" fieldPosition="0">
        <references count="1">
          <reference field="5" count="1">
            <x v="3"/>
          </reference>
        </references>
      </pivotArea>
    </format>
    <format dxfId="55">
      <pivotArea field="5" type="button" dataOnly="0" labelOnly="1" outline="0" axis="axisRow" fieldPosition="0"/>
    </format>
    <format dxfId="56">
      <pivotArea dataOnly="0" labelOnly="1" outline="0" axis="axisValues" fieldPosition="0"/>
    </format>
    <format dxfId="57">
      <pivotArea grandRow="1" outline="0" collapsedLevelsAreSubtotals="1" fieldPosition="0"/>
    </format>
    <format dxfId="5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1F9C53-AF25-4272-A6E4-1DB5C0A23957}" name="PivotTable8" cacheId="134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2:E27" firstHeaderRow="1" firstDataRow="1" firstDataCol="1" rowPageCount="1" colPageCount="1"/>
  <pivotFields count="14">
    <pivotField compact="0" outline="0" showAll="0"/>
    <pivotField axis="axisPage" compact="0" outline="0" multipleItemSelectionAllowed="1" showAll="0">
      <items count="10">
        <item h="1" x="3"/>
        <item h="1" x="0"/>
        <item h="1" x="2"/>
        <item h="1" x="1"/>
        <item h="1" x="4"/>
        <item h="1" x="5"/>
        <item h="1" x="6"/>
        <item x="7"/>
        <item x="8"/>
        <item t="default"/>
      </items>
    </pivotField>
    <pivotField compact="0" outline="0" showAll="0"/>
    <pivotField compact="0" outline="0" showAll="0"/>
    <pivotField axis="axisRow" dataField="1"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5">
    <i>
      <x/>
    </i>
    <i>
      <x v="1"/>
    </i>
    <i>
      <x v="2"/>
    </i>
    <i>
      <x v="3"/>
    </i>
    <i t="grand">
      <x/>
    </i>
  </rowItems>
  <colItems count="1">
    <i/>
  </colItems>
  <pageFields count="1">
    <pageField fld="1" hier="-1"/>
  </pageFields>
  <dataFields count="1">
    <dataField name="Count of Bug Type" fld="4" subtotal="count" baseField="0" baseItem="0"/>
  </dataFields>
  <formats count="6">
    <format dxfId="41">
      <pivotArea type="all" dataOnly="0" outline="0" fieldPosition="0"/>
    </format>
    <format dxfId="42">
      <pivotArea outline="0" collapsedLevelsAreSubtotals="1" fieldPosition="0"/>
    </format>
    <format dxfId="43">
      <pivotArea field="4" type="button" dataOnly="0" labelOnly="1" outline="0" axis="axisRow" fieldPosition="0"/>
    </format>
    <format dxfId="44">
      <pivotArea dataOnly="0" labelOnly="1" outline="0" fieldPosition="0">
        <references count="1">
          <reference field="4" count="0"/>
        </references>
      </pivotArea>
    </format>
    <format dxfId="45">
      <pivotArea dataOnly="0" labelOnly="1" grandRow="1" outline="0"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732C51-BF4B-4165-BE53-C3BDA070B73B}" name="PivotTable7" cacheId="13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FECT">
  <location ref="H4:I8" firstHeaderRow="1" firstDataRow="1" firstDataCol="1"/>
  <pivotFields count="4">
    <pivotField showAll="0"/>
    <pivotField showAll="0"/>
    <pivotField showAll="0"/>
    <pivotField axis="axisRow" dataField="1" showAll="0">
      <items count="5">
        <item x="0"/>
        <item x="1"/>
        <item x="2"/>
        <item h="1" x="3"/>
        <item t="default"/>
      </items>
    </pivotField>
  </pivotFields>
  <rowFields count="1">
    <field x="3"/>
  </rowFields>
  <rowItems count="4">
    <i>
      <x/>
    </i>
    <i>
      <x v="1"/>
    </i>
    <i>
      <x v="2"/>
    </i>
    <i t="grand">
      <x/>
    </i>
  </rowItems>
  <colItems count="1">
    <i/>
  </colItems>
  <dataFields count="1">
    <dataField name="Count" fld="3" subtotal="count" baseField="0" baseItem="0"/>
  </dataFields>
  <formats count="17">
    <format dxfId="24">
      <pivotArea type="all" dataOnly="0" outline="0" fieldPosition="0"/>
    </format>
    <format dxfId="25">
      <pivotArea outline="0" collapsedLevelsAreSubtotals="1" fieldPosition="0"/>
    </format>
    <format dxfId="26">
      <pivotArea field="3" type="button" dataOnly="0" labelOnly="1" outline="0" axis="axisRow" fieldPosition="0"/>
    </format>
    <format dxfId="27">
      <pivotArea dataOnly="0" labelOnly="1" fieldPosition="0">
        <references count="1">
          <reference field="3" count="0"/>
        </references>
      </pivotArea>
    </format>
    <format dxfId="28">
      <pivotArea dataOnly="0" labelOnly="1" grandRow="1" outline="0" fieldPosition="0"/>
    </format>
    <format dxfId="29">
      <pivotArea dataOnly="0" labelOnly="1" outline="0" axis="axisValues" fieldPosition="0"/>
    </format>
    <format dxfId="30">
      <pivotArea field="3" type="button" dataOnly="0" labelOnly="1" outline="0" axis="axisRow" fieldPosition="0"/>
    </format>
    <format dxfId="31">
      <pivotArea dataOnly="0" labelOnly="1" outline="0" axis="axisValues" fieldPosition="0"/>
    </format>
    <format dxfId="32">
      <pivotArea grandRow="1" outline="0" collapsedLevelsAreSubtotals="1" fieldPosition="0"/>
    </format>
    <format dxfId="33">
      <pivotArea dataOnly="0" labelOnly="1" grandRow="1" outline="0" fieldPosition="0"/>
    </format>
    <format dxfId="34">
      <pivotArea type="all" dataOnly="0" outline="0" fieldPosition="0"/>
    </format>
    <format dxfId="35">
      <pivotArea outline="0" collapsedLevelsAreSubtotals="1" fieldPosition="0"/>
    </format>
    <format dxfId="36">
      <pivotArea field="3" type="button" dataOnly="0" labelOnly="1" outline="0" axis="axisRow" fieldPosition="0"/>
    </format>
    <format dxfId="37">
      <pivotArea dataOnly="0" labelOnly="1" fieldPosition="0">
        <references count="1">
          <reference field="3" count="0"/>
        </references>
      </pivotArea>
    </format>
    <format dxfId="38">
      <pivotArea dataOnly="0" labelOnly="1" grandRow="1" outline="0" fieldPosition="0"/>
    </format>
    <format dxfId="39">
      <pivotArea dataOnly="0" labelOnly="1" outline="0" axis="axisValues"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F35A18-4091-419A-87EC-0616F5936C40}" name="PivotTable1" cacheId="13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B14" firstHeaderRow="1" firstDataRow="1" firstDataCol="1" rowPageCount="2" colPageCount="1"/>
  <pivotFields count="14">
    <pivotField compact="0" outline="0" showAll="0"/>
    <pivotField axis="axisPage" compact="0" outline="0" multipleItemSelectionAllowed="1" showAll="0">
      <items count="9">
        <item h="1" x="3"/>
        <item h="1" x="0"/>
        <item h="1" x="2"/>
        <item h="1" x="1"/>
        <item x="4"/>
        <item x="5"/>
        <item h="1" x="7"/>
        <item x="6"/>
        <item t="default"/>
      </items>
    </pivotField>
    <pivotField compact="0" outline="0" showAll="0"/>
    <pivotField axis="axisRow" dataField="1" compact="0" outline="0" showAll="0">
      <items count="4">
        <item x="0"/>
        <item x="1"/>
        <item h="1" x="2"/>
        <item t="default"/>
      </items>
    </pivotField>
    <pivotField compact="0" outline="0" showAll="0"/>
    <pivotField axis="axisPage" compact="0" outline="0" showAll="0">
      <items count="6">
        <item x="3"/>
        <item x="2"/>
        <item x="0"/>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2">
    <i>
      <x v="1"/>
    </i>
    <i t="grand">
      <x/>
    </i>
  </rowItems>
  <colItems count="1">
    <i/>
  </colItems>
  <pageFields count="2">
    <pageField fld="1" hier="-1"/>
    <pageField fld="5" hier="-1"/>
  </pageFields>
  <dataFields count="1">
    <dataField name="Count of Scenario Type" fld="3" subtotal="count" baseField="0" baseItem="0"/>
  </dataFields>
  <formats count="6">
    <format dxfId="18">
      <pivotArea field="3" type="button" dataOnly="0" labelOnly="1" outline="0" axis="axisRow" fieldPosition="0"/>
    </format>
    <format dxfId="19">
      <pivotArea dataOnly="0" labelOnly="1" outline="0" axis="axisValues" fieldPosition="0"/>
    </format>
    <format dxfId="20">
      <pivotArea dataOnly="0" labelOnly="1" outline="0" fieldPosition="0">
        <references count="1">
          <reference field="3" count="0"/>
        </references>
      </pivotArea>
    </format>
    <format dxfId="21">
      <pivotArea outline="0" fieldPosition="0">
        <references count="1">
          <reference field="3" count="0" selected="0"/>
        </references>
      </pivotArea>
    </format>
    <format dxfId="22">
      <pivotArea grandRow="1" outline="0" collapsedLevelsAreSubtotals="1" fieldPosition="0"/>
    </format>
    <format dxfId="2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F56D6B-62AA-40AC-8BC4-C2813B99ED09}" name="PivotTable12" cacheId="134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2:H36" firstHeaderRow="1" firstDataRow="1" firstDataCol="1"/>
  <pivotFields count="14">
    <pivotField compact="0" outline="0" showAll="0"/>
    <pivotField compact="0" outline="0" showAll="0"/>
    <pivotField compact="0" outline="0" showAll="0"/>
    <pivotField compact="0" outline="0" showAll="0"/>
    <pivotField compact="0" outline="0" showAll="0"/>
    <pivotField axis="axisRow" dataField="1"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
    <i>
      <x/>
    </i>
    <i>
      <x v="1"/>
    </i>
    <i>
      <x v="2"/>
    </i>
    <i t="grand">
      <x/>
    </i>
  </rowItems>
  <colItems count="1">
    <i/>
  </colItems>
  <dataFields count="1">
    <dataField name="Count of Status" fld="5" subtotal="count" baseField="0" baseItem="0"/>
  </dataFields>
  <formats count="10">
    <format dxfId="8">
      <pivotArea field="5" type="button" dataOnly="0" labelOnly="1" outline="0" axis="axisRow" fieldPosition="0"/>
    </format>
    <format dxfId="9">
      <pivotArea dataOnly="0" labelOnly="1" outline="0" axis="axisValues" fieldPosition="0"/>
    </format>
    <format dxfId="10">
      <pivotArea grandRow="1" outline="0" collapsedLevelsAreSubtotals="1" fieldPosition="0"/>
    </format>
    <format dxfId="11">
      <pivotArea dataOnly="0" labelOnly="1" grandRow="1" outline="0" fieldPosition="0"/>
    </format>
    <format dxfId="12">
      <pivotArea type="all" dataOnly="0" outline="0" fieldPosition="0"/>
    </format>
    <format dxfId="13">
      <pivotArea outline="0" collapsedLevelsAreSubtotals="1" fieldPosition="0"/>
    </format>
    <format dxfId="14">
      <pivotArea field="5" type="button" dataOnly="0" labelOnly="1" outline="0" axis="axisRow" fieldPosition="0"/>
    </format>
    <format dxfId="15">
      <pivotArea dataOnly="0" labelOnly="1" outline="0" fieldPosition="0">
        <references count="1">
          <reference field="5" count="0"/>
        </references>
      </pivotArea>
    </format>
    <format dxfId="16">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filterMode="1"/>
  <dimension ref="A1:N67"/>
  <sheetViews>
    <sheetView zoomScaleNormal="100" workbookViewId="0">
      <pane ySplit="1" topLeftCell="A55" activePane="bottomLeft" state="frozen"/>
      <selection pane="bottomLeft" activeCell="I59" sqref="A1:N64"/>
      <selection activeCell="E2" sqref="A2:F1048576"/>
    </sheetView>
  </sheetViews>
  <sheetFormatPr defaultColWidth="9.140625" defaultRowHeight="15" customHeight="1"/>
  <cols>
    <col min="1" max="1" width="3" style="3" bestFit="1" customWidth="1"/>
    <col min="2" max="3" width="10.7109375" style="3" customWidth="1"/>
    <col min="4" max="4" width="12.5703125" style="3" bestFit="1" customWidth="1"/>
    <col min="5" max="5" width="10.7109375" style="3" bestFit="1" customWidth="1"/>
    <col min="6" max="6" width="17" style="3" bestFit="1" customWidth="1"/>
    <col min="7" max="7" width="14" style="3" bestFit="1" customWidth="1"/>
    <col min="8" max="8" width="20.7109375" style="3" customWidth="1"/>
    <col min="9" max="10" width="60.7109375" style="3" customWidth="1"/>
    <col min="11" max="11" width="10.7109375" style="10" customWidth="1"/>
    <col min="12" max="12" width="19.42578125" style="9" customWidth="1"/>
    <col min="13" max="13" width="50.7109375" style="3" customWidth="1"/>
    <col min="14" max="14" width="50.85546875" style="9" customWidth="1"/>
    <col min="15" max="16384" width="9.140625" style="9"/>
  </cols>
  <sheetData>
    <row r="1" spans="1:14" s="1" customFormat="1" ht="30">
      <c r="A1" s="5" t="s">
        <v>0</v>
      </c>
      <c r="B1" s="5" t="s">
        <v>1</v>
      </c>
      <c r="C1" s="5" t="s">
        <v>2</v>
      </c>
      <c r="D1" s="5" t="s">
        <v>3</v>
      </c>
      <c r="E1" s="5" t="s">
        <v>4</v>
      </c>
      <c r="F1" s="5" t="s">
        <v>5</v>
      </c>
      <c r="G1" s="5" t="s">
        <v>6</v>
      </c>
      <c r="H1" s="5" t="s">
        <v>7</v>
      </c>
      <c r="I1" s="5" t="s">
        <v>8</v>
      </c>
      <c r="J1" s="4" t="s">
        <v>9</v>
      </c>
      <c r="K1" s="5" t="s">
        <v>10</v>
      </c>
      <c r="L1" s="5" t="s">
        <v>11</v>
      </c>
      <c r="M1" s="13" t="s">
        <v>12</v>
      </c>
      <c r="N1" s="12" t="s">
        <v>13</v>
      </c>
    </row>
    <row r="2" spans="1:14" ht="30">
      <c r="A2" s="35">
        <f t="shared" ref="A2:A34" si="0" xml:space="preserve"> ROW() - 1</f>
        <v>1</v>
      </c>
      <c r="B2" s="36">
        <v>45952</v>
      </c>
      <c r="C2" s="36" t="s">
        <v>14</v>
      </c>
      <c r="D2" s="37" t="s">
        <v>15</v>
      </c>
      <c r="E2" s="37" t="s">
        <v>16</v>
      </c>
      <c r="F2" s="37" t="s">
        <v>17</v>
      </c>
      <c r="G2" s="37" t="s">
        <v>18</v>
      </c>
      <c r="H2" s="37" t="s">
        <v>19</v>
      </c>
      <c r="I2" s="7" t="s">
        <v>20</v>
      </c>
      <c r="J2" s="38" t="s">
        <v>21</v>
      </c>
      <c r="K2" s="39">
        <v>45974</v>
      </c>
      <c r="L2" s="37" t="s">
        <v>22</v>
      </c>
      <c r="M2" s="15" t="s">
        <v>23</v>
      </c>
      <c r="N2" s="40" t="s">
        <v>24</v>
      </c>
    </row>
    <row r="3" spans="1:14" ht="409.5" customHeight="1">
      <c r="A3" s="35">
        <f t="shared" si="0"/>
        <v>2</v>
      </c>
      <c r="B3" s="36">
        <v>45952</v>
      </c>
      <c r="C3" s="36" t="s">
        <v>14</v>
      </c>
      <c r="D3" s="37" t="s">
        <v>15</v>
      </c>
      <c r="E3" s="37" t="s">
        <v>16</v>
      </c>
      <c r="F3" s="37" t="s">
        <v>17</v>
      </c>
      <c r="G3" s="38" t="s">
        <v>18</v>
      </c>
      <c r="H3" s="38" t="s">
        <v>25</v>
      </c>
      <c r="I3" s="38" t="s">
        <v>26</v>
      </c>
      <c r="J3" s="38" t="s">
        <v>27</v>
      </c>
      <c r="K3" s="39">
        <v>46001</v>
      </c>
      <c r="L3" s="37" t="s">
        <v>28</v>
      </c>
      <c r="M3" s="15" t="s">
        <v>29</v>
      </c>
      <c r="N3" s="42" t="s">
        <v>30</v>
      </c>
    </row>
    <row r="4" spans="1:14" ht="120">
      <c r="A4" s="35">
        <f t="shared" si="0"/>
        <v>3</v>
      </c>
      <c r="B4" s="36">
        <v>45952</v>
      </c>
      <c r="C4" s="36" t="s">
        <v>14</v>
      </c>
      <c r="D4" s="37" t="s">
        <v>15</v>
      </c>
      <c r="E4" s="37" t="s">
        <v>16</v>
      </c>
      <c r="F4" s="37" t="s">
        <v>17</v>
      </c>
      <c r="G4" s="38" t="s">
        <v>18</v>
      </c>
      <c r="H4" s="38" t="s">
        <v>31</v>
      </c>
      <c r="I4" s="38" t="s">
        <v>32</v>
      </c>
      <c r="J4" s="38" t="s">
        <v>33</v>
      </c>
      <c r="K4" s="39">
        <v>45974</v>
      </c>
      <c r="L4" s="37" t="s">
        <v>22</v>
      </c>
      <c r="M4" s="41"/>
      <c r="N4" s="42" t="s">
        <v>34</v>
      </c>
    </row>
    <row r="5" spans="1:14" ht="60">
      <c r="A5" s="35">
        <f t="shared" si="0"/>
        <v>4</v>
      </c>
      <c r="B5" s="36">
        <v>45952</v>
      </c>
      <c r="C5" s="36" t="s">
        <v>14</v>
      </c>
      <c r="D5" s="37" t="s">
        <v>15</v>
      </c>
      <c r="E5" s="37" t="s">
        <v>35</v>
      </c>
      <c r="F5" s="37" t="s">
        <v>36</v>
      </c>
      <c r="G5" s="38" t="s">
        <v>37</v>
      </c>
      <c r="H5" s="38" t="s">
        <v>38</v>
      </c>
      <c r="I5" s="38" t="s">
        <v>39</v>
      </c>
      <c r="J5" s="38" t="s">
        <v>40</v>
      </c>
      <c r="K5" s="39"/>
      <c r="L5" s="37"/>
      <c r="M5" s="41" t="s">
        <v>41</v>
      </c>
      <c r="N5" s="40"/>
    </row>
    <row r="6" spans="1:14" ht="60">
      <c r="A6" s="35">
        <f t="shared" si="0"/>
        <v>5</v>
      </c>
      <c r="B6" s="36">
        <v>45954</v>
      </c>
      <c r="C6" s="36" t="s">
        <v>14</v>
      </c>
      <c r="D6" s="37" t="s">
        <v>15</v>
      </c>
      <c r="E6" s="37" t="s">
        <v>35</v>
      </c>
      <c r="F6" s="37" t="s">
        <v>36</v>
      </c>
      <c r="G6" s="38" t="s">
        <v>37</v>
      </c>
      <c r="H6" s="38" t="s">
        <v>42</v>
      </c>
      <c r="I6" s="38" t="s">
        <v>43</v>
      </c>
      <c r="J6" s="38" t="s">
        <v>44</v>
      </c>
      <c r="K6" s="39"/>
      <c r="L6" s="37"/>
      <c r="M6" s="41" t="s">
        <v>41</v>
      </c>
      <c r="N6" s="40"/>
    </row>
    <row r="7" spans="1:14" ht="190.5" customHeight="1">
      <c r="A7" s="35">
        <f t="shared" si="0"/>
        <v>6</v>
      </c>
      <c r="B7" s="36">
        <v>45953</v>
      </c>
      <c r="C7" s="36" t="s">
        <v>14</v>
      </c>
      <c r="D7" s="37" t="s">
        <v>15</v>
      </c>
      <c r="E7" s="37" t="s">
        <v>35</v>
      </c>
      <c r="F7" s="37" t="s">
        <v>36</v>
      </c>
      <c r="G7" s="38" t="s">
        <v>45</v>
      </c>
      <c r="H7" s="38" t="s">
        <v>46</v>
      </c>
      <c r="I7" s="38" t="s">
        <v>47</v>
      </c>
      <c r="J7" s="38" t="s">
        <v>48</v>
      </c>
      <c r="K7" s="39"/>
      <c r="L7" s="37"/>
      <c r="M7" s="41" t="s">
        <v>41</v>
      </c>
      <c r="N7" s="40"/>
    </row>
    <row r="8" spans="1:14" s="2" customFormat="1" ht="30">
      <c r="A8" s="35">
        <f t="shared" si="0"/>
        <v>7</v>
      </c>
      <c r="B8" s="36">
        <v>45951</v>
      </c>
      <c r="C8" s="36" t="s">
        <v>14</v>
      </c>
      <c r="D8" s="37" t="s">
        <v>15</v>
      </c>
      <c r="E8" s="37" t="s">
        <v>16</v>
      </c>
      <c r="F8" s="37" t="s">
        <v>17</v>
      </c>
      <c r="G8" s="37" t="s">
        <v>49</v>
      </c>
      <c r="H8" s="37" t="s">
        <v>50</v>
      </c>
      <c r="I8" s="37" t="s">
        <v>51</v>
      </c>
      <c r="J8" s="37" t="s">
        <v>52</v>
      </c>
      <c r="K8" s="43">
        <v>45974</v>
      </c>
      <c r="L8" s="37" t="s">
        <v>22</v>
      </c>
      <c r="M8" s="41" t="s">
        <v>53</v>
      </c>
      <c r="N8" s="44" t="s">
        <v>54</v>
      </c>
    </row>
    <row r="9" spans="1:14" s="2" customFormat="1" ht="50.25" customHeight="1">
      <c r="A9" s="35">
        <f t="shared" si="0"/>
        <v>8</v>
      </c>
      <c r="B9" s="36">
        <v>45952</v>
      </c>
      <c r="C9" s="36" t="s">
        <v>14</v>
      </c>
      <c r="D9" s="37" t="s">
        <v>15</v>
      </c>
      <c r="E9" s="37" t="s">
        <v>16</v>
      </c>
      <c r="F9" s="37" t="s">
        <v>17</v>
      </c>
      <c r="G9" s="38" t="s">
        <v>18</v>
      </c>
      <c r="H9" s="38" t="s">
        <v>55</v>
      </c>
      <c r="I9" s="38" t="s">
        <v>56</v>
      </c>
      <c r="J9" s="38" t="s">
        <v>57</v>
      </c>
      <c r="K9" s="39">
        <v>45974</v>
      </c>
      <c r="L9" s="37" t="s">
        <v>22</v>
      </c>
      <c r="M9" s="41"/>
      <c r="N9" s="44" t="s">
        <v>58</v>
      </c>
    </row>
    <row r="10" spans="1:14" ht="106.5">
      <c r="A10" s="35">
        <f t="shared" si="0"/>
        <v>9</v>
      </c>
      <c r="B10" s="36">
        <v>45952</v>
      </c>
      <c r="C10" s="36" t="s">
        <v>14</v>
      </c>
      <c r="D10" s="37" t="s">
        <v>15</v>
      </c>
      <c r="E10" s="37" t="s">
        <v>16</v>
      </c>
      <c r="F10" s="37" t="s">
        <v>17</v>
      </c>
      <c r="G10" s="38" t="s">
        <v>18</v>
      </c>
      <c r="H10" s="38" t="s">
        <v>59</v>
      </c>
      <c r="I10" s="38" t="s">
        <v>60</v>
      </c>
      <c r="J10" s="38" t="s">
        <v>61</v>
      </c>
      <c r="K10" s="39">
        <v>45974</v>
      </c>
      <c r="L10" s="37" t="s">
        <v>28</v>
      </c>
      <c r="M10" s="33" t="s">
        <v>62</v>
      </c>
      <c r="N10" s="40" t="s">
        <v>58</v>
      </c>
    </row>
    <row r="11" spans="1:14" ht="76.5">
      <c r="A11" s="35">
        <f t="shared" si="0"/>
        <v>10</v>
      </c>
      <c r="B11" s="36">
        <v>45952</v>
      </c>
      <c r="C11" s="36" t="s">
        <v>14</v>
      </c>
      <c r="D11" s="37" t="s">
        <v>15</v>
      </c>
      <c r="E11" s="37" t="s">
        <v>16</v>
      </c>
      <c r="F11" s="37" t="s">
        <v>36</v>
      </c>
      <c r="G11" s="38" t="s">
        <v>18</v>
      </c>
      <c r="H11" s="38" t="s">
        <v>63</v>
      </c>
      <c r="I11" s="38" t="s">
        <v>64</v>
      </c>
      <c r="J11" s="38"/>
      <c r="K11" s="39"/>
      <c r="L11" s="37"/>
      <c r="M11" s="33" t="s">
        <v>65</v>
      </c>
      <c r="N11" s="40"/>
    </row>
    <row r="12" spans="1:14" ht="30">
      <c r="A12" s="35">
        <f t="shared" si="0"/>
        <v>11</v>
      </c>
      <c r="B12" s="36">
        <v>45952</v>
      </c>
      <c r="C12" s="36" t="s">
        <v>14</v>
      </c>
      <c r="D12" s="37" t="s">
        <v>15</v>
      </c>
      <c r="E12" s="37" t="s">
        <v>16</v>
      </c>
      <c r="F12" s="37" t="s">
        <v>17</v>
      </c>
      <c r="G12" s="7" t="s">
        <v>66</v>
      </c>
      <c r="H12" s="37" t="s">
        <v>67</v>
      </c>
      <c r="I12" s="7" t="s">
        <v>68</v>
      </c>
      <c r="J12" s="7" t="s">
        <v>69</v>
      </c>
      <c r="K12" s="39">
        <v>45974</v>
      </c>
      <c r="L12" s="37" t="s">
        <v>22</v>
      </c>
      <c r="M12" s="41"/>
      <c r="N12" s="40"/>
    </row>
    <row r="13" spans="1:14" ht="47.25" customHeight="1">
      <c r="A13" s="35">
        <f t="shared" si="0"/>
        <v>12</v>
      </c>
      <c r="B13" s="36">
        <v>45952</v>
      </c>
      <c r="C13" s="36" t="s">
        <v>14</v>
      </c>
      <c r="D13" s="37" t="s">
        <v>70</v>
      </c>
      <c r="E13" s="37" t="s">
        <v>35</v>
      </c>
      <c r="F13" s="37" t="s">
        <v>36</v>
      </c>
      <c r="G13" s="38" t="s">
        <v>71</v>
      </c>
      <c r="H13" s="38" t="s">
        <v>72</v>
      </c>
      <c r="I13" s="38" t="s">
        <v>73</v>
      </c>
      <c r="J13" s="38" t="s">
        <v>74</v>
      </c>
      <c r="K13" s="39"/>
      <c r="L13" s="37"/>
      <c r="M13" s="33" t="s">
        <v>75</v>
      </c>
      <c r="N13" s="40"/>
    </row>
    <row r="14" spans="1:14" ht="42" customHeight="1">
      <c r="A14" s="35">
        <f t="shared" si="0"/>
        <v>13</v>
      </c>
      <c r="B14" s="36">
        <v>45952</v>
      </c>
      <c r="C14" s="36" t="s">
        <v>14</v>
      </c>
      <c r="D14" s="37" t="s">
        <v>70</v>
      </c>
      <c r="E14" s="37" t="s">
        <v>35</v>
      </c>
      <c r="F14" s="37" t="s">
        <v>17</v>
      </c>
      <c r="G14" s="38" t="s">
        <v>76</v>
      </c>
      <c r="H14" s="38" t="s">
        <v>77</v>
      </c>
      <c r="I14" s="38" t="s">
        <v>78</v>
      </c>
      <c r="J14" s="38" t="s">
        <v>79</v>
      </c>
      <c r="K14" s="39">
        <v>45974</v>
      </c>
      <c r="L14" s="37" t="s">
        <v>22</v>
      </c>
      <c r="M14" s="33" t="s">
        <v>80</v>
      </c>
      <c r="N14" s="40" t="s">
        <v>81</v>
      </c>
    </row>
    <row r="15" spans="1:14" ht="45" customHeight="1">
      <c r="A15" s="35">
        <f t="shared" si="0"/>
        <v>14</v>
      </c>
      <c r="B15" s="36">
        <v>45952</v>
      </c>
      <c r="C15" s="36" t="s">
        <v>14</v>
      </c>
      <c r="D15" s="37" t="s">
        <v>70</v>
      </c>
      <c r="E15" s="37" t="s">
        <v>35</v>
      </c>
      <c r="F15" s="37" t="s">
        <v>36</v>
      </c>
      <c r="G15" s="37" t="s">
        <v>82</v>
      </c>
      <c r="H15" s="37" t="s">
        <v>83</v>
      </c>
      <c r="I15" s="7" t="s">
        <v>84</v>
      </c>
      <c r="J15" s="37" t="s">
        <v>85</v>
      </c>
      <c r="K15" s="36"/>
      <c r="L15" s="37"/>
      <c r="M15" s="15" t="s">
        <v>75</v>
      </c>
      <c r="N15" s="40"/>
    </row>
    <row r="16" spans="1:14" ht="30.75">
      <c r="A16" s="35">
        <f t="shared" si="0"/>
        <v>15</v>
      </c>
      <c r="B16" s="36">
        <v>45952</v>
      </c>
      <c r="C16" s="36" t="s">
        <v>14</v>
      </c>
      <c r="D16" s="37" t="s">
        <v>70</v>
      </c>
      <c r="E16" s="37" t="s">
        <v>35</v>
      </c>
      <c r="F16" s="37" t="s">
        <v>36</v>
      </c>
      <c r="G16" s="37" t="s">
        <v>86</v>
      </c>
      <c r="H16" s="37" t="s">
        <v>87</v>
      </c>
      <c r="I16" s="7" t="s">
        <v>88</v>
      </c>
      <c r="J16" s="37" t="s">
        <v>89</v>
      </c>
      <c r="K16" s="36"/>
      <c r="L16" s="37"/>
      <c r="M16" s="15" t="s">
        <v>75</v>
      </c>
      <c r="N16" s="40"/>
    </row>
    <row r="17" spans="1:14" ht="30.75">
      <c r="A17" s="35">
        <f t="shared" si="0"/>
        <v>16</v>
      </c>
      <c r="B17" s="36">
        <v>45952</v>
      </c>
      <c r="C17" s="36" t="s">
        <v>14</v>
      </c>
      <c r="D17" s="37" t="s">
        <v>70</v>
      </c>
      <c r="E17" s="37" t="s">
        <v>35</v>
      </c>
      <c r="F17" s="37" t="s">
        <v>36</v>
      </c>
      <c r="G17" s="37" t="s">
        <v>86</v>
      </c>
      <c r="H17" s="37" t="s">
        <v>90</v>
      </c>
      <c r="I17" s="7" t="s">
        <v>91</v>
      </c>
      <c r="J17" s="37" t="s">
        <v>92</v>
      </c>
      <c r="K17" s="36"/>
      <c r="L17" s="37"/>
      <c r="M17" s="33" t="s">
        <v>93</v>
      </c>
      <c r="N17" s="40"/>
    </row>
    <row r="18" spans="1:14">
      <c r="A18" s="35">
        <f t="shared" si="0"/>
        <v>17</v>
      </c>
      <c r="B18" s="36">
        <v>45952</v>
      </c>
      <c r="C18" s="36" t="s">
        <v>14</v>
      </c>
      <c r="D18" s="37" t="s">
        <v>70</v>
      </c>
      <c r="E18" s="37" t="s">
        <v>35</v>
      </c>
      <c r="F18" s="37" t="s">
        <v>36</v>
      </c>
      <c r="G18" s="37" t="s">
        <v>86</v>
      </c>
      <c r="H18" s="37" t="s">
        <v>94</v>
      </c>
      <c r="I18" s="7" t="s">
        <v>95</v>
      </c>
      <c r="J18" s="37"/>
      <c r="K18" s="36"/>
      <c r="L18" s="37"/>
      <c r="M18" s="14"/>
      <c r="N18" s="40"/>
    </row>
    <row r="19" spans="1:14" ht="30.75">
      <c r="A19" s="35">
        <f t="shared" si="0"/>
        <v>18</v>
      </c>
      <c r="B19" s="36">
        <v>45952</v>
      </c>
      <c r="C19" s="36" t="s">
        <v>14</v>
      </c>
      <c r="D19" s="37" t="s">
        <v>70</v>
      </c>
      <c r="E19" s="37" t="s">
        <v>35</v>
      </c>
      <c r="F19" s="37" t="s">
        <v>36</v>
      </c>
      <c r="G19" s="37" t="s">
        <v>86</v>
      </c>
      <c r="H19" s="37" t="s">
        <v>96</v>
      </c>
      <c r="I19" s="7" t="s">
        <v>97</v>
      </c>
      <c r="J19" s="38" t="s">
        <v>98</v>
      </c>
      <c r="K19" s="39"/>
      <c r="L19" s="37"/>
      <c r="M19" s="15" t="s">
        <v>75</v>
      </c>
      <c r="N19" s="40"/>
    </row>
    <row r="20" spans="1:14" ht="384.75" customHeight="1">
      <c r="A20" s="35">
        <f t="shared" si="0"/>
        <v>19</v>
      </c>
      <c r="B20" s="36">
        <v>45953</v>
      </c>
      <c r="C20" s="36" t="s">
        <v>14</v>
      </c>
      <c r="D20" s="37" t="s">
        <v>70</v>
      </c>
      <c r="E20" s="37" t="s">
        <v>35</v>
      </c>
      <c r="F20" s="37" t="s">
        <v>36</v>
      </c>
      <c r="G20" s="38" t="s">
        <v>99</v>
      </c>
      <c r="H20" s="38" t="s">
        <v>100</v>
      </c>
      <c r="I20" s="38" t="s">
        <v>101</v>
      </c>
      <c r="J20" s="38" t="s">
        <v>102</v>
      </c>
      <c r="K20" s="39"/>
      <c r="L20" s="37"/>
      <c r="M20" s="15" t="s">
        <v>75</v>
      </c>
      <c r="N20" s="40"/>
    </row>
    <row r="21" spans="1:14" ht="91.5">
      <c r="A21" s="35">
        <f t="shared" si="0"/>
        <v>20</v>
      </c>
      <c r="B21" s="36">
        <v>45953</v>
      </c>
      <c r="C21" s="36" t="s">
        <v>14</v>
      </c>
      <c r="D21" s="37" t="s">
        <v>70</v>
      </c>
      <c r="E21" s="37" t="s">
        <v>35</v>
      </c>
      <c r="F21" s="37" t="s">
        <v>36</v>
      </c>
      <c r="G21" s="38" t="s">
        <v>99</v>
      </c>
      <c r="H21" s="38" t="s">
        <v>103</v>
      </c>
      <c r="I21" s="38" t="s">
        <v>104</v>
      </c>
      <c r="J21" s="38" t="s">
        <v>105</v>
      </c>
      <c r="K21" s="39"/>
      <c r="L21" s="37"/>
      <c r="M21" s="15" t="s">
        <v>75</v>
      </c>
      <c r="N21" s="40"/>
    </row>
    <row r="22" spans="1:14" ht="195" customHeight="1">
      <c r="A22" s="35">
        <f t="shared" si="0"/>
        <v>21</v>
      </c>
      <c r="B22" s="36">
        <v>45951</v>
      </c>
      <c r="C22" s="36" t="s">
        <v>14</v>
      </c>
      <c r="D22" s="37" t="s">
        <v>15</v>
      </c>
      <c r="E22" s="45" t="s">
        <v>35</v>
      </c>
      <c r="F22" s="37" t="s">
        <v>36</v>
      </c>
      <c r="G22" s="45" t="s">
        <v>106</v>
      </c>
      <c r="H22" s="45" t="s">
        <v>107</v>
      </c>
      <c r="I22" s="6" t="s">
        <v>108</v>
      </c>
      <c r="J22" s="45" t="s">
        <v>109</v>
      </c>
      <c r="K22" s="43"/>
      <c r="L22" s="37"/>
      <c r="M22" s="15" t="s">
        <v>75</v>
      </c>
      <c r="N22" s="40" t="s">
        <v>110</v>
      </c>
    </row>
    <row r="23" spans="1:14" ht="30.75">
      <c r="A23" s="35">
        <f t="shared" si="0"/>
        <v>22</v>
      </c>
      <c r="B23" s="36">
        <v>45952</v>
      </c>
      <c r="C23" s="36" t="s">
        <v>14</v>
      </c>
      <c r="D23" s="37" t="s">
        <v>70</v>
      </c>
      <c r="E23" s="37" t="s">
        <v>35</v>
      </c>
      <c r="F23" s="37" t="s">
        <v>36</v>
      </c>
      <c r="G23" s="37" t="s">
        <v>111</v>
      </c>
      <c r="H23" s="37" t="s">
        <v>112</v>
      </c>
      <c r="I23" s="7" t="s">
        <v>113</v>
      </c>
      <c r="J23" s="37"/>
      <c r="K23" s="36"/>
      <c r="L23" s="37"/>
      <c r="M23" s="34" t="s">
        <v>114</v>
      </c>
      <c r="N23" s="40"/>
    </row>
    <row r="24" spans="1:14" ht="30.75">
      <c r="A24" s="35">
        <f t="shared" si="0"/>
        <v>23</v>
      </c>
      <c r="B24" s="36">
        <v>45952</v>
      </c>
      <c r="C24" s="36" t="s">
        <v>14</v>
      </c>
      <c r="D24" s="37" t="s">
        <v>70</v>
      </c>
      <c r="E24" s="37" t="s">
        <v>35</v>
      </c>
      <c r="F24" s="37" t="s">
        <v>36</v>
      </c>
      <c r="G24" s="7" t="s">
        <v>115</v>
      </c>
      <c r="H24" s="37" t="s">
        <v>116</v>
      </c>
      <c r="I24" s="7" t="s">
        <v>117</v>
      </c>
      <c r="J24" s="7" t="s">
        <v>118</v>
      </c>
      <c r="K24" s="8"/>
      <c r="L24" s="37"/>
      <c r="M24" s="15" t="s">
        <v>75</v>
      </c>
      <c r="N24" s="40"/>
    </row>
    <row r="25" spans="1:14">
      <c r="A25" s="35">
        <f t="shared" si="0"/>
        <v>24</v>
      </c>
      <c r="B25" s="36">
        <v>45952</v>
      </c>
      <c r="C25" s="36" t="s">
        <v>14</v>
      </c>
      <c r="D25" s="37" t="s">
        <v>70</v>
      </c>
      <c r="E25" s="37" t="s">
        <v>35</v>
      </c>
      <c r="F25" s="37" t="s">
        <v>36</v>
      </c>
      <c r="G25" s="37" t="s">
        <v>115</v>
      </c>
      <c r="H25" s="37" t="s">
        <v>119</v>
      </c>
      <c r="I25" s="7" t="s">
        <v>120</v>
      </c>
      <c r="J25" s="37" t="s">
        <v>121</v>
      </c>
      <c r="K25" s="36"/>
      <c r="L25" s="37"/>
      <c r="M25" s="15" t="s">
        <v>75</v>
      </c>
      <c r="N25" s="40"/>
    </row>
    <row r="26" spans="1:14" ht="45.75">
      <c r="A26" s="35">
        <f t="shared" si="0"/>
        <v>25</v>
      </c>
      <c r="B26" s="36">
        <v>45951</v>
      </c>
      <c r="C26" s="36" t="s">
        <v>14</v>
      </c>
      <c r="D26" s="37" t="s">
        <v>70</v>
      </c>
      <c r="E26" s="37" t="s">
        <v>16</v>
      </c>
      <c r="F26" s="37" t="s">
        <v>17</v>
      </c>
      <c r="G26" s="37" t="s">
        <v>122</v>
      </c>
      <c r="H26" s="37" t="s">
        <v>123</v>
      </c>
      <c r="I26" s="37" t="s">
        <v>124</v>
      </c>
      <c r="J26" s="37" t="s">
        <v>125</v>
      </c>
      <c r="K26" s="43">
        <v>45974</v>
      </c>
      <c r="L26" s="37" t="s">
        <v>22</v>
      </c>
      <c r="M26" s="33" t="s">
        <v>126</v>
      </c>
      <c r="N26" s="40" t="s">
        <v>127</v>
      </c>
    </row>
    <row r="27" spans="1:14" ht="30.75">
      <c r="A27" s="35">
        <f t="shared" si="0"/>
        <v>26</v>
      </c>
      <c r="B27" s="36">
        <v>45952</v>
      </c>
      <c r="C27" s="36" t="s">
        <v>14</v>
      </c>
      <c r="D27" s="37" t="s">
        <v>70</v>
      </c>
      <c r="E27" s="37" t="s">
        <v>35</v>
      </c>
      <c r="F27" s="37" t="s">
        <v>36</v>
      </c>
      <c r="G27" s="38" t="s">
        <v>128</v>
      </c>
      <c r="H27" s="38" t="s">
        <v>129</v>
      </c>
      <c r="I27" s="38" t="s">
        <v>130</v>
      </c>
      <c r="J27" s="38" t="s">
        <v>131</v>
      </c>
      <c r="K27" s="39"/>
      <c r="L27" s="37"/>
      <c r="M27" s="15" t="s">
        <v>75</v>
      </c>
      <c r="N27" s="40"/>
    </row>
    <row r="28" spans="1:14" ht="30.75">
      <c r="A28" s="35">
        <f t="shared" si="0"/>
        <v>27</v>
      </c>
      <c r="B28" s="36">
        <v>45952</v>
      </c>
      <c r="C28" s="36" t="s">
        <v>14</v>
      </c>
      <c r="D28" s="37" t="s">
        <v>70</v>
      </c>
      <c r="E28" s="37" t="s">
        <v>35</v>
      </c>
      <c r="F28" s="37" t="s">
        <v>36</v>
      </c>
      <c r="G28" s="38" t="s">
        <v>122</v>
      </c>
      <c r="H28" s="45" t="s">
        <v>132</v>
      </c>
      <c r="I28" s="6" t="s">
        <v>133</v>
      </c>
      <c r="J28" s="6" t="s">
        <v>134</v>
      </c>
      <c r="K28" s="39"/>
      <c r="L28" s="37"/>
      <c r="M28" s="15" t="s">
        <v>75</v>
      </c>
      <c r="N28" s="40"/>
    </row>
    <row r="29" spans="1:14" ht="30.75">
      <c r="A29" s="35">
        <f t="shared" si="0"/>
        <v>28</v>
      </c>
      <c r="B29" s="36">
        <v>45952</v>
      </c>
      <c r="C29" s="36" t="s">
        <v>14</v>
      </c>
      <c r="D29" s="37" t="s">
        <v>70</v>
      </c>
      <c r="E29" s="37" t="s">
        <v>35</v>
      </c>
      <c r="F29" s="37" t="s">
        <v>36</v>
      </c>
      <c r="G29" s="37" t="s">
        <v>135</v>
      </c>
      <c r="H29" s="37" t="s">
        <v>136</v>
      </c>
      <c r="I29" s="7" t="s">
        <v>137</v>
      </c>
      <c r="J29" s="37" t="s">
        <v>138</v>
      </c>
      <c r="K29" s="36"/>
      <c r="L29" s="37"/>
      <c r="M29" s="15" t="s">
        <v>75</v>
      </c>
      <c r="N29" s="40"/>
    </row>
    <row r="30" spans="1:14" ht="168" customHeight="1">
      <c r="A30" s="35">
        <f t="shared" si="0"/>
        <v>29</v>
      </c>
      <c r="B30" s="36">
        <v>45951</v>
      </c>
      <c r="C30" s="36" t="s">
        <v>14</v>
      </c>
      <c r="D30" s="37" t="s">
        <v>70</v>
      </c>
      <c r="E30" s="37" t="s">
        <v>139</v>
      </c>
      <c r="F30" s="37" t="s">
        <v>17</v>
      </c>
      <c r="G30" s="7" t="s">
        <v>140</v>
      </c>
      <c r="H30" s="7" t="s">
        <v>141</v>
      </c>
      <c r="I30" s="7" t="s">
        <v>142</v>
      </c>
      <c r="J30" s="7" t="s">
        <v>143</v>
      </c>
      <c r="K30" s="8">
        <v>45974</v>
      </c>
      <c r="L30" s="37" t="s">
        <v>28</v>
      </c>
      <c r="M30" s="33" t="s">
        <v>144</v>
      </c>
      <c r="N30" s="40" t="s">
        <v>145</v>
      </c>
    </row>
    <row r="31" spans="1:14" ht="45.75">
      <c r="A31" s="35">
        <f t="shared" si="0"/>
        <v>30</v>
      </c>
      <c r="B31" s="36">
        <v>45952</v>
      </c>
      <c r="C31" s="36" t="s">
        <v>14</v>
      </c>
      <c r="D31" s="37" t="s">
        <v>70</v>
      </c>
      <c r="E31" s="45" t="s">
        <v>35</v>
      </c>
      <c r="F31" s="37" t="s">
        <v>36</v>
      </c>
      <c r="G31" s="45" t="s">
        <v>146</v>
      </c>
      <c r="H31" s="45" t="s">
        <v>99</v>
      </c>
      <c r="I31" s="6" t="s">
        <v>147</v>
      </c>
      <c r="J31" s="45" t="s">
        <v>148</v>
      </c>
      <c r="K31" s="43"/>
      <c r="L31" s="37"/>
      <c r="M31" s="15" t="s">
        <v>75</v>
      </c>
      <c r="N31" s="40"/>
    </row>
    <row r="32" spans="1:14" ht="45.75">
      <c r="A32" s="35">
        <f t="shared" si="0"/>
        <v>31</v>
      </c>
      <c r="B32" s="36">
        <v>45952</v>
      </c>
      <c r="C32" s="36" t="s">
        <v>14</v>
      </c>
      <c r="D32" s="37" t="s">
        <v>70</v>
      </c>
      <c r="E32" s="37" t="s">
        <v>35</v>
      </c>
      <c r="F32" s="37" t="s">
        <v>17</v>
      </c>
      <c r="G32" s="38" t="s">
        <v>146</v>
      </c>
      <c r="H32" s="38" t="s">
        <v>149</v>
      </c>
      <c r="I32" s="38" t="s">
        <v>150</v>
      </c>
      <c r="J32" s="38" t="s">
        <v>151</v>
      </c>
      <c r="K32" s="39">
        <v>45995</v>
      </c>
      <c r="L32" s="37" t="s">
        <v>28</v>
      </c>
      <c r="M32" s="15" t="s">
        <v>152</v>
      </c>
      <c r="N32" s="42" t="s">
        <v>153</v>
      </c>
    </row>
    <row r="33" spans="1:14" ht="30">
      <c r="A33" s="35">
        <f t="shared" si="0"/>
        <v>32</v>
      </c>
      <c r="B33" s="36">
        <v>45952</v>
      </c>
      <c r="C33" s="36" t="s">
        <v>14</v>
      </c>
      <c r="D33" s="37" t="s">
        <v>70</v>
      </c>
      <c r="E33" s="37" t="s">
        <v>35</v>
      </c>
      <c r="F33" s="37" t="s">
        <v>17</v>
      </c>
      <c r="G33" s="7" t="s">
        <v>154</v>
      </c>
      <c r="H33" s="7" t="s">
        <v>155</v>
      </c>
      <c r="I33" s="7" t="s">
        <v>156</v>
      </c>
      <c r="J33" s="7" t="s">
        <v>157</v>
      </c>
      <c r="K33" s="8">
        <v>45974</v>
      </c>
      <c r="L33" s="37" t="s">
        <v>22</v>
      </c>
      <c r="M33" s="15" t="s">
        <v>158</v>
      </c>
      <c r="N33" s="40" t="s">
        <v>159</v>
      </c>
    </row>
    <row r="34" spans="1:14" ht="30">
      <c r="A34" s="35">
        <f t="shared" si="0"/>
        <v>33</v>
      </c>
      <c r="B34" s="36">
        <v>45952</v>
      </c>
      <c r="C34" s="36" t="s">
        <v>14</v>
      </c>
      <c r="D34" s="37" t="s">
        <v>70</v>
      </c>
      <c r="E34" s="37" t="s">
        <v>35</v>
      </c>
      <c r="F34" s="37" t="s">
        <v>17</v>
      </c>
      <c r="G34" s="38" t="s">
        <v>154</v>
      </c>
      <c r="H34" s="38" t="s">
        <v>160</v>
      </c>
      <c r="I34" s="38" t="s">
        <v>161</v>
      </c>
      <c r="J34" s="38" t="s">
        <v>162</v>
      </c>
      <c r="K34" s="8">
        <v>45974</v>
      </c>
      <c r="L34" s="37" t="s">
        <v>22</v>
      </c>
      <c r="M34" s="41"/>
      <c r="N34" s="40" t="s">
        <v>163</v>
      </c>
    </row>
    <row r="35" spans="1:14" ht="360" customHeight="1">
      <c r="A35" s="35">
        <f t="shared" ref="A35:A64" si="1" xml:space="preserve"> ROW() - 1</f>
        <v>34</v>
      </c>
      <c r="B35" s="36">
        <v>45952</v>
      </c>
      <c r="C35" s="36" t="s">
        <v>14</v>
      </c>
      <c r="D35" s="37" t="s">
        <v>70</v>
      </c>
      <c r="E35" s="37" t="s">
        <v>35</v>
      </c>
      <c r="F35" s="37" t="s">
        <v>17</v>
      </c>
      <c r="G35" s="38" t="s">
        <v>154</v>
      </c>
      <c r="H35" s="38" t="s">
        <v>164</v>
      </c>
      <c r="I35" s="38" t="s">
        <v>165</v>
      </c>
      <c r="J35" s="38" t="s">
        <v>166</v>
      </c>
      <c r="K35" s="39">
        <v>45974</v>
      </c>
      <c r="L35" s="37" t="s">
        <v>22</v>
      </c>
      <c r="M35" s="33" t="s">
        <v>167</v>
      </c>
      <c r="N35" s="40" t="s">
        <v>168</v>
      </c>
    </row>
    <row r="36" spans="1:14" ht="30">
      <c r="A36" s="35">
        <f t="shared" si="1"/>
        <v>35</v>
      </c>
      <c r="B36" s="36">
        <v>45952</v>
      </c>
      <c r="C36" s="36" t="s">
        <v>14</v>
      </c>
      <c r="D36" s="37" t="s">
        <v>70</v>
      </c>
      <c r="E36" s="37" t="s">
        <v>35</v>
      </c>
      <c r="F36" s="37" t="s">
        <v>36</v>
      </c>
      <c r="G36" s="7" t="s">
        <v>18</v>
      </c>
      <c r="H36" s="7" t="s">
        <v>169</v>
      </c>
      <c r="I36" s="7" t="s">
        <v>170</v>
      </c>
      <c r="J36" s="7" t="s">
        <v>171</v>
      </c>
      <c r="K36" s="8">
        <v>45974</v>
      </c>
      <c r="L36" s="37" t="s">
        <v>22</v>
      </c>
      <c r="M36" s="14"/>
      <c r="N36" s="40" t="s">
        <v>172</v>
      </c>
    </row>
    <row r="37" spans="1:14" ht="30.75">
      <c r="A37" s="35">
        <f t="shared" si="1"/>
        <v>36</v>
      </c>
      <c r="B37" s="36">
        <v>45952</v>
      </c>
      <c r="C37" s="36" t="s">
        <v>14</v>
      </c>
      <c r="D37" s="37" t="s">
        <v>70</v>
      </c>
      <c r="E37" s="37" t="s">
        <v>35</v>
      </c>
      <c r="F37" s="37" t="s">
        <v>36</v>
      </c>
      <c r="G37" s="7" t="s">
        <v>18</v>
      </c>
      <c r="H37" s="7" t="s">
        <v>173</v>
      </c>
      <c r="I37" s="7" t="s">
        <v>174</v>
      </c>
      <c r="J37" s="7" t="s">
        <v>175</v>
      </c>
      <c r="K37" s="8"/>
      <c r="L37" s="37"/>
      <c r="M37" s="15" t="s">
        <v>75</v>
      </c>
      <c r="N37" s="40"/>
    </row>
    <row r="38" spans="1:14">
      <c r="A38" s="35">
        <f t="shared" si="1"/>
        <v>37</v>
      </c>
      <c r="B38" s="36">
        <v>45952</v>
      </c>
      <c r="C38" s="36" t="s">
        <v>14</v>
      </c>
      <c r="D38" s="37" t="s">
        <v>70</v>
      </c>
      <c r="E38" s="37" t="s">
        <v>35</v>
      </c>
      <c r="F38" s="37" t="s">
        <v>36</v>
      </c>
      <c r="G38" s="37" t="s">
        <v>18</v>
      </c>
      <c r="H38" s="37" t="s">
        <v>176</v>
      </c>
      <c r="I38" s="7" t="s">
        <v>177</v>
      </c>
      <c r="J38" s="38" t="s">
        <v>178</v>
      </c>
      <c r="K38" s="39"/>
      <c r="L38" s="37"/>
      <c r="M38" s="15" t="s">
        <v>75</v>
      </c>
      <c r="N38" s="40"/>
    </row>
    <row r="39" spans="1:14" ht="91.5">
      <c r="A39" s="35">
        <f t="shared" si="1"/>
        <v>38</v>
      </c>
      <c r="B39" s="46">
        <v>45954</v>
      </c>
      <c r="C39" s="36" t="s">
        <v>14</v>
      </c>
      <c r="D39" s="37" t="s">
        <v>15</v>
      </c>
      <c r="E39" s="37" t="s">
        <v>35</v>
      </c>
      <c r="F39" s="37" t="s">
        <v>36</v>
      </c>
      <c r="G39" s="38" t="s">
        <v>179</v>
      </c>
      <c r="H39" s="38" t="s">
        <v>180</v>
      </c>
      <c r="I39" s="38" t="s">
        <v>181</v>
      </c>
      <c r="J39" s="38" t="s">
        <v>182</v>
      </c>
      <c r="K39" s="39">
        <v>45974</v>
      </c>
      <c r="L39" s="37" t="s">
        <v>22</v>
      </c>
      <c r="M39" s="15" t="s">
        <v>75</v>
      </c>
      <c r="N39" s="40" t="s">
        <v>172</v>
      </c>
    </row>
    <row r="40" spans="1:14" ht="45.75">
      <c r="A40" s="35">
        <f t="shared" si="1"/>
        <v>39</v>
      </c>
      <c r="B40" s="46">
        <v>45954</v>
      </c>
      <c r="C40" s="36" t="s">
        <v>14</v>
      </c>
      <c r="D40" s="37" t="s">
        <v>70</v>
      </c>
      <c r="E40" s="37" t="s">
        <v>35</v>
      </c>
      <c r="F40" s="37" t="s">
        <v>17</v>
      </c>
      <c r="G40" s="38" t="s">
        <v>183</v>
      </c>
      <c r="H40" s="38" t="s">
        <v>184</v>
      </c>
      <c r="I40" s="38" t="s">
        <v>185</v>
      </c>
      <c r="J40" s="38" t="s">
        <v>186</v>
      </c>
      <c r="K40" s="39">
        <v>45974</v>
      </c>
      <c r="L40" s="37" t="s">
        <v>22</v>
      </c>
      <c r="M40" s="41" t="s">
        <v>187</v>
      </c>
      <c r="N40" s="40" t="s">
        <v>188</v>
      </c>
    </row>
    <row r="41" spans="1:14" ht="373.5" customHeight="1">
      <c r="A41" s="35">
        <f t="shared" si="1"/>
        <v>40</v>
      </c>
      <c r="B41" s="46">
        <v>45954</v>
      </c>
      <c r="C41" s="36" t="s">
        <v>14</v>
      </c>
      <c r="D41" s="37" t="s">
        <v>70</v>
      </c>
      <c r="E41" s="37" t="s">
        <v>35</v>
      </c>
      <c r="F41" s="37" t="s">
        <v>17</v>
      </c>
      <c r="G41" s="38" t="s">
        <v>189</v>
      </c>
      <c r="H41" s="38" t="s">
        <v>190</v>
      </c>
      <c r="I41" s="38" t="s">
        <v>191</v>
      </c>
      <c r="J41" s="38"/>
      <c r="K41" s="39">
        <v>45974</v>
      </c>
      <c r="L41" s="37" t="s">
        <v>22</v>
      </c>
      <c r="M41" s="41"/>
      <c r="N41" s="40" t="s">
        <v>192</v>
      </c>
    </row>
    <row r="42" spans="1:14" ht="82.5" customHeight="1">
      <c r="A42" s="35">
        <f t="shared" si="1"/>
        <v>41</v>
      </c>
      <c r="B42" s="46">
        <v>45954</v>
      </c>
      <c r="C42" s="36" t="s">
        <v>14</v>
      </c>
      <c r="D42" s="37" t="s">
        <v>70</v>
      </c>
      <c r="E42" s="37" t="s">
        <v>35</v>
      </c>
      <c r="F42" s="37" t="s">
        <v>36</v>
      </c>
      <c r="G42" s="38" t="s">
        <v>193</v>
      </c>
      <c r="H42" s="38" t="s">
        <v>190</v>
      </c>
      <c r="I42" s="38" t="s">
        <v>194</v>
      </c>
      <c r="J42" s="38" t="s">
        <v>195</v>
      </c>
      <c r="K42" s="39"/>
      <c r="L42" s="37"/>
      <c r="M42" s="15" t="s">
        <v>75</v>
      </c>
      <c r="N42" s="40" t="s">
        <v>196</v>
      </c>
    </row>
    <row r="43" spans="1:14" ht="273.75" customHeight="1">
      <c r="A43" s="35">
        <f t="shared" si="1"/>
        <v>42</v>
      </c>
      <c r="B43" s="46">
        <v>45954</v>
      </c>
      <c r="C43" s="36" t="s">
        <v>14</v>
      </c>
      <c r="D43" s="37" t="s">
        <v>70</v>
      </c>
      <c r="E43" s="37" t="s">
        <v>35</v>
      </c>
      <c r="F43" s="37" t="s">
        <v>17</v>
      </c>
      <c r="G43" s="38" t="s">
        <v>18</v>
      </c>
      <c r="H43" s="38" t="s">
        <v>197</v>
      </c>
      <c r="I43" s="38" t="s">
        <v>198</v>
      </c>
      <c r="J43" s="38"/>
      <c r="K43" s="39">
        <v>45974</v>
      </c>
      <c r="L43" s="37" t="s">
        <v>22</v>
      </c>
      <c r="M43" s="41"/>
      <c r="N43" s="40" t="s">
        <v>199</v>
      </c>
    </row>
    <row r="44" spans="1:14" ht="60.75">
      <c r="A44" s="35">
        <f t="shared" si="1"/>
        <v>43</v>
      </c>
      <c r="B44" s="46">
        <v>45964</v>
      </c>
      <c r="C44" s="36" t="s">
        <v>14</v>
      </c>
      <c r="D44" s="37" t="s">
        <v>70</v>
      </c>
      <c r="E44" s="37" t="s">
        <v>35</v>
      </c>
      <c r="F44" s="37" t="s">
        <v>17</v>
      </c>
      <c r="G44" s="38" t="s">
        <v>18</v>
      </c>
      <c r="H44" s="38" t="s">
        <v>200</v>
      </c>
      <c r="I44" s="38" t="s">
        <v>201</v>
      </c>
      <c r="J44" s="38" t="s">
        <v>202</v>
      </c>
      <c r="K44" s="39">
        <v>45995</v>
      </c>
      <c r="L44" s="37" t="s">
        <v>22</v>
      </c>
      <c r="M44" s="15" t="s">
        <v>203</v>
      </c>
      <c r="N44" s="42" t="s">
        <v>204</v>
      </c>
    </row>
    <row r="45" spans="1:14" ht="60.75">
      <c r="A45" s="35">
        <f t="shared" si="1"/>
        <v>44</v>
      </c>
      <c r="B45" s="46">
        <v>45974</v>
      </c>
      <c r="C45" s="36" t="s">
        <v>14</v>
      </c>
      <c r="D45" s="37" t="s">
        <v>70</v>
      </c>
      <c r="E45" s="37" t="s">
        <v>35</v>
      </c>
      <c r="F45" s="37" t="s">
        <v>17</v>
      </c>
      <c r="G45" s="38" t="s">
        <v>18</v>
      </c>
      <c r="H45" s="38" t="s">
        <v>205</v>
      </c>
      <c r="I45" s="38" t="s">
        <v>206</v>
      </c>
      <c r="J45" s="38" t="s">
        <v>207</v>
      </c>
      <c r="K45" s="39">
        <v>45995</v>
      </c>
      <c r="L45" s="37" t="s">
        <v>22</v>
      </c>
      <c r="M45" s="33" t="s">
        <v>208</v>
      </c>
      <c r="N45" s="42" t="s">
        <v>209</v>
      </c>
    </row>
    <row r="46" spans="1:14" ht="76.5">
      <c r="A46" s="35">
        <f t="shared" si="1"/>
        <v>45</v>
      </c>
      <c r="B46" s="46">
        <v>45974</v>
      </c>
      <c r="C46" s="36" t="s">
        <v>14</v>
      </c>
      <c r="D46" s="37" t="s">
        <v>70</v>
      </c>
      <c r="E46" s="37" t="s">
        <v>16</v>
      </c>
      <c r="F46" s="37" t="s">
        <v>36</v>
      </c>
      <c r="G46" s="38" t="s">
        <v>146</v>
      </c>
      <c r="H46" s="38" t="s">
        <v>210</v>
      </c>
      <c r="I46" s="38" t="s">
        <v>211</v>
      </c>
      <c r="J46" s="38" t="s">
        <v>212</v>
      </c>
      <c r="K46" s="39"/>
      <c r="L46" s="37"/>
      <c r="M46" s="33" t="s">
        <v>213</v>
      </c>
      <c r="N46" s="40"/>
    </row>
    <row r="47" spans="1:14" ht="60.75">
      <c r="A47" s="35">
        <f t="shared" si="1"/>
        <v>46</v>
      </c>
      <c r="B47" s="46">
        <v>45974</v>
      </c>
      <c r="C47" s="36" t="s">
        <v>14</v>
      </c>
      <c r="D47" s="37" t="s">
        <v>70</v>
      </c>
      <c r="E47" s="37" t="s">
        <v>16</v>
      </c>
      <c r="F47" s="37" t="s">
        <v>36</v>
      </c>
      <c r="G47" s="38" t="s">
        <v>146</v>
      </c>
      <c r="H47" s="38" t="s">
        <v>214</v>
      </c>
      <c r="I47" s="38" t="s">
        <v>215</v>
      </c>
      <c r="J47" s="38" t="s">
        <v>216</v>
      </c>
      <c r="K47" s="39"/>
      <c r="L47" s="37"/>
      <c r="M47" s="33" t="s">
        <v>217</v>
      </c>
      <c r="N47" s="40" t="s">
        <v>218</v>
      </c>
    </row>
    <row r="48" spans="1:14" ht="60.75">
      <c r="A48" s="35">
        <f t="shared" si="1"/>
        <v>47</v>
      </c>
      <c r="B48" s="46">
        <v>45974</v>
      </c>
      <c r="C48" s="36" t="s">
        <v>14</v>
      </c>
      <c r="D48" s="37" t="s">
        <v>70</v>
      </c>
      <c r="E48" s="37" t="s">
        <v>16</v>
      </c>
      <c r="F48" s="37" t="s">
        <v>36</v>
      </c>
      <c r="G48" s="38" t="s">
        <v>146</v>
      </c>
      <c r="H48" s="38" t="s">
        <v>219</v>
      </c>
      <c r="I48" s="38" t="s">
        <v>220</v>
      </c>
      <c r="J48" s="38" t="s">
        <v>216</v>
      </c>
      <c r="K48" s="39"/>
      <c r="L48" s="37"/>
      <c r="M48" s="15" t="s">
        <v>217</v>
      </c>
      <c r="N48" s="40"/>
    </row>
    <row r="49" spans="1:14" ht="106.5">
      <c r="A49" s="35">
        <f t="shared" si="1"/>
        <v>48</v>
      </c>
      <c r="B49" s="46">
        <v>45974</v>
      </c>
      <c r="C49" s="36" t="s">
        <v>14</v>
      </c>
      <c r="D49" s="37" t="s">
        <v>70</v>
      </c>
      <c r="E49" s="37" t="s">
        <v>16</v>
      </c>
      <c r="F49" s="37" t="s">
        <v>36</v>
      </c>
      <c r="G49" s="38" t="s">
        <v>146</v>
      </c>
      <c r="H49" s="38" t="s">
        <v>221</v>
      </c>
      <c r="I49" s="38" t="s">
        <v>222</v>
      </c>
      <c r="J49" s="38" t="s">
        <v>216</v>
      </c>
      <c r="K49" s="39"/>
      <c r="L49" s="37"/>
      <c r="M49" s="15" t="s">
        <v>217</v>
      </c>
      <c r="N49" s="42" t="s">
        <v>223</v>
      </c>
    </row>
    <row r="50" spans="1:14" ht="211.5" customHeight="1">
      <c r="A50" s="35">
        <f t="shared" si="1"/>
        <v>49</v>
      </c>
      <c r="B50" s="46">
        <v>45974</v>
      </c>
      <c r="C50" s="36" t="s">
        <v>14</v>
      </c>
      <c r="D50" s="37" t="s">
        <v>70</v>
      </c>
      <c r="E50" s="37" t="s">
        <v>16</v>
      </c>
      <c r="F50" s="37" t="s">
        <v>36</v>
      </c>
      <c r="G50" s="38" t="s">
        <v>224</v>
      </c>
      <c r="H50" s="38" t="s">
        <v>221</v>
      </c>
      <c r="I50" s="38" t="s">
        <v>225</v>
      </c>
      <c r="J50" s="38" t="s">
        <v>226</v>
      </c>
      <c r="K50" s="39"/>
      <c r="L50" s="37"/>
      <c r="M50" s="15" t="s">
        <v>217</v>
      </c>
      <c r="N50" s="42" t="s">
        <v>227</v>
      </c>
    </row>
    <row r="51" spans="1:14" ht="30.75">
      <c r="A51" s="35">
        <f t="shared" si="1"/>
        <v>50</v>
      </c>
      <c r="B51" s="46">
        <v>45974</v>
      </c>
      <c r="C51" s="36" t="s">
        <v>228</v>
      </c>
      <c r="D51" s="37" t="s">
        <v>70</v>
      </c>
      <c r="E51" s="37" t="s">
        <v>35</v>
      </c>
      <c r="F51" s="37" t="s">
        <v>36</v>
      </c>
      <c r="G51" s="38" t="s">
        <v>229</v>
      </c>
      <c r="H51" s="38" t="s">
        <v>230</v>
      </c>
      <c r="I51" s="38" t="s">
        <v>231</v>
      </c>
      <c r="J51" s="38" t="s">
        <v>232</v>
      </c>
      <c r="K51" s="39"/>
      <c r="L51" s="37"/>
      <c r="M51" s="15" t="s">
        <v>217</v>
      </c>
      <c r="N51" s="40"/>
    </row>
    <row r="52" spans="1:14" ht="45.75">
      <c r="A52" s="35">
        <f t="shared" si="1"/>
        <v>51</v>
      </c>
      <c r="B52" s="46">
        <v>45978</v>
      </c>
      <c r="C52" s="36" t="s">
        <v>228</v>
      </c>
      <c r="D52" s="37" t="s">
        <v>70</v>
      </c>
      <c r="E52" s="37" t="s">
        <v>35</v>
      </c>
      <c r="F52" s="37" t="s">
        <v>17</v>
      </c>
      <c r="G52" s="38" t="s">
        <v>233</v>
      </c>
      <c r="H52" s="38" t="s">
        <v>234</v>
      </c>
      <c r="I52" s="38" t="s">
        <v>235</v>
      </c>
      <c r="J52" s="38"/>
      <c r="K52" s="39">
        <v>45995</v>
      </c>
      <c r="L52" s="37" t="s">
        <v>22</v>
      </c>
      <c r="M52" s="33" t="s">
        <v>236</v>
      </c>
      <c r="N52" s="42" t="s">
        <v>237</v>
      </c>
    </row>
    <row r="53" spans="1:14" ht="76.5">
      <c r="A53" s="35">
        <f t="shared" si="1"/>
        <v>52</v>
      </c>
      <c r="B53" s="46">
        <v>45995</v>
      </c>
      <c r="C53" s="36" t="s">
        <v>228</v>
      </c>
      <c r="D53" s="37" t="s">
        <v>70</v>
      </c>
      <c r="E53" s="37" t="s">
        <v>139</v>
      </c>
      <c r="F53" s="37" t="s">
        <v>36</v>
      </c>
      <c r="G53" s="38" t="s">
        <v>233</v>
      </c>
      <c r="H53" s="38" t="s">
        <v>238</v>
      </c>
      <c r="I53" s="38" t="s">
        <v>239</v>
      </c>
      <c r="J53" s="38" t="s">
        <v>240</v>
      </c>
      <c r="K53" s="39"/>
      <c r="L53" s="37"/>
      <c r="M53" s="41" t="s">
        <v>241</v>
      </c>
      <c r="N53" s="40"/>
    </row>
    <row r="54" spans="1:14" ht="130.5" customHeight="1">
      <c r="A54" s="35">
        <f t="shared" si="1"/>
        <v>53</v>
      </c>
      <c r="B54" s="46">
        <v>45995</v>
      </c>
      <c r="C54" s="36" t="s">
        <v>14</v>
      </c>
      <c r="D54" s="37" t="s">
        <v>70</v>
      </c>
      <c r="E54" s="37" t="s">
        <v>35</v>
      </c>
      <c r="F54" s="37" t="s">
        <v>17</v>
      </c>
      <c r="G54" s="38" t="s">
        <v>242</v>
      </c>
      <c r="H54" s="38" t="s">
        <v>243</v>
      </c>
      <c r="I54" s="38" t="s">
        <v>244</v>
      </c>
      <c r="J54" s="38"/>
      <c r="K54" s="39">
        <v>46013</v>
      </c>
      <c r="L54" s="37" t="s">
        <v>22</v>
      </c>
      <c r="M54" s="41" t="s">
        <v>245</v>
      </c>
      <c r="N54" s="42" t="s">
        <v>246</v>
      </c>
    </row>
    <row r="55" spans="1:14" ht="130.5" customHeight="1">
      <c r="A55" s="35">
        <f t="shared" si="1"/>
        <v>54</v>
      </c>
      <c r="B55" s="46">
        <v>45995</v>
      </c>
      <c r="C55" s="36" t="s">
        <v>14</v>
      </c>
      <c r="D55" s="37" t="s">
        <v>70</v>
      </c>
      <c r="E55" s="37" t="s">
        <v>35</v>
      </c>
      <c r="F55" s="37" t="s">
        <v>17</v>
      </c>
      <c r="G55" s="38" t="s">
        <v>242</v>
      </c>
      <c r="H55" s="38" t="s">
        <v>247</v>
      </c>
      <c r="I55" s="38" t="s">
        <v>248</v>
      </c>
      <c r="J55" s="38" t="s">
        <v>249</v>
      </c>
      <c r="K55" s="39">
        <v>46013</v>
      </c>
      <c r="L55" s="37" t="s">
        <v>22</v>
      </c>
      <c r="M55" s="15" t="s">
        <v>250</v>
      </c>
      <c r="N55" s="42" t="s">
        <v>251</v>
      </c>
    </row>
    <row r="56" spans="1:14" ht="106.5">
      <c r="A56" s="35">
        <f t="shared" si="1"/>
        <v>55</v>
      </c>
      <c r="B56" s="46">
        <v>45995</v>
      </c>
      <c r="C56" s="36" t="s">
        <v>14</v>
      </c>
      <c r="D56" s="37" t="s">
        <v>70</v>
      </c>
      <c r="E56" s="37"/>
      <c r="F56" s="37" t="s">
        <v>36</v>
      </c>
      <c r="G56" s="38" t="s">
        <v>252</v>
      </c>
      <c r="H56" s="38" t="s">
        <v>253</v>
      </c>
      <c r="I56" s="38" t="s">
        <v>254</v>
      </c>
      <c r="J56" s="38" t="s">
        <v>255</v>
      </c>
      <c r="K56" s="39"/>
      <c r="L56" s="37"/>
      <c r="M56" s="41"/>
      <c r="N56" s="40"/>
    </row>
    <row r="57" spans="1:14" ht="30.75">
      <c r="A57" s="35">
        <f t="shared" si="1"/>
        <v>56</v>
      </c>
      <c r="B57" s="46">
        <v>45995</v>
      </c>
      <c r="C57" s="36" t="s">
        <v>14</v>
      </c>
      <c r="D57" s="37" t="s">
        <v>15</v>
      </c>
      <c r="E57" s="37" t="s">
        <v>139</v>
      </c>
      <c r="F57" s="37" t="s">
        <v>36</v>
      </c>
      <c r="G57" s="38" t="s">
        <v>140</v>
      </c>
      <c r="H57" s="38" t="s">
        <v>256</v>
      </c>
      <c r="I57" s="38" t="s">
        <v>257</v>
      </c>
      <c r="J57" s="38"/>
      <c r="K57" s="39"/>
      <c r="L57" s="37"/>
      <c r="M57" s="41" t="s">
        <v>258</v>
      </c>
      <c r="N57" s="40"/>
    </row>
    <row r="58" spans="1:14" ht="45.75">
      <c r="A58" s="35">
        <f t="shared" si="1"/>
        <v>57</v>
      </c>
      <c r="B58" s="46">
        <v>46002</v>
      </c>
      <c r="C58" s="36" t="s">
        <v>14</v>
      </c>
      <c r="D58" s="37" t="s">
        <v>15</v>
      </c>
      <c r="E58" s="37" t="s">
        <v>16</v>
      </c>
      <c r="F58" s="37" t="s">
        <v>36</v>
      </c>
      <c r="G58" s="38" t="s">
        <v>18</v>
      </c>
      <c r="H58" s="38" t="s">
        <v>259</v>
      </c>
      <c r="I58" s="38" t="s">
        <v>260</v>
      </c>
      <c r="J58" s="38" t="s">
        <v>261</v>
      </c>
      <c r="K58" s="39"/>
      <c r="L58" s="37"/>
      <c r="M58" s="41" t="s">
        <v>241</v>
      </c>
      <c r="N58" s="40"/>
    </row>
    <row r="59" spans="1:14" ht="309" customHeight="1">
      <c r="A59" s="35">
        <f t="shared" si="1"/>
        <v>58</v>
      </c>
      <c r="B59" s="46">
        <v>46013</v>
      </c>
      <c r="C59" s="36" t="s">
        <v>14</v>
      </c>
      <c r="D59" s="37" t="s">
        <v>70</v>
      </c>
      <c r="E59" s="37"/>
      <c r="F59" s="37" t="s">
        <v>36</v>
      </c>
      <c r="G59" s="38" t="s">
        <v>6</v>
      </c>
      <c r="H59" s="38" t="s">
        <v>262</v>
      </c>
      <c r="I59" s="38" t="s">
        <v>263</v>
      </c>
      <c r="J59" s="38" t="s">
        <v>264</v>
      </c>
      <c r="K59" s="39"/>
      <c r="L59" s="37"/>
      <c r="M59" s="41"/>
      <c r="N59" s="40"/>
    </row>
    <row r="60" spans="1:14" ht="60.75">
      <c r="A60" s="35">
        <f t="shared" si="1"/>
        <v>59</v>
      </c>
      <c r="B60" s="46">
        <v>46015</v>
      </c>
      <c r="C60" s="36" t="s">
        <v>14</v>
      </c>
      <c r="D60" s="37" t="s">
        <v>15</v>
      </c>
      <c r="E60" s="37" t="s">
        <v>35</v>
      </c>
      <c r="F60" s="37" t="s">
        <v>17</v>
      </c>
      <c r="G60" s="58" t="s">
        <v>265</v>
      </c>
      <c r="H60" s="59" t="s">
        <v>266</v>
      </c>
      <c r="I60" s="60" t="s">
        <v>267</v>
      </c>
      <c r="J60" s="38" t="s">
        <v>268</v>
      </c>
      <c r="K60" s="39">
        <v>46036</v>
      </c>
      <c r="L60" s="37" t="s">
        <v>22</v>
      </c>
      <c r="M60" s="41"/>
      <c r="N60" s="40"/>
    </row>
    <row r="61" spans="1:14">
      <c r="A61" s="35">
        <f t="shared" si="1"/>
        <v>60</v>
      </c>
      <c r="B61" s="38"/>
      <c r="C61" s="36"/>
      <c r="D61" s="37"/>
      <c r="E61" s="37"/>
      <c r="F61" s="37"/>
      <c r="G61" s="38"/>
      <c r="H61" s="38"/>
      <c r="I61" s="38"/>
      <c r="J61" s="38"/>
      <c r="K61" s="39"/>
      <c r="L61" s="37"/>
      <c r="M61" s="41"/>
      <c r="N61" s="40"/>
    </row>
    <row r="62" spans="1:14">
      <c r="A62" s="35">
        <f t="shared" si="1"/>
        <v>61</v>
      </c>
      <c r="B62" s="38"/>
      <c r="C62" s="36"/>
      <c r="D62" s="37"/>
      <c r="E62" s="37"/>
      <c r="F62" s="37"/>
      <c r="G62" s="38"/>
      <c r="H62" s="38"/>
      <c r="I62" s="38"/>
      <c r="J62" s="38"/>
      <c r="K62" s="39"/>
      <c r="L62" s="37"/>
      <c r="M62" s="41"/>
      <c r="N62" s="40"/>
    </row>
    <row r="63" spans="1:14">
      <c r="A63" s="35">
        <f t="shared" si="1"/>
        <v>62</v>
      </c>
      <c r="B63" s="38"/>
      <c r="C63" s="36"/>
      <c r="D63" s="37"/>
      <c r="E63" s="37"/>
      <c r="F63" s="37"/>
      <c r="G63" s="38"/>
      <c r="H63" s="38"/>
      <c r="I63" s="38"/>
      <c r="J63" s="38"/>
      <c r="K63" s="39"/>
      <c r="L63" s="37"/>
      <c r="M63" s="41"/>
      <c r="N63" s="40"/>
    </row>
    <row r="64" spans="1:14" ht="15" customHeight="1">
      <c r="A64" s="35">
        <f t="shared" si="1"/>
        <v>63</v>
      </c>
      <c r="B64" s="38"/>
      <c r="C64" s="36"/>
      <c r="D64" s="37"/>
      <c r="E64" s="37"/>
      <c r="F64" s="37"/>
      <c r="G64" s="38"/>
      <c r="H64" s="38"/>
      <c r="I64" s="38"/>
      <c r="J64" s="38"/>
      <c r="K64" s="39"/>
      <c r="L64" s="37"/>
      <c r="M64" s="41"/>
      <c r="N64" s="40"/>
    </row>
    <row r="65" spans="1:14" ht="15" customHeight="1">
      <c r="A65" s="47"/>
      <c r="B65" s="47"/>
      <c r="C65" s="47"/>
      <c r="D65" s="47"/>
      <c r="E65" s="47"/>
      <c r="F65" s="47"/>
      <c r="G65" s="47"/>
      <c r="H65" s="47"/>
      <c r="I65" s="47"/>
      <c r="J65" s="47"/>
      <c r="K65" s="48"/>
      <c r="L65" s="49"/>
      <c r="M65" s="47"/>
      <c r="N65" s="49"/>
    </row>
    <row r="66" spans="1:14" ht="15" customHeight="1">
      <c r="A66" s="47"/>
      <c r="B66" s="47"/>
      <c r="C66" s="47"/>
      <c r="D66" s="47"/>
      <c r="E66" s="47"/>
      <c r="F66" s="47"/>
      <c r="G66" s="47"/>
      <c r="H66" s="47"/>
      <c r="I66" s="47"/>
      <c r="J66" s="47"/>
      <c r="K66" s="48"/>
      <c r="L66" s="49"/>
      <c r="M66" s="47"/>
      <c r="N66" s="49"/>
    </row>
    <row r="67" spans="1:14" ht="15" customHeight="1">
      <c r="A67" s="47"/>
      <c r="B67" s="47"/>
      <c r="C67" s="47"/>
      <c r="D67" s="47"/>
      <c r="E67" s="47"/>
      <c r="F67" s="47"/>
      <c r="G67" s="47"/>
      <c r="H67" s="47"/>
      <c r="I67" s="47"/>
      <c r="J67" s="47"/>
      <c r="K67" s="48"/>
      <c r="L67" s="49"/>
      <c r="M67" s="47"/>
      <c r="N67" s="49"/>
    </row>
  </sheetData>
  <autoFilter ref="A1:M64" xr:uid="{AC2894D6-04F1-40B9-AE17-FEC113C806B4}"/>
  <sortState xmlns:xlrd2="http://schemas.microsoft.com/office/spreadsheetml/2017/richdata2" ref="A2:M62">
    <sortCondition ref="D2:D62"/>
    <sortCondition ref="E2:E62"/>
    <sortCondition ref="G2:G62"/>
  </sortState>
  <conditionalFormatting sqref="F1:F1048576">
    <cfRule type="containsText" dxfId="7" priority="4" operator="containsText" text="Resolved">
      <formula>NOT(ISERROR(SEARCH("Resolved",F1)))</formula>
    </cfRule>
  </conditionalFormatting>
  <conditionalFormatting sqref="F2:F1048576">
    <cfRule type="containsText" dxfId="6" priority="1" operator="containsText" text="No Action">
      <formula>NOT(ISERROR(SEARCH("No Action",F2)))</formula>
    </cfRule>
    <cfRule type="containsText" dxfId="5" priority="2" operator="containsText" text="New">
      <formula>NOT(ISERROR(SEARCH("New",F2)))</formula>
    </cfRule>
    <cfRule type="containsText" dxfId="4" priority="3" operator="containsText" text="Retest In Progress">
      <formula>NOT(ISERROR(SEARCH("Retest In Progress",F2)))</formula>
    </cfRule>
    <cfRule type="containsText" dxfId="3" priority="5" operator="containsText" text="Return to Dev">
      <formula>NOT(ISERROR(SEARCH("Return to Dev",F2)))</formula>
    </cfRule>
  </conditionalFormatting>
  <conditionalFormatting sqref="L2:L1048576">
    <cfRule type="containsText" dxfId="2" priority="10" operator="containsText" text="Pass with Comments">
      <formula>NOT(ISERROR(SEARCH("Pass with Comments",L2)))</formula>
    </cfRule>
    <cfRule type="containsText" dxfId="1" priority="11" operator="containsText" text="Fail">
      <formula>NOT(ISERROR(SEARCH("Fail",L2)))</formula>
    </cfRule>
    <cfRule type="containsText" dxfId="0" priority="12" operator="containsText" text="Pass">
      <formula>NOT(ISERROR(SEARCH("Pass",L2)))</formula>
    </cfRule>
  </conditionalFormatting>
  <dataValidations count="1">
    <dataValidation type="list" allowBlank="1" showInputMessage="1" showErrorMessage="1" sqref="C2:C64" xr:uid="{128A6A4A-4332-4BD3-910B-B11BFA99B8DB}">
      <formula1>"Both,Web Only,PB Only"</formula1>
    </dataValidation>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L2:L64</xm:sqref>
        </x14:dataValidation>
        <x14:dataValidation type="list" allowBlank="1" showInputMessage="1" showErrorMessage="1" xr:uid="{3906557F-AEE2-41CE-81DC-5F122F965822}">
          <x14:formula1>
            <xm:f>Sheet2!$H$1:$H$2</xm:f>
          </x14:formula1>
          <xm:sqref>D2:D64</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E7C9154B-8A5C-4F27-AF31-58E8AF26A163}">
          <x14:formula1>
            <xm:f>Sheet2!$F$1:$F$3</xm:f>
          </x14:formula1>
          <xm:sqref>E2:E1048576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20F90-675B-4E83-B974-9E782C2CF72F}">
  <dimension ref="A1:J57"/>
  <sheetViews>
    <sheetView tabSelected="1" workbookViewId="0">
      <selection activeCell="N26" sqref="N26"/>
    </sheetView>
  </sheetViews>
  <sheetFormatPr defaultColWidth="9.140625" defaultRowHeight="15"/>
  <cols>
    <col min="1" max="1" width="16.85546875" style="11" bestFit="1" customWidth="1"/>
    <col min="2" max="2" width="21.85546875" style="11" bestFit="1" customWidth="1"/>
    <col min="3" max="3" width="14" style="11" bestFit="1" customWidth="1"/>
    <col min="4" max="4" width="13.5703125" style="11" bestFit="1" customWidth="1"/>
    <col min="5" max="5" width="17" style="11" bestFit="1" customWidth="1"/>
    <col min="6" max="6" width="7.7109375" style="11" customWidth="1"/>
    <col min="7" max="7" width="11.42578125" style="11" bestFit="1" customWidth="1"/>
    <col min="8" max="8" width="14.85546875" style="11" bestFit="1" customWidth="1"/>
    <col min="9" max="9" width="9.28515625" style="11" bestFit="1" customWidth="1"/>
    <col min="10" max="10" width="11.42578125" style="11" bestFit="1" customWidth="1"/>
    <col min="11" max="16384" width="9.140625" style="11"/>
  </cols>
  <sheetData>
    <row r="1" spans="1:9" ht="21">
      <c r="A1" s="61" t="s">
        <v>269</v>
      </c>
      <c r="B1" s="61"/>
      <c r="C1" s="61"/>
      <c r="D1" s="61"/>
      <c r="E1" s="61"/>
      <c r="F1" s="61"/>
      <c r="G1" s="50"/>
      <c r="H1" s="62" t="s">
        <v>270</v>
      </c>
      <c r="I1" s="63"/>
    </row>
    <row r="2" spans="1:9" hidden="1">
      <c r="A2" s="51" t="s">
        <v>1</v>
      </c>
      <c r="B2" s="52" t="s">
        <v>271</v>
      </c>
      <c r="C2" s="27" t="s">
        <v>1</v>
      </c>
      <c r="D2" s="28" t="s">
        <v>271</v>
      </c>
      <c r="E2" s="50"/>
      <c r="F2" s="50"/>
      <c r="G2" s="50"/>
      <c r="H2" s="50"/>
      <c r="I2" s="50"/>
    </row>
    <row r="3" spans="1:9" hidden="1">
      <c r="A3" s="50"/>
      <c r="B3" s="50"/>
      <c r="C3" s="50"/>
      <c r="D3" s="50"/>
      <c r="E3" s="50"/>
      <c r="F3" s="50"/>
      <c r="G3" s="50"/>
      <c r="H3" s="50"/>
      <c r="I3" s="50"/>
    </row>
    <row r="4" spans="1:9">
      <c r="A4" s="51" t="s">
        <v>272</v>
      </c>
      <c r="B4" s="52" t="s">
        <v>273</v>
      </c>
      <c r="C4" s="29" t="s">
        <v>274</v>
      </c>
      <c r="D4" s="30" t="s">
        <v>275</v>
      </c>
      <c r="E4" s="50"/>
      <c r="F4" s="50"/>
      <c r="G4" s="50"/>
      <c r="H4" s="22" t="s">
        <v>276</v>
      </c>
      <c r="I4" s="22" t="s">
        <v>273</v>
      </c>
    </row>
    <row r="5" spans="1:9">
      <c r="A5" s="53" t="s">
        <v>15</v>
      </c>
      <c r="B5" s="54">
        <v>13</v>
      </c>
      <c r="C5" s="23" t="s">
        <v>16</v>
      </c>
      <c r="D5" s="24">
        <v>9</v>
      </c>
      <c r="E5" s="50"/>
      <c r="F5" s="50"/>
      <c r="G5" s="50"/>
      <c r="H5" s="23" t="s">
        <v>16</v>
      </c>
      <c r="I5" s="24">
        <v>14</v>
      </c>
    </row>
    <row r="6" spans="1:9">
      <c r="A6" s="53" t="s">
        <v>70</v>
      </c>
      <c r="B6" s="54">
        <v>29</v>
      </c>
      <c r="C6" s="23" t="s">
        <v>35</v>
      </c>
      <c r="D6" s="24">
        <v>32</v>
      </c>
      <c r="E6" s="50"/>
      <c r="F6" s="50"/>
      <c r="G6" s="50"/>
      <c r="H6" s="23" t="s">
        <v>35</v>
      </c>
      <c r="I6" s="24">
        <v>36</v>
      </c>
    </row>
    <row r="7" spans="1:9">
      <c r="A7" s="53" t="s">
        <v>277</v>
      </c>
      <c r="B7" s="54">
        <v>42</v>
      </c>
      <c r="C7" s="23" t="s">
        <v>139</v>
      </c>
      <c r="D7" s="24">
        <v>1</v>
      </c>
      <c r="E7" s="50"/>
      <c r="F7" s="50"/>
      <c r="G7" s="50"/>
      <c r="H7" s="23" t="s">
        <v>139</v>
      </c>
      <c r="I7" s="24">
        <v>1</v>
      </c>
    </row>
    <row r="8" spans="1:9">
      <c r="A8" s="50"/>
      <c r="B8" s="50"/>
      <c r="C8" s="31" t="s">
        <v>277</v>
      </c>
      <c r="D8" s="32">
        <v>42</v>
      </c>
      <c r="E8" s="50"/>
      <c r="F8" s="50"/>
      <c r="G8" s="50"/>
      <c r="H8" s="25" t="s">
        <v>277</v>
      </c>
      <c r="I8" s="26">
        <v>51</v>
      </c>
    </row>
    <row r="9" spans="1:9" hidden="1">
      <c r="A9" s="16" t="s">
        <v>1</v>
      </c>
      <c r="B9" t="s">
        <v>271</v>
      </c>
      <c r="C9"/>
      <c r="D9" s="16" t="s">
        <v>1</v>
      </c>
      <c r="E9" t="s">
        <v>271</v>
      </c>
      <c r="F9"/>
      <c r="G9"/>
      <c r="H9"/>
      <c r="I9"/>
    </row>
    <row r="10" spans="1:9" hidden="1">
      <c r="A10" s="16" t="s">
        <v>5</v>
      </c>
      <c r="B10" t="s">
        <v>278</v>
      </c>
      <c r="C10"/>
      <c r="D10" s="16" t="s">
        <v>5</v>
      </c>
      <c r="E10" t="s">
        <v>278</v>
      </c>
      <c r="F10" s="50"/>
      <c r="G10" s="16" t="s">
        <v>1</v>
      </c>
      <c r="H10" t="s">
        <v>278</v>
      </c>
      <c r="I10" s="50"/>
    </row>
    <row r="11" spans="1:9" ht="21">
      <c r="A11" s="61" t="s">
        <v>279</v>
      </c>
      <c r="B11" s="61"/>
      <c r="C11" s="61"/>
      <c r="D11" s="61"/>
      <c r="E11" s="61"/>
      <c r="F11" s="61"/>
      <c r="G11" s="50"/>
      <c r="H11" s="50"/>
      <c r="I11" s="50"/>
    </row>
    <row r="12" spans="1:9">
      <c r="A12" s="17" t="s">
        <v>3</v>
      </c>
      <c r="B12" s="18" t="s">
        <v>280</v>
      </c>
      <c r="C12"/>
      <c r="D12" s="17" t="s">
        <v>4</v>
      </c>
      <c r="E12" s="18" t="s">
        <v>275</v>
      </c>
      <c r="F12"/>
      <c r="G12" s="20" t="s">
        <v>5</v>
      </c>
      <c r="H12" s="20" t="s">
        <v>281</v>
      </c>
      <c r="I12"/>
    </row>
    <row r="13" spans="1:9">
      <c r="A13" s="18" t="s">
        <v>70</v>
      </c>
      <c r="B13" s="19">
        <v>9</v>
      </c>
      <c r="C13"/>
      <c r="D13" s="18" t="s">
        <v>16</v>
      </c>
      <c r="E13" s="19">
        <v>5</v>
      </c>
      <c r="F13"/>
      <c r="G13" s="18" t="s">
        <v>282</v>
      </c>
      <c r="H13" s="19">
        <v>8</v>
      </c>
      <c r="I13"/>
    </row>
    <row r="14" spans="1:9">
      <c r="A14" s="18" t="s">
        <v>277</v>
      </c>
      <c r="B14" s="19">
        <v>9</v>
      </c>
      <c r="C14"/>
      <c r="D14" s="18" t="s">
        <v>35</v>
      </c>
      <c r="E14" s="19">
        <v>4</v>
      </c>
      <c r="F14"/>
      <c r="G14" s="18" t="s">
        <v>36</v>
      </c>
      <c r="H14" s="19">
        <v>25</v>
      </c>
      <c r="I14"/>
    </row>
    <row r="15" spans="1:9">
      <c r="A15"/>
      <c r="B15"/>
      <c r="C15"/>
      <c r="D15" s="18" t="s">
        <v>277</v>
      </c>
      <c r="E15" s="19">
        <v>9</v>
      </c>
      <c r="F15"/>
      <c r="G15" s="18" t="s">
        <v>17</v>
      </c>
      <c r="H15" s="19">
        <v>16</v>
      </c>
      <c r="I15"/>
    </row>
    <row r="16" spans="1:9">
      <c r="A16"/>
      <c r="B16"/>
      <c r="C16"/>
      <c r="D16"/>
      <c r="E16"/>
      <c r="F16"/>
      <c r="G16" s="18" t="s">
        <v>283</v>
      </c>
      <c r="H16" s="19">
        <v>2</v>
      </c>
      <c r="I16"/>
    </row>
    <row r="17" spans="1:10">
      <c r="A17"/>
      <c r="B17"/>
      <c r="C17"/>
      <c r="D17"/>
      <c r="E17"/>
      <c r="F17"/>
      <c r="G17" s="20" t="s">
        <v>277</v>
      </c>
      <c r="H17" s="21">
        <v>51</v>
      </c>
      <c r="I17"/>
      <c r="J17" s="50"/>
    </row>
    <row r="18" spans="1:10" ht="21">
      <c r="A18" s="64" t="s">
        <v>284</v>
      </c>
      <c r="B18" s="64"/>
      <c r="C18" s="64"/>
      <c r="D18" s="64"/>
      <c r="E18" s="64"/>
      <c r="F18" s="64"/>
      <c r="G18" s="56" t="s">
        <v>285</v>
      </c>
      <c r="H18" s="56"/>
      <c r="I18"/>
      <c r="J18" s="50"/>
    </row>
    <row r="19" spans="1:10" ht="15.75" hidden="1">
      <c r="A19"/>
      <c r="B19"/>
      <c r="C19"/>
      <c r="D19" s="55"/>
      <c r="E19" s="55"/>
      <c r="F19" s="55"/>
      <c r="G19" s="55"/>
      <c r="H19" s="56"/>
      <c r="I19"/>
      <c r="J19" s="50"/>
    </row>
    <row r="20" spans="1:10" hidden="1">
      <c r="A20" s="17" t="s">
        <v>1</v>
      </c>
      <c r="B20" s="18" t="s">
        <v>271</v>
      </c>
      <c r="C20"/>
      <c r="D20" s="17" t="s">
        <v>1</v>
      </c>
      <c r="E20" s="18" t="s">
        <v>271</v>
      </c>
      <c r="F20"/>
      <c r="G20"/>
      <c r="H20"/>
      <c r="I20"/>
      <c r="J20" s="50"/>
    </row>
    <row r="21" spans="1:10" hidden="1">
      <c r="A21"/>
      <c r="B21"/>
      <c r="C21"/>
      <c r="D21"/>
      <c r="E21"/>
      <c r="F21"/>
      <c r="G21"/>
      <c r="H21"/>
      <c r="I21"/>
      <c r="J21" s="50"/>
    </row>
    <row r="22" spans="1:10">
      <c r="A22" s="17" t="s">
        <v>3</v>
      </c>
      <c r="B22" s="18" t="s">
        <v>280</v>
      </c>
      <c r="C22"/>
      <c r="D22" s="17" t="s">
        <v>4</v>
      </c>
      <c r="E22" s="18" t="s">
        <v>275</v>
      </c>
      <c r="F22"/>
      <c r="G22" s="20" t="s">
        <v>5</v>
      </c>
      <c r="H22" s="20" t="s">
        <v>281</v>
      </c>
      <c r="I22"/>
      <c r="J22" s="50"/>
    </row>
    <row r="23" spans="1:10">
      <c r="A23" s="18" t="s">
        <v>15</v>
      </c>
      <c r="B23" s="19">
        <v>2</v>
      </c>
      <c r="C23"/>
      <c r="D23" s="18" t="s">
        <v>16</v>
      </c>
      <c r="E23" s="19">
        <v>1</v>
      </c>
      <c r="F23"/>
      <c r="G23" s="18" t="s">
        <v>282</v>
      </c>
      <c r="H23" s="19">
        <v>2</v>
      </c>
      <c r="I23"/>
      <c r="J23" s="50"/>
    </row>
    <row r="24" spans="1:10">
      <c r="A24" s="18" t="s">
        <v>70</v>
      </c>
      <c r="B24" s="19">
        <v>4</v>
      </c>
      <c r="C24"/>
      <c r="D24" s="18" t="s">
        <v>35</v>
      </c>
      <c r="E24" s="19">
        <v>2</v>
      </c>
      <c r="F24"/>
      <c r="G24" s="18" t="s">
        <v>36</v>
      </c>
      <c r="H24" s="19">
        <v>35</v>
      </c>
      <c r="I24"/>
      <c r="J24" s="50"/>
    </row>
    <row r="25" spans="1:10">
      <c r="A25" s="18" t="s">
        <v>277</v>
      </c>
      <c r="B25" s="19">
        <v>6</v>
      </c>
      <c r="C25"/>
      <c r="D25" s="18" t="s">
        <v>139</v>
      </c>
      <c r="E25" s="19">
        <v>2</v>
      </c>
      <c r="F25"/>
      <c r="G25" s="18" t="s">
        <v>17</v>
      </c>
      <c r="H25" s="19">
        <v>20</v>
      </c>
      <c r="I25"/>
      <c r="J25" s="50"/>
    </row>
    <row r="26" spans="1:10">
      <c r="A26"/>
      <c r="B26"/>
      <c r="C26"/>
      <c r="D26" s="18" t="s">
        <v>286</v>
      </c>
      <c r="E26" s="19"/>
      <c r="F26"/>
      <c r="G26" s="20" t="s">
        <v>277</v>
      </c>
      <c r="H26" s="21">
        <v>57</v>
      </c>
      <c r="I26"/>
      <c r="J26" s="50"/>
    </row>
    <row r="27" spans="1:10">
      <c r="A27"/>
      <c r="B27"/>
      <c r="C27"/>
      <c r="D27" s="18" t="s">
        <v>277</v>
      </c>
      <c r="E27" s="19">
        <v>5</v>
      </c>
      <c r="F27"/>
      <c r="G27"/>
      <c r="H27"/>
      <c r="I27"/>
      <c r="J27" s="50"/>
    </row>
    <row r="28" spans="1:10">
      <c r="A28"/>
      <c r="B28"/>
      <c r="C28"/>
      <c r="D28"/>
      <c r="E28"/>
      <c r="F28"/>
      <c r="G28"/>
      <c r="H28"/>
      <c r="I28"/>
      <c r="J28" s="50"/>
    </row>
    <row r="29" spans="1:10" ht="21">
      <c r="A29" s="64" t="s">
        <v>287</v>
      </c>
      <c r="B29" s="64"/>
      <c r="C29" s="64"/>
      <c r="D29" s="64"/>
      <c r="E29" s="64"/>
      <c r="F29" s="64"/>
      <c r="G29"/>
      <c r="H29"/>
      <c r="I29"/>
      <c r="J29" s="50"/>
    </row>
    <row r="30" spans="1:10" hidden="1">
      <c r="A30" s="16" t="s">
        <v>1</v>
      </c>
      <c r="B30" s="57">
        <v>46013</v>
      </c>
      <c r="C30"/>
      <c r="D30" s="16" t="s">
        <v>1</v>
      </c>
      <c r="E30" s="57">
        <v>46013</v>
      </c>
      <c r="F30"/>
      <c r="G30"/>
      <c r="H30"/>
      <c r="I30"/>
      <c r="J30"/>
    </row>
    <row r="31" spans="1:10" hidden="1">
      <c r="A31"/>
      <c r="B31"/>
      <c r="C31"/>
      <c r="D31"/>
      <c r="E31"/>
      <c r="F31"/>
      <c r="G31"/>
      <c r="H31"/>
      <c r="I31"/>
      <c r="J31"/>
    </row>
    <row r="32" spans="1:10">
      <c r="A32" s="17" t="s">
        <v>3</v>
      </c>
      <c r="B32" s="18" t="s">
        <v>280</v>
      </c>
      <c r="C32"/>
      <c r="D32" s="17" t="s">
        <v>4</v>
      </c>
      <c r="E32" s="18" t="s">
        <v>275</v>
      </c>
      <c r="F32"/>
      <c r="G32" s="20" t="s">
        <v>5</v>
      </c>
      <c r="H32" s="20" t="s">
        <v>281</v>
      </c>
      <c r="I32"/>
      <c r="J32" s="50"/>
    </row>
    <row r="33" spans="1:10">
      <c r="A33" s="18" t="s">
        <v>70</v>
      </c>
      <c r="B33" s="19">
        <v>1</v>
      </c>
      <c r="C33"/>
      <c r="D33" s="18" t="s">
        <v>286</v>
      </c>
      <c r="E33" s="19"/>
      <c r="F33"/>
      <c r="G33" s="18" t="s">
        <v>36</v>
      </c>
      <c r="H33" s="19">
        <v>36</v>
      </c>
      <c r="I33"/>
      <c r="J33" s="50"/>
    </row>
    <row r="34" spans="1:10">
      <c r="A34" s="18" t="s">
        <v>277</v>
      </c>
      <c r="B34" s="19">
        <v>1</v>
      </c>
      <c r="C34"/>
      <c r="D34" s="18" t="s">
        <v>277</v>
      </c>
      <c r="E34" s="19"/>
      <c r="F34"/>
      <c r="G34" s="18" t="s">
        <v>17</v>
      </c>
      <c r="H34" s="19">
        <v>21</v>
      </c>
      <c r="I34"/>
      <c r="J34" s="50"/>
    </row>
    <row r="35" spans="1:10">
      <c r="A35"/>
      <c r="B35"/>
      <c r="C35"/>
      <c r="D35"/>
      <c r="E35"/>
      <c r="F35"/>
      <c r="G35" s="18" t="s">
        <v>283</v>
      </c>
      <c r="H35" s="19">
        <v>1</v>
      </c>
      <c r="I35"/>
      <c r="J35" s="50"/>
    </row>
    <row r="36" spans="1:10">
      <c r="A36"/>
      <c r="B36"/>
      <c r="C36"/>
      <c r="D36"/>
      <c r="E36"/>
      <c r="F36"/>
      <c r="G36" s="20" t="s">
        <v>277</v>
      </c>
      <c r="H36" s="21">
        <v>58</v>
      </c>
      <c r="I36"/>
      <c r="J36" s="50"/>
    </row>
    <row r="37" spans="1:10" ht="21">
      <c r="A37" s="64" t="s">
        <v>288</v>
      </c>
      <c r="B37" s="64"/>
      <c r="C37" s="64"/>
      <c r="D37" s="64"/>
      <c r="E37" s="64"/>
      <c r="F37" s="64"/>
      <c r="G37"/>
      <c r="H37"/>
      <c r="I37"/>
      <c r="J37" s="50"/>
    </row>
    <row r="38" spans="1:10">
      <c r="A38"/>
      <c r="B38"/>
      <c r="C38"/>
      <c r="D38"/>
      <c r="E38"/>
      <c r="F38"/>
      <c r="G38" s="20" t="s">
        <v>5</v>
      </c>
      <c r="H38" s="20" t="s">
        <v>281</v>
      </c>
      <c r="I38"/>
      <c r="J38" s="50"/>
    </row>
    <row r="39" spans="1:10">
      <c r="A39"/>
      <c r="B39"/>
      <c r="C39"/>
      <c r="D39"/>
      <c r="E39"/>
      <c r="F39"/>
      <c r="G39" s="18" t="s">
        <v>36</v>
      </c>
      <c r="H39" s="19">
        <v>36</v>
      </c>
      <c r="I39"/>
      <c r="J39" s="50"/>
    </row>
    <row r="40" spans="1:10">
      <c r="A40"/>
      <c r="B40"/>
      <c r="C40"/>
      <c r="D40"/>
      <c r="E40"/>
      <c r="F40"/>
      <c r="G40" s="18" t="s">
        <v>17</v>
      </c>
      <c r="H40" s="19">
        <v>23</v>
      </c>
      <c r="I40"/>
      <c r="J40" s="50"/>
    </row>
    <row r="41" spans="1:10">
      <c r="A41"/>
      <c r="B41"/>
      <c r="C41"/>
      <c r="D41"/>
      <c r="E41"/>
      <c r="F41"/>
      <c r="G41" s="20" t="s">
        <v>277</v>
      </c>
      <c r="H41" s="20">
        <v>59</v>
      </c>
      <c r="I41"/>
      <c r="J41" s="50"/>
    </row>
    <row r="42" spans="1:10">
      <c r="A42"/>
      <c r="B42"/>
      <c r="C42"/>
      <c r="D42"/>
      <c r="E42"/>
      <c r="F42"/>
      <c r="G42"/>
      <c r="H42"/>
      <c r="I42"/>
      <c r="J42" s="50"/>
    </row>
    <row r="43" spans="1:10">
      <c r="A43"/>
      <c r="B43"/>
      <c r="C43"/>
      <c r="D43"/>
      <c r="E43"/>
      <c r="F43"/>
      <c r="G43"/>
      <c r="H43"/>
      <c r="I43"/>
      <c r="J43" s="50"/>
    </row>
    <row r="44" spans="1:10">
      <c r="A44"/>
      <c r="B44"/>
      <c r="C44"/>
      <c r="D44"/>
      <c r="E44"/>
      <c r="F44"/>
      <c r="G44"/>
      <c r="H44"/>
      <c r="I44"/>
      <c r="J44" s="50"/>
    </row>
    <row r="45" spans="1:10">
      <c r="A45"/>
      <c r="B45"/>
      <c r="C45"/>
      <c r="D45"/>
      <c r="E45"/>
      <c r="F45"/>
      <c r="G45"/>
      <c r="H45"/>
      <c r="I45"/>
      <c r="J45" s="50"/>
    </row>
    <row r="46" spans="1:10">
      <c r="A46"/>
      <c r="B46"/>
      <c r="C46"/>
      <c r="D46"/>
      <c r="E46"/>
      <c r="F46"/>
      <c r="G46"/>
      <c r="H46"/>
      <c r="I46"/>
      <c r="J46" s="50"/>
    </row>
    <row r="47" spans="1:10">
      <c r="A47"/>
      <c r="B47"/>
      <c r="C47"/>
      <c r="D47"/>
      <c r="E47"/>
      <c r="F47"/>
      <c r="G47"/>
      <c r="H47"/>
      <c r="I47"/>
      <c r="J47" s="50"/>
    </row>
    <row r="48" spans="1:10">
      <c r="A48" s="50"/>
      <c r="B48" s="50"/>
      <c r="C48" s="50"/>
      <c r="D48" s="50"/>
      <c r="E48" s="50"/>
      <c r="F48" s="50"/>
      <c r="G48"/>
      <c r="H48"/>
      <c r="I48"/>
      <c r="J48" s="50"/>
    </row>
    <row r="49" spans="1:10">
      <c r="A49" s="50"/>
      <c r="B49" s="50"/>
      <c r="C49" s="50"/>
      <c r="D49" s="50"/>
      <c r="E49" s="50"/>
      <c r="F49" s="50"/>
      <c r="G49"/>
      <c r="H49"/>
      <c r="I49"/>
      <c r="J49" s="50"/>
    </row>
    <row r="50" spans="1:10">
      <c r="A50" s="50"/>
      <c r="B50" s="50"/>
      <c r="C50" s="50"/>
      <c r="D50" s="50"/>
      <c r="E50" s="50"/>
      <c r="F50" s="50"/>
      <c r="G50"/>
      <c r="H50"/>
      <c r="I50"/>
      <c r="J50" s="50"/>
    </row>
    <row r="51" spans="1:10">
      <c r="A51" s="50"/>
      <c r="B51" s="50"/>
      <c r="C51" s="50"/>
      <c r="D51" s="50"/>
      <c r="E51" s="50"/>
      <c r="F51" s="50"/>
      <c r="G51"/>
      <c r="H51"/>
      <c r="I51"/>
      <c r="J51" s="50"/>
    </row>
    <row r="52" spans="1:10">
      <c r="A52" s="50"/>
      <c r="B52" s="50"/>
      <c r="C52" s="50"/>
      <c r="D52" s="50"/>
      <c r="E52" s="50"/>
      <c r="F52" s="50"/>
      <c r="G52"/>
      <c r="H52"/>
      <c r="I52"/>
      <c r="J52" s="50"/>
    </row>
    <row r="53" spans="1:10">
      <c r="A53" s="50"/>
      <c r="B53" s="50"/>
      <c r="C53" s="50"/>
      <c r="D53" s="50"/>
      <c r="E53" s="50"/>
      <c r="F53" s="50"/>
      <c r="G53"/>
      <c r="H53"/>
      <c r="I53"/>
      <c r="J53" s="50"/>
    </row>
    <row r="54" spans="1:10">
      <c r="A54" s="50"/>
      <c r="B54" s="50"/>
      <c r="C54" s="50"/>
      <c r="D54" s="50"/>
      <c r="E54" s="50"/>
      <c r="F54" s="50"/>
      <c r="G54"/>
      <c r="H54"/>
      <c r="I54"/>
      <c r="J54" s="50"/>
    </row>
    <row r="55" spans="1:10">
      <c r="A55" s="50"/>
      <c r="B55" s="50"/>
      <c r="C55" s="50"/>
      <c r="D55" s="50"/>
      <c r="E55" s="50"/>
      <c r="F55" s="50"/>
      <c r="G55"/>
      <c r="H55"/>
      <c r="I55"/>
      <c r="J55" s="50"/>
    </row>
    <row r="56" spans="1:10">
      <c r="A56" s="50"/>
      <c r="B56" s="50"/>
      <c r="C56" s="50"/>
      <c r="D56" s="50"/>
      <c r="E56" s="50"/>
      <c r="F56" s="50"/>
      <c r="G56" s="50"/>
      <c r="H56" s="50"/>
      <c r="I56" s="50"/>
      <c r="J56" s="50"/>
    </row>
    <row r="57" spans="1:10">
      <c r="A57" s="50"/>
      <c r="B57" s="50"/>
      <c r="C57" s="50"/>
      <c r="D57" s="50"/>
      <c r="E57" s="50"/>
      <c r="F57" s="50"/>
      <c r="G57" s="50"/>
      <c r="H57" s="50"/>
      <c r="I57" s="50"/>
      <c r="J57" s="50"/>
    </row>
  </sheetData>
  <mergeCells count="6">
    <mergeCell ref="A37:F37"/>
    <mergeCell ref="A1:F1"/>
    <mergeCell ref="H1:I1"/>
    <mergeCell ref="A11:F11"/>
    <mergeCell ref="A18:F18"/>
    <mergeCell ref="A29:F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cols>
    <col min="1" max="1" width="19.5703125" bestFit="1" customWidth="1"/>
  </cols>
  <sheetData>
    <row r="1" spans="1:8">
      <c r="A1" t="s">
        <v>22</v>
      </c>
      <c r="F1" t="s">
        <v>139</v>
      </c>
      <c r="H1" t="s">
        <v>15</v>
      </c>
    </row>
    <row r="2" spans="1:8">
      <c r="A2" t="s">
        <v>289</v>
      </c>
      <c r="C2" t="s">
        <v>290</v>
      </c>
      <c r="F2" t="s">
        <v>16</v>
      </c>
      <c r="H2" t="s">
        <v>70</v>
      </c>
    </row>
    <row r="3" spans="1:8">
      <c r="A3" t="s">
        <v>28</v>
      </c>
      <c r="C3" t="s">
        <v>283</v>
      </c>
      <c r="F3" t="s">
        <v>35</v>
      </c>
    </row>
    <row r="4" spans="1:8">
      <c r="C4" t="s">
        <v>17</v>
      </c>
    </row>
    <row r="5" spans="1:8">
      <c r="C5" t="s">
        <v>282</v>
      </c>
    </row>
    <row r="6" spans="1:8">
      <c r="C6" t="s">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2</xvqq>
    <Notes xmlns="3d05c41d-42c7-4345-8236-8005f0c89855">Dev: SM | BSA: BY</Notes>
    <lcf76f155ced4ddcb4097134ff3c332f xmlns="3d05c41d-42c7-4345-8236-8005f0c8985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c440862435ae5f1402e2920a3a7191c5">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bf8694c23d5c530edc75ea2c66d63e8"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5146E5-CF4E-4085-BE9F-ED12D10E8B13}"/>
</file>

<file path=customXml/itemProps2.xml><?xml version="1.0" encoding="utf-8"?>
<ds:datastoreItem xmlns:ds="http://schemas.openxmlformats.org/officeDocument/2006/customXml" ds:itemID="{704EED5A-6E5F-40C5-9AEF-0B62B473C06D}"/>
</file>

<file path=customXml/itemProps3.xml><?xml version="1.0" encoding="utf-8"?>
<ds:datastoreItem xmlns:ds="http://schemas.openxmlformats.org/officeDocument/2006/customXml" ds:itemID="{081050DD-76E0-45BC-A26A-035AD4F4EC54}"/>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Brooke Yale</cp:lastModifiedBy>
  <cp:revision/>
  <dcterms:created xsi:type="dcterms:W3CDTF">2025-10-01T18:45:47Z</dcterms:created>
  <dcterms:modified xsi:type="dcterms:W3CDTF">2026-01-15T00:21:37Z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