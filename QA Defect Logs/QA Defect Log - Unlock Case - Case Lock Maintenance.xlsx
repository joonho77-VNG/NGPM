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occourts.sharepoint.com/sites/Vision_ILJ/General Documentation/Knowledge Sharing Documents/Vision Team Knowledge/Vision NG - Grouping/QA Defect Logs/"/>
    </mc:Choice>
  </mc:AlternateContent>
  <xr:revisionPtr revIDLastSave="190" documentId="8_{32BC0B0E-3EE8-43AB-8119-D28931438715}" xr6:coauthVersionLast="47" xr6:coauthVersionMax="47" xr10:uidLastSave="{C6E758F9-F39C-43C5-AED5-CB0144C76843}"/>
  <bookViews>
    <workbookView xWindow="-120" yWindow="-120" windowWidth="29040" windowHeight="15720" activeTab="1" xr2:uid="{7496AAB9-9610-4154-B91D-ED1C66077D08}"/>
  </bookViews>
  <sheets>
    <sheet name="DEFECTS" sheetId="1" r:id="rId1"/>
    <sheet name="Summary" sheetId="4" r:id="rId2"/>
    <sheet name="Sheet2" sheetId="3" state="hidden" r:id="rId3"/>
  </sheets>
  <definedNames>
    <definedName name="_xlnm._FilterDatabase" localSheetId="0" hidden="1">DEFECTS!$A$1:$M$47</definedName>
  </definedNames>
  <calcPr calcId="191028"/>
  <pivotCaches>
    <pivotCache cacheId="169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2" i="1"/>
</calcChain>
</file>

<file path=xl/sharedStrings.xml><?xml version="1.0" encoding="utf-8"?>
<sst xmlns="http://schemas.openxmlformats.org/spreadsheetml/2006/main" count="109" uniqueCount="59">
  <si>
    <t>ID</t>
  </si>
  <si>
    <t>Date Tested</t>
  </si>
  <si>
    <t>Interface</t>
  </si>
  <si>
    <t>Scenario Type</t>
  </si>
  <si>
    <t>Bug Type</t>
  </si>
  <si>
    <t>Status</t>
  </si>
  <si>
    <t>Window
Column(s)</t>
  </si>
  <si>
    <t>Summary</t>
  </si>
  <si>
    <t>Defect
(NG Display, Scenario)</t>
  </si>
  <si>
    <t>Testing Comments</t>
  </si>
  <si>
    <t>Date
Retest</t>
  </si>
  <si>
    <t>Retest
Pass/Fail</t>
  </si>
  <si>
    <t>BSA Comments</t>
  </si>
  <si>
    <t>Dev Comments</t>
  </si>
  <si>
    <t>Both</t>
  </si>
  <si>
    <t>UI</t>
  </si>
  <si>
    <t>Minor</t>
  </si>
  <si>
    <t>Resolved</t>
  </si>
  <si>
    <t>N/A</t>
  </si>
  <si>
    <t>Tab label does not match PB</t>
  </si>
  <si>
    <t>NG Tab label and Window title say 'Unlock Case', while PB says 'Case Lock Maintenance'</t>
  </si>
  <si>
    <t>Pass</t>
  </si>
  <si>
    <t>5/22: Adjusted string passed to OnWindowInitialize.</t>
  </si>
  <si>
    <t>Lock Date</t>
  </si>
  <si>
    <t>Date Time Format missing seconds</t>
  </si>
  <si>
    <t xml:space="preserve">Date Time format in Lock Date column is missing seconds. </t>
  </si>
  <si>
    <t>Added UI Guidelines 107 and 108 for this</t>
  </si>
  <si>
    <t>5/22: Added seconds to grid column.</t>
  </si>
  <si>
    <t>Major</t>
  </si>
  <si>
    <t>All Columns</t>
  </si>
  <si>
    <t>Filters remain after save</t>
  </si>
  <si>
    <t>1. Apply Column Filter
2. Delete a row
3. Save changes - Column Filter remains</t>
  </si>
  <si>
    <t>Needs discussion with Devs before this item is worked on - this happens on all NG windows</t>
  </si>
  <si>
    <t>5/22: Remove filter on save.</t>
  </si>
  <si>
    <t>Functionality</t>
  </si>
  <si>
    <t>Restore Button</t>
  </si>
  <si>
    <t>Restore button should be removed</t>
  </si>
  <si>
    <t>UI Guideline 99</t>
  </si>
  <si>
    <t>5/22: Removed restore.</t>
  </si>
  <si>
    <t>Window Access</t>
  </si>
  <si>
    <t>PROFIL configurations in CRMD and CRMQ are missing</t>
  </si>
  <si>
    <t>5/22: Added to code entry PROFIL.</t>
  </si>
  <si>
    <t>Left margin</t>
  </si>
  <si>
    <t>Window left margin is wider than the top margin. Left margin should match top margin</t>
  </si>
  <si>
    <t>Added UI Guideline 110 for this. Needs dev input for the pixels</t>
  </si>
  <si>
    <t>5/22: Fixed padding.</t>
  </si>
  <si>
    <t>QA Cycle 1: 3:00</t>
  </si>
  <si>
    <t>Count of Status</t>
  </si>
  <si>
    <t>Column Labels</t>
  </si>
  <si>
    <t>Row Labels</t>
  </si>
  <si>
    <t>New</t>
  </si>
  <si>
    <t>Grand Total</t>
  </si>
  <si>
    <t>QA Cycle 2: 1:00</t>
  </si>
  <si>
    <t>Regression</t>
  </si>
  <si>
    <t>Fail</t>
  </si>
  <si>
    <t>Retest In Progress</t>
  </si>
  <si>
    <t>Pass with Comments</t>
  </si>
  <si>
    <t>Return to Dev</t>
  </si>
  <si>
    <t>No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</si>
</sst>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7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0" tint="-0.34998626667073579"/>
      <name val="Calibri"/>
      <family val="2"/>
    </font>
    <font>
      <b/>
      <sz val="1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Fill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colors>
    <mruColors>
      <color rgb="FFEF8C4F"/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3.725107060185" createdVersion="8" refreshedVersion="8" minRefreshableVersion="3" recordCount="6" xr:uid="{6218B2E9-D9F8-4501-B272-43D5C6CFC796}">
  <cacheSource type="worksheet">
    <worksheetSource ref="A1:J7" sheet="DEFECTS"/>
  </cacheSource>
  <cacheFields count="10">
    <cacheField name="ID" numFmtId="0">
      <sharedItems containsSemiMixedTypes="0" containsString="0" containsNumber="1" containsInteger="1" minValue="1" maxValue="6"/>
    </cacheField>
    <cacheField name="Date Tested" numFmtId="164">
      <sharedItems containsSemiMixedTypes="0" containsNonDate="0" containsDate="1" containsString="0" minDate="2026-05-20T00:00:00" maxDate="2026-05-22T00:00:00"/>
    </cacheField>
    <cacheField name="Interface" numFmtId="164">
      <sharedItems/>
    </cacheField>
    <cacheField name="Scenario Type" numFmtId="0">
      <sharedItems count="2">
        <s v="UI"/>
        <s v="Functionality"/>
      </sharedItems>
    </cacheField>
    <cacheField name="Bug Type" numFmtId="0">
      <sharedItems count="2">
        <s v="Minor"/>
        <s v="Major"/>
      </sharedItems>
    </cacheField>
    <cacheField name="Status" numFmtId="0">
      <sharedItems count="1">
        <s v="New"/>
      </sharedItems>
    </cacheField>
    <cacheField name="Window_x000a_Column(s)" numFmtId="0">
      <sharedItems/>
    </cacheField>
    <cacheField name="Summary" numFmtId="0">
      <sharedItems/>
    </cacheField>
    <cacheField name="Defect_x000a_(NG Display, Scenario)" numFmtId="0">
      <sharedItems/>
    </cacheField>
    <cacheField name="Testing 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"/>
    <d v="2026-05-20T00:00:00"/>
    <s v="PB Only"/>
    <x v="0"/>
    <x v="0"/>
    <x v="0"/>
    <s v="N/A"/>
    <s v="Tab label does not match PB"/>
    <s v="NG Tab label and Window title says 'Unlock Case', while PB says 'Case Lock Maintenance'"/>
    <m/>
  </r>
  <r>
    <n v="2"/>
    <d v="2026-05-20T00:00:00"/>
    <s v="Both"/>
    <x v="0"/>
    <x v="0"/>
    <x v="0"/>
    <s v="Lock Date"/>
    <s v="Date Time Format missing seconds"/>
    <s v="Date Time format in Lock Date column is missing seconds. "/>
    <s v="Added UI Guidelines 107 and 108 for this"/>
  </r>
  <r>
    <n v="3"/>
    <d v="2026-05-21T00:00:00"/>
    <s v="Both"/>
    <x v="0"/>
    <x v="1"/>
    <x v="0"/>
    <s v="All Columns"/>
    <s v="Filters remain after save"/>
    <s v="1. Apply Column Filter_x000a_2. Delete a row_x000a_3. Save changes - Column Filter remains"/>
    <s v="Needs discussion with Devs - this happens on all NG windows"/>
  </r>
  <r>
    <n v="4"/>
    <d v="2026-05-21T00:00:00"/>
    <s v="Both"/>
    <x v="1"/>
    <x v="1"/>
    <x v="0"/>
    <s v="N/A"/>
    <s v="Restore Button"/>
    <s v="Restore button should be removed"/>
    <s v="UI Guideline 99"/>
  </r>
  <r>
    <n v="5"/>
    <d v="2026-05-21T00:00:00"/>
    <s v="Both"/>
    <x v="1"/>
    <x v="1"/>
    <x v="0"/>
    <s v="N/A"/>
    <s v="Window Access"/>
    <s v="PROFIL configurations in CRMD and CRMQ are missing"/>
    <m/>
  </r>
  <r>
    <n v="6"/>
    <d v="2026-05-21T00:00:00"/>
    <s v="Both"/>
    <x v="0"/>
    <x v="0"/>
    <x v="0"/>
    <s v="N/A"/>
    <s v="Left margin"/>
    <s v="Window left margin is wider than the top margin. Left margin should match top margin"/>
    <s v="Added UI Guideline 110 for this. Needs dev input for the pixel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C40AFD-332C-40DC-90F5-3303B889F1CC}" name="PivotTable2" cacheId="16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3:C20" firstHeaderRow="1" firstDataRow="2" firstDataCol="1"/>
  <pivotFields count="10">
    <pivotField compact="0" outline="0" showAll="0"/>
    <pivotField compact="0" numFmtId="164" outline="0" showAll="0"/>
    <pivotField compact="0" outline="0" showAll="0"/>
    <pivotField axis="axisRow" subtotalTop="0" showAll="0" defaultSubtotal="0">
      <items count="2">
        <item x="1"/>
        <item x="0"/>
      </items>
    </pivotField>
    <pivotField axis="axisRow" compact="0" outline="0" showAll="0">
      <items count="3">
        <item x="1"/>
        <item x="0"/>
        <item t="default"/>
      </items>
    </pivotField>
    <pivotField axis="axisCol" dataField="1" compact="0" outline="0" showAll="0">
      <items count="2">
        <item n="Resolved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4"/>
  </rowFields>
  <rowItems count="6">
    <i>
      <x/>
    </i>
    <i r="1">
      <x/>
    </i>
    <i>
      <x v="1"/>
    </i>
    <i r="1">
      <x/>
    </i>
    <i r="1">
      <x v="1"/>
    </i>
    <i t="grand">
      <x/>
    </i>
  </rowItems>
  <colFields count="1">
    <field x="5"/>
  </colFields>
  <colItems count="2">
    <i>
      <x/>
    </i>
    <i t="grand">
      <x/>
    </i>
  </colItems>
  <dataFields count="1">
    <dataField name="Count of Status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35043-0B21-4874-BA4E-2DAC389A811E}" name="PivotTable1" cacheId="16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0" firstHeaderRow="1" firstDataRow="2" firstDataCol="1"/>
  <pivotFields count="10">
    <pivotField compact="0" outline="0" showAll="0"/>
    <pivotField compact="0" numFmtId="164" outline="0" showAll="0"/>
    <pivotField compact="0" outline="0" showAll="0"/>
    <pivotField axis="axisRow" subtotalTop="0" showAll="0" defaultSubtotal="0">
      <items count="2">
        <item x="1"/>
        <item x="0"/>
      </items>
    </pivotField>
    <pivotField axis="axisRow" compact="0" outline="0" showAll="0">
      <items count="3">
        <item x="1"/>
        <item x="0"/>
        <item t="default"/>
      </items>
    </pivotField>
    <pivotField axis="axisCol" dataField="1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4"/>
  </rowFields>
  <rowItems count="6">
    <i>
      <x/>
    </i>
    <i r="1">
      <x/>
    </i>
    <i>
      <x v="1"/>
    </i>
    <i r="1">
      <x/>
    </i>
    <i r="1">
      <x v="1"/>
    </i>
    <i t="grand">
      <x/>
    </i>
  </rowItems>
  <colFields count="1">
    <field x="5"/>
  </colFields>
  <colItems count="2">
    <i>
      <x/>
    </i>
    <i t="grand">
      <x/>
    </i>
  </colItems>
  <dataFields count="1">
    <dataField name="Count of Status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94D6-04F1-40B9-AE17-FEC113C806B4}">
  <sheetPr codeName="Sheet1"/>
  <dimension ref="A1:N51"/>
  <sheetViews>
    <sheetView zoomScaleNormal="100" workbookViewId="0">
      <pane ySplit="1" topLeftCell="A2" activePane="bottomLeft" state="frozen"/>
      <selection pane="bottomLeft" activeCell="H4" sqref="H4"/>
      <selection activeCell="E2" sqref="A2:F1048576"/>
    </sheetView>
  </sheetViews>
  <sheetFormatPr defaultRowHeight="15"/>
  <cols>
    <col min="1" max="1" width="3" style="18" bestFit="1" customWidth="1"/>
    <col min="2" max="3" width="10.7109375" style="18" customWidth="1"/>
    <col min="4" max="4" width="12.5703125" style="18" bestFit="1" customWidth="1"/>
    <col min="5" max="5" width="10.7109375" style="18" bestFit="1" customWidth="1"/>
    <col min="6" max="6" width="17" style="18" bestFit="1" customWidth="1"/>
    <col min="7" max="7" width="14" style="18" bestFit="1" customWidth="1"/>
    <col min="8" max="8" width="20.7109375" style="3" customWidth="1"/>
    <col min="9" max="10" width="60.7109375" style="18" customWidth="1"/>
    <col min="11" max="11" width="10.7109375" style="19" customWidth="1"/>
    <col min="12" max="12" width="19.42578125" style="18" customWidth="1"/>
    <col min="13" max="13" width="50.7109375" style="3" customWidth="1"/>
    <col min="14" max="14" width="60.7109375" style="18" customWidth="1"/>
    <col min="15" max="16384" width="9.140625" style="18"/>
  </cols>
  <sheetData>
    <row r="1" spans="1:14" s="1" customFormat="1" ht="30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5" t="s">
        <v>11</v>
      </c>
      <c r="M1" s="4" t="s">
        <v>12</v>
      </c>
      <c r="N1" s="4" t="s">
        <v>13</v>
      </c>
    </row>
    <row r="2" spans="1:14" ht="30.75">
      <c r="A2" s="8">
        <f>ROW() - 1</f>
        <v>1</v>
      </c>
      <c r="B2" s="9">
        <v>46162</v>
      </c>
      <c r="C2" s="9" t="s">
        <v>14</v>
      </c>
      <c r="D2" s="10" t="s">
        <v>15</v>
      </c>
      <c r="E2" s="10" t="s">
        <v>16</v>
      </c>
      <c r="F2" s="10" t="s">
        <v>17</v>
      </c>
      <c r="G2" s="10" t="s">
        <v>18</v>
      </c>
      <c r="H2" s="10" t="s">
        <v>19</v>
      </c>
      <c r="I2" s="10" t="s">
        <v>20</v>
      </c>
      <c r="J2" s="10"/>
      <c r="K2" s="15">
        <v>46170</v>
      </c>
      <c r="L2" s="10" t="s">
        <v>21</v>
      </c>
      <c r="M2" s="11"/>
      <c r="N2" s="10" t="s">
        <v>22</v>
      </c>
    </row>
    <row r="3" spans="1:14" ht="30.75">
      <c r="A3" s="8">
        <f t="shared" ref="A3:A48" si="0">ROW() - 1</f>
        <v>2</v>
      </c>
      <c r="B3" s="9">
        <v>46162</v>
      </c>
      <c r="C3" s="9" t="s">
        <v>14</v>
      </c>
      <c r="D3" s="10" t="s">
        <v>15</v>
      </c>
      <c r="E3" s="12" t="s">
        <v>16</v>
      </c>
      <c r="F3" s="10" t="s">
        <v>17</v>
      </c>
      <c r="G3" s="12" t="s">
        <v>23</v>
      </c>
      <c r="H3" s="22" t="s">
        <v>24</v>
      </c>
      <c r="I3" s="6" t="s">
        <v>25</v>
      </c>
      <c r="J3" s="12" t="s">
        <v>26</v>
      </c>
      <c r="K3" s="15">
        <v>46170</v>
      </c>
      <c r="L3" s="10" t="s">
        <v>21</v>
      </c>
      <c r="M3" s="13"/>
      <c r="N3" s="12" t="s">
        <v>27</v>
      </c>
    </row>
    <row r="4" spans="1:14" ht="45.75">
      <c r="A4" s="8">
        <f t="shared" si="0"/>
        <v>3</v>
      </c>
      <c r="B4" s="9">
        <v>46163</v>
      </c>
      <c r="C4" s="9" t="s">
        <v>14</v>
      </c>
      <c r="D4" s="10" t="s">
        <v>15</v>
      </c>
      <c r="E4" s="10" t="s">
        <v>28</v>
      </c>
      <c r="F4" s="10" t="s">
        <v>17</v>
      </c>
      <c r="G4" s="10" t="s">
        <v>29</v>
      </c>
      <c r="H4" s="12" t="s">
        <v>30</v>
      </c>
      <c r="I4" s="10" t="s">
        <v>31</v>
      </c>
      <c r="J4" s="10" t="s">
        <v>32</v>
      </c>
      <c r="K4" s="15">
        <v>46170</v>
      </c>
      <c r="L4" s="10" t="s">
        <v>21</v>
      </c>
      <c r="M4" s="20"/>
      <c r="N4" s="10" t="s">
        <v>33</v>
      </c>
    </row>
    <row r="5" spans="1:14" s="2" customFormat="1">
      <c r="A5" s="8">
        <f t="shared" si="0"/>
        <v>4</v>
      </c>
      <c r="B5" s="9">
        <v>46163</v>
      </c>
      <c r="C5" s="9" t="s">
        <v>14</v>
      </c>
      <c r="D5" s="10" t="s">
        <v>34</v>
      </c>
      <c r="E5" s="10" t="s">
        <v>28</v>
      </c>
      <c r="F5" s="10" t="s">
        <v>17</v>
      </c>
      <c r="G5" s="10" t="s">
        <v>18</v>
      </c>
      <c r="H5" s="10" t="s">
        <v>35</v>
      </c>
      <c r="I5" s="7" t="s">
        <v>36</v>
      </c>
      <c r="J5" s="10" t="s">
        <v>37</v>
      </c>
      <c r="K5" s="16">
        <v>46170</v>
      </c>
      <c r="L5" s="10" t="s">
        <v>21</v>
      </c>
      <c r="M5" s="21"/>
      <c r="N5" s="10" t="s">
        <v>38</v>
      </c>
    </row>
    <row r="6" spans="1:14">
      <c r="A6" s="8">
        <f t="shared" si="0"/>
        <v>5</v>
      </c>
      <c r="B6" s="9">
        <v>46163</v>
      </c>
      <c r="C6" s="9" t="s">
        <v>14</v>
      </c>
      <c r="D6" s="10" t="s">
        <v>34</v>
      </c>
      <c r="E6" s="10" t="s">
        <v>28</v>
      </c>
      <c r="F6" s="10" t="s">
        <v>17</v>
      </c>
      <c r="G6" s="7" t="s">
        <v>18</v>
      </c>
      <c r="H6" s="10" t="s">
        <v>39</v>
      </c>
      <c r="I6" s="7" t="s">
        <v>40</v>
      </c>
      <c r="J6" s="7"/>
      <c r="K6" s="17">
        <v>46170</v>
      </c>
      <c r="L6" s="10" t="s">
        <v>21</v>
      </c>
      <c r="M6" s="11"/>
      <c r="N6" s="7" t="s">
        <v>41</v>
      </c>
    </row>
    <row r="7" spans="1:14" ht="30.75">
      <c r="A7" s="8">
        <f t="shared" si="0"/>
        <v>6</v>
      </c>
      <c r="B7" s="9">
        <v>46163</v>
      </c>
      <c r="C7" s="9" t="s">
        <v>14</v>
      </c>
      <c r="D7" s="10" t="s">
        <v>15</v>
      </c>
      <c r="E7" s="10" t="s">
        <v>16</v>
      </c>
      <c r="F7" s="10" t="s">
        <v>17</v>
      </c>
      <c r="G7" s="7" t="s">
        <v>18</v>
      </c>
      <c r="H7" s="7" t="s">
        <v>42</v>
      </c>
      <c r="I7" s="7" t="s">
        <v>43</v>
      </c>
      <c r="J7" s="7" t="s">
        <v>44</v>
      </c>
      <c r="K7" s="17">
        <v>46170</v>
      </c>
      <c r="L7" s="10" t="s">
        <v>21</v>
      </c>
      <c r="M7" s="20"/>
      <c r="N7" s="7" t="s">
        <v>45</v>
      </c>
    </row>
    <row r="8" spans="1:14">
      <c r="A8" s="8">
        <f t="shared" si="0"/>
        <v>7</v>
      </c>
      <c r="B8" s="9"/>
      <c r="C8" s="9"/>
      <c r="D8" s="10"/>
      <c r="E8" s="10"/>
      <c r="F8" s="10"/>
      <c r="G8" s="7"/>
      <c r="H8" s="7"/>
      <c r="I8" s="7"/>
      <c r="J8" s="7"/>
      <c r="K8" s="17"/>
      <c r="L8" s="10"/>
      <c r="M8" s="11"/>
      <c r="N8" s="7"/>
    </row>
    <row r="9" spans="1:14">
      <c r="A9" s="8">
        <f t="shared" si="0"/>
        <v>8</v>
      </c>
      <c r="B9" s="9"/>
      <c r="C9" s="9"/>
      <c r="D9" s="10"/>
      <c r="E9" s="10"/>
      <c r="F9" s="10"/>
      <c r="G9" s="7"/>
      <c r="H9" s="7"/>
      <c r="I9" s="7"/>
      <c r="J9" s="7"/>
      <c r="K9" s="17"/>
      <c r="L9" s="10"/>
      <c r="M9" s="20"/>
      <c r="N9" s="7"/>
    </row>
    <row r="10" spans="1:14">
      <c r="A10" s="8">
        <f t="shared" si="0"/>
        <v>9</v>
      </c>
      <c r="B10" s="9"/>
      <c r="C10" s="9"/>
      <c r="D10" s="10"/>
      <c r="E10" s="10"/>
      <c r="F10" s="10"/>
      <c r="G10" s="7"/>
      <c r="H10" s="10"/>
      <c r="I10" s="7"/>
      <c r="J10" s="7"/>
      <c r="K10" s="17"/>
      <c r="L10" s="10"/>
      <c r="M10" s="20"/>
      <c r="N10" s="7"/>
    </row>
    <row r="11" spans="1:14">
      <c r="A11" s="8">
        <f t="shared" si="0"/>
        <v>10</v>
      </c>
      <c r="B11" s="9"/>
      <c r="C11" s="9"/>
      <c r="D11" s="10"/>
      <c r="E11" s="10"/>
      <c r="F11" s="10"/>
      <c r="G11" s="10"/>
      <c r="H11" s="10"/>
      <c r="I11" s="7"/>
      <c r="J11" s="10"/>
      <c r="K11" s="16"/>
      <c r="L11" s="10"/>
      <c r="M11" s="20"/>
      <c r="N11" s="10"/>
    </row>
    <row r="12" spans="1:14">
      <c r="A12" s="8">
        <f t="shared" si="0"/>
        <v>11</v>
      </c>
      <c r="B12" s="9"/>
      <c r="C12" s="9"/>
      <c r="D12" s="10"/>
      <c r="E12" s="10"/>
      <c r="F12" s="10"/>
      <c r="G12" s="10"/>
      <c r="H12" s="10"/>
      <c r="I12" s="7"/>
      <c r="J12" s="10"/>
      <c r="K12" s="16"/>
      <c r="L12" s="10"/>
      <c r="M12" s="11"/>
      <c r="N12" s="10"/>
    </row>
    <row r="13" spans="1:14">
      <c r="A13" s="8">
        <f t="shared" si="0"/>
        <v>12</v>
      </c>
      <c r="B13" s="9"/>
      <c r="C13" s="9"/>
      <c r="D13" s="10"/>
      <c r="E13" s="10"/>
      <c r="F13" s="10"/>
      <c r="G13" s="10"/>
      <c r="H13" s="10"/>
      <c r="I13" s="7"/>
      <c r="J13" s="10"/>
      <c r="K13" s="16"/>
      <c r="L13" s="10"/>
      <c r="M13" s="20"/>
      <c r="N13" s="10"/>
    </row>
    <row r="14" spans="1:14">
      <c r="A14" s="8">
        <f t="shared" si="0"/>
        <v>13</v>
      </c>
      <c r="B14" s="9"/>
      <c r="C14" s="9"/>
      <c r="D14" s="10"/>
      <c r="E14" s="10"/>
      <c r="F14" s="10"/>
      <c r="G14" s="10"/>
      <c r="H14" s="10"/>
      <c r="I14" s="7"/>
      <c r="J14" s="14"/>
      <c r="K14" s="9"/>
      <c r="L14" s="10"/>
      <c r="M14" s="20"/>
      <c r="N14" s="14"/>
    </row>
    <row r="15" spans="1:14">
      <c r="A15" s="8">
        <f t="shared" si="0"/>
        <v>14</v>
      </c>
      <c r="B15" s="9"/>
      <c r="C15" s="9"/>
      <c r="D15" s="10"/>
      <c r="E15" s="10"/>
      <c r="F15" s="10"/>
      <c r="G15" s="10"/>
      <c r="H15" s="10"/>
      <c r="I15" s="7"/>
      <c r="J15" s="14"/>
      <c r="K15" s="9"/>
      <c r="L15" s="10"/>
      <c r="M15" s="11"/>
      <c r="N15" s="14"/>
    </row>
    <row r="16" spans="1:14">
      <c r="A16" s="8">
        <f t="shared" si="0"/>
        <v>15</v>
      </c>
      <c r="B16" s="9"/>
      <c r="C16" s="9"/>
      <c r="D16" s="10"/>
      <c r="E16" s="10"/>
      <c r="F16" s="10"/>
      <c r="G16" s="10"/>
      <c r="H16" s="10"/>
      <c r="I16" s="7"/>
      <c r="J16" s="14"/>
      <c r="K16" s="9"/>
      <c r="L16" s="10"/>
      <c r="M16" s="20"/>
      <c r="N16" s="14"/>
    </row>
    <row r="17" spans="1:14">
      <c r="A17" s="8">
        <f t="shared" si="0"/>
        <v>16</v>
      </c>
      <c r="B17" s="9"/>
      <c r="C17" s="9"/>
      <c r="D17" s="10"/>
      <c r="E17" s="10"/>
      <c r="F17" s="10"/>
      <c r="G17" s="14"/>
      <c r="H17" s="11"/>
      <c r="I17" s="11"/>
      <c r="J17" s="14"/>
      <c r="K17" s="9"/>
      <c r="L17" s="10"/>
      <c r="M17" s="11"/>
      <c r="N17" s="14"/>
    </row>
    <row r="18" spans="1:14">
      <c r="A18" s="8">
        <f t="shared" si="0"/>
        <v>17</v>
      </c>
      <c r="B18" s="9"/>
      <c r="C18" s="9"/>
      <c r="D18" s="10"/>
      <c r="E18" s="10"/>
      <c r="F18" s="10"/>
      <c r="G18" s="14"/>
      <c r="H18" s="11"/>
      <c r="I18" s="11"/>
      <c r="J18" s="14"/>
      <c r="K18" s="9"/>
      <c r="L18" s="10"/>
      <c r="M18" s="11"/>
      <c r="N18" s="14"/>
    </row>
    <row r="19" spans="1:14">
      <c r="A19" s="8">
        <f t="shared" si="0"/>
        <v>18</v>
      </c>
      <c r="B19" s="9"/>
      <c r="C19" s="9"/>
      <c r="D19" s="10"/>
      <c r="E19" s="10"/>
      <c r="F19" s="10"/>
      <c r="G19" s="14"/>
      <c r="H19" s="11"/>
      <c r="I19" s="11"/>
      <c r="J19" s="14"/>
      <c r="K19" s="9"/>
      <c r="L19" s="10"/>
      <c r="M19" s="11"/>
      <c r="N19" s="14"/>
    </row>
    <row r="20" spans="1:14">
      <c r="A20" s="8">
        <f t="shared" si="0"/>
        <v>19</v>
      </c>
      <c r="B20" s="9"/>
      <c r="C20" s="9"/>
      <c r="D20" s="10"/>
      <c r="E20" s="12"/>
      <c r="F20" s="10"/>
      <c r="G20" s="12"/>
      <c r="H20" s="12"/>
      <c r="I20" s="6"/>
      <c r="J20" s="12"/>
      <c r="K20" s="9"/>
      <c r="L20" s="10"/>
      <c r="M20" s="11"/>
      <c r="N20" s="12"/>
    </row>
    <row r="21" spans="1:14">
      <c r="A21" s="8">
        <f t="shared" si="0"/>
        <v>20</v>
      </c>
      <c r="B21" s="9"/>
      <c r="C21" s="9"/>
      <c r="D21" s="10"/>
      <c r="E21" s="10"/>
      <c r="F21" s="10"/>
      <c r="G21" s="14"/>
      <c r="H21" s="11"/>
      <c r="I21" s="14"/>
      <c r="J21" s="14"/>
      <c r="K21" s="9"/>
      <c r="L21" s="10"/>
      <c r="M21" s="11"/>
      <c r="N21" s="14"/>
    </row>
    <row r="22" spans="1:14">
      <c r="A22" s="8">
        <f t="shared" si="0"/>
        <v>21</v>
      </c>
      <c r="B22" s="9"/>
      <c r="C22" s="9"/>
      <c r="D22" s="10"/>
      <c r="E22" s="10"/>
      <c r="F22" s="10"/>
      <c r="G22" s="14"/>
      <c r="H22" s="11"/>
      <c r="I22" s="11"/>
      <c r="J22" s="14"/>
      <c r="K22" s="9"/>
      <c r="L22" s="10"/>
      <c r="M22" s="11"/>
      <c r="N22" s="14"/>
    </row>
    <row r="23" spans="1:14">
      <c r="A23" s="8">
        <f t="shared" si="0"/>
        <v>22</v>
      </c>
      <c r="B23" s="9"/>
      <c r="C23" s="9"/>
      <c r="D23" s="10"/>
      <c r="E23" s="10"/>
      <c r="F23" s="10"/>
      <c r="G23" s="14"/>
      <c r="H23" s="11"/>
      <c r="I23" s="14"/>
      <c r="J23" s="14"/>
      <c r="K23" s="9"/>
      <c r="L23" s="10"/>
      <c r="M23" s="11"/>
      <c r="N23" s="14"/>
    </row>
    <row r="24" spans="1:14">
      <c r="A24" s="8">
        <f t="shared" si="0"/>
        <v>23</v>
      </c>
      <c r="B24" s="9"/>
      <c r="C24" s="9"/>
      <c r="D24" s="10"/>
      <c r="E24" s="10"/>
      <c r="F24" s="10"/>
      <c r="G24" s="14"/>
      <c r="H24" s="11"/>
      <c r="I24" s="11"/>
      <c r="J24" s="11"/>
      <c r="K24" s="9"/>
      <c r="L24" s="10"/>
      <c r="M24" s="11"/>
      <c r="N24" s="11"/>
    </row>
    <row r="25" spans="1:14">
      <c r="A25" s="8">
        <f t="shared" si="0"/>
        <v>24</v>
      </c>
      <c r="B25" s="9"/>
      <c r="C25" s="9"/>
      <c r="D25" s="10"/>
      <c r="E25" s="10"/>
      <c r="F25" s="10"/>
      <c r="G25" s="14"/>
      <c r="H25" s="11"/>
      <c r="I25" s="11"/>
      <c r="J25" s="14"/>
      <c r="K25" s="9"/>
      <c r="L25" s="10"/>
      <c r="M25" s="11"/>
      <c r="N25" s="14"/>
    </row>
    <row r="26" spans="1:14">
      <c r="A26" s="8">
        <f t="shared" si="0"/>
        <v>25</v>
      </c>
      <c r="B26" s="9"/>
      <c r="C26" s="9"/>
      <c r="D26" s="10"/>
      <c r="E26" s="10"/>
      <c r="F26" s="10"/>
      <c r="G26" s="14"/>
      <c r="H26" s="11"/>
      <c r="I26" s="11"/>
      <c r="J26" s="11"/>
      <c r="K26" s="9"/>
      <c r="L26" s="10"/>
      <c r="M26" s="11"/>
      <c r="N26" s="11"/>
    </row>
    <row r="27" spans="1:14">
      <c r="A27" s="8">
        <f t="shared" si="0"/>
        <v>26</v>
      </c>
      <c r="B27" s="9"/>
      <c r="C27" s="9"/>
      <c r="D27" s="10"/>
      <c r="E27" s="10"/>
      <c r="F27" s="10"/>
      <c r="G27" s="14"/>
      <c r="H27" s="11"/>
      <c r="I27" s="11"/>
      <c r="J27" s="11"/>
      <c r="K27" s="9"/>
      <c r="L27" s="10"/>
      <c r="M27" s="11"/>
      <c r="N27" s="11"/>
    </row>
    <row r="28" spans="1:14">
      <c r="A28" s="8">
        <f t="shared" si="0"/>
        <v>27</v>
      </c>
      <c r="B28" s="9"/>
      <c r="C28" s="9"/>
      <c r="D28" s="10"/>
      <c r="E28" s="10"/>
      <c r="F28" s="10"/>
      <c r="G28" s="14"/>
      <c r="H28" s="11"/>
      <c r="I28" s="11"/>
      <c r="J28" s="14"/>
      <c r="K28" s="9"/>
      <c r="L28" s="10"/>
      <c r="M28" s="11"/>
      <c r="N28" s="14"/>
    </row>
    <row r="29" spans="1:14">
      <c r="A29" s="8">
        <f t="shared" si="0"/>
        <v>28</v>
      </c>
      <c r="B29" s="9"/>
      <c r="C29" s="9"/>
      <c r="D29" s="10"/>
      <c r="E29" s="10"/>
      <c r="F29" s="10"/>
      <c r="G29" s="14"/>
      <c r="H29" s="11"/>
      <c r="I29" s="14"/>
      <c r="J29" s="14"/>
      <c r="K29" s="9"/>
      <c r="L29" s="10"/>
      <c r="M29" s="11"/>
      <c r="N29" s="14"/>
    </row>
    <row r="30" spans="1:14">
      <c r="A30" s="8">
        <f t="shared" si="0"/>
        <v>29</v>
      </c>
      <c r="B30" s="14"/>
      <c r="C30" s="9"/>
      <c r="D30" s="10"/>
      <c r="E30" s="10"/>
      <c r="F30" s="10"/>
      <c r="G30" s="14"/>
      <c r="H30" s="11"/>
      <c r="I30" s="14"/>
      <c r="J30" s="14"/>
      <c r="K30" s="9"/>
      <c r="L30" s="10"/>
      <c r="M30" s="11"/>
      <c r="N30" s="14"/>
    </row>
    <row r="31" spans="1:14">
      <c r="A31" s="8">
        <f t="shared" si="0"/>
        <v>30</v>
      </c>
      <c r="B31" s="14"/>
      <c r="C31" s="9"/>
      <c r="D31" s="10"/>
      <c r="E31" s="10"/>
      <c r="F31" s="10"/>
      <c r="G31" s="14"/>
      <c r="H31" s="11"/>
      <c r="I31" s="14"/>
      <c r="J31" s="14"/>
      <c r="K31" s="9"/>
      <c r="L31" s="10"/>
      <c r="M31" s="11"/>
      <c r="N31" s="14"/>
    </row>
    <row r="32" spans="1:14">
      <c r="A32" s="8">
        <f t="shared" si="0"/>
        <v>31</v>
      </c>
      <c r="B32" s="14"/>
      <c r="C32" s="9"/>
      <c r="D32" s="10"/>
      <c r="E32" s="10"/>
      <c r="F32" s="10"/>
      <c r="G32" s="14"/>
      <c r="H32" s="11"/>
      <c r="I32" s="14"/>
      <c r="J32" s="14"/>
      <c r="K32" s="9"/>
      <c r="L32" s="10"/>
      <c r="M32" s="11"/>
      <c r="N32" s="14"/>
    </row>
    <row r="33" spans="1:14">
      <c r="A33" s="8">
        <f t="shared" si="0"/>
        <v>32</v>
      </c>
      <c r="B33" s="14"/>
      <c r="C33" s="9"/>
      <c r="D33" s="10"/>
      <c r="E33" s="10"/>
      <c r="F33" s="10"/>
      <c r="G33" s="14"/>
      <c r="H33" s="11"/>
      <c r="I33" s="14"/>
      <c r="J33" s="14"/>
      <c r="K33" s="9"/>
      <c r="L33" s="10"/>
      <c r="M33" s="11"/>
      <c r="N33" s="14"/>
    </row>
    <row r="34" spans="1:14">
      <c r="A34" s="8">
        <f t="shared" si="0"/>
        <v>33</v>
      </c>
      <c r="B34" s="14"/>
      <c r="C34" s="9"/>
      <c r="D34" s="10"/>
      <c r="E34" s="10"/>
      <c r="F34" s="10"/>
      <c r="G34" s="14"/>
      <c r="H34" s="11"/>
      <c r="I34" s="14"/>
      <c r="J34" s="14"/>
      <c r="K34" s="9"/>
      <c r="L34" s="10"/>
      <c r="M34" s="11"/>
      <c r="N34" s="14"/>
    </row>
    <row r="35" spans="1:14">
      <c r="A35" s="8">
        <f t="shared" si="0"/>
        <v>34</v>
      </c>
      <c r="B35" s="14"/>
      <c r="C35" s="9"/>
      <c r="D35" s="10"/>
      <c r="E35" s="10"/>
      <c r="F35" s="10"/>
      <c r="G35" s="14"/>
      <c r="H35" s="11"/>
      <c r="I35" s="14"/>
      <c r="J35" s="14"/>
      <c r="K35" s="9"/>
      <c r="L35" s="10"/>
      <c r="M35" s="11"/>
      <c r="N35" s="14"/>
    </row>
    <row r="36" spans="1:14">
      <c r="A36" s="8">
        <f t="shared" si="0"/>
        <v>35</v>
      </c>
      <c r="B36" s="14"/>
      <c r="C36" s="9"/>
      <c r="D36" s="10"/>
      <c r="E36" s="10"/>
      <c r="F36" s="10"/>
      <c r="G36" s="14"/>
      <c r="H36" s="11"/>
      <c r="I36" s="14"/>
      <c r="J36" s="14"/>
      <c r="K36" s="9"/>
      <c r="L36" s="10"/>
      <c r="M36" s="11"/>
      <c r="N36" s="14"/>
    </row>
    <row r="37" spans="1:14">
      <c r="A37" s="8">
        <f t="shared" si="0"/>
        <v>36</v>
      </c>
      <c r="B37" s="14"/>
      <c r="C37" s="9"/>
      <c r="D37" s="10"/>
      <c r="E37" s="10"/>
      <c r="F37" s="10"/>
      <c r="G37" s="14"/>
      <c r="H37" s="11"/>
      <c r="I37" s="14"/>
      <c r="J37" s="14"/>
      <c r="K37" s="9"/>
      <c r="L37" s="10"/>
      <c r="M37" s="11"/>
      <c r="N37" s="14"/>
    </row>
    <row r="38" spans="1:14">
      <c r="A38" s="8">
        <f t="shared" si="0"/>
        <v>37</v>
      </c>
      <c r="B38" s="14"/>
      <c r="C38" s="9"/>
      <c r="D38" s="10"/>
      <c r="E38" s="10"/>
      <c r="F38" s="10"/>
      <c r="G38" s="14"/>
      <c r="H38" s="11"/>
      <c r="I38" s="14"/>
      <c r="J38" s="14"/>
      <c r="K38" s="9"/>
      <c r="L38" s="10"/>
      <c r="M38" s="11"/>
      <c r="N38" s="14"/>
    </row>
    <row r="39" spans="1:14">
      <c r="A39" s="8">
        <f t="shared" si="0"/>
        <v>38</v>
      </c>
      <c r="B39" s="14"/>
      <c r="C39" s="9"/>
      <c r="D39" s="10"/>
      <c r="E39" s="10"/>
      <c r="F39" s="10"/>
      <c r="G39" s="14"/>
      <c r="H39" s="11"/>
      <c r="I39" s="14"/>
      <c r="J39" s="14"/>
      <c r="K39" s="9"/>
      <c r="L39" s="10"/>
      <c r="M39" s="11"/>
      <c r="N39" s="14"/>
    </row>
    <row r="40" spans="1:14">
      <c r="A40" s="8">
        <f t="shared" si="0"/>
        <v>39</v>
      </c>
      <c r="B40" s="14"/>
      <c r="C40" s="9"/>
      <c r="D40" s="10"/>
      <c r="E40" s="10"/>
      <c r="F40" s="10"/>
      <c r="G40" s="14"/>
      <c r="H40" s="11"/>
      <c r="I40" s="14"/>
      <c r="J40" s="14"/>
      <c r="K40" s="9"/>
      <c r="L40" s="10"/>
      <c r="M40" s="11"/>
      <c r="N40" s="14"/>
    </row>
    <row r="41" spans="1:14">
      <c r="A41" s="8">
        <f t="shared" si="0"/>
        <v>40</v>
      </c>
      <c r="B41" s="14"/>
      <c r="C41" s="9"/>
      <c r="D41" s="10"/>
      <c r="E41" s="10"/>
      <c r="F41" s="10"/>
      <c r="G41" s="14"/>
      <c r="H41" s="11"/>
      <c r="I41" s="14"/>
      <c r="J41" s="14"/>
      <c r="K41" s="9"/>
      <c r="L41" s="10"/>
      <c r="M41" s="11"/>
      <c r="N41" s="14"/>
    </row>
    <row r="42" spans="1:14">
      <c r="A42" s="8">
        <f t="shared" si="0"/>
        <v>41</v>
      </c>
      <c r="B42" s="14"/>
      <c r="C42" s="9"/>
      <c r="D42" s="10"/>
      <c r="E42" s="10"/>
      <c r="F42" s="10"/>
      <c r="G42" s="14"/>
      <c r="H42" s="11"/>
      <c r="I42" s="14"/>
      <c r="J42" s="14"/>
      <c r="K42" s="9"/>
      <c r="L42" s="10"/>
      <c r="M42" s="11"/>
      <c r="N42" s="14"/>
    </row>
    <row r="43" spans="1:14">
      <c r="A43" s="8">
        <f t="shared" si="0"/>
        <v>42</v>
      </c>
      <c r="B43" s="14"/>
      <c r="C43" s="9"/>
      <c r="D43" s="10"/>
      <c r="E43" s="10"/>
      <c r="F43" s="10"/>
      <c r="G43" s="14"/>
      <c r="H43" s="11"/>
      <c r="I43" s="14"/>
      <c r="J43" s="14"/>
      <c r="K43" s="9"/>
      <c r="L43" s="10"/>
      <c r="M43" s="11"/>
      <c r="N43" s="14"/>
    </row>
    <row r="44" spans="1:14">
      <c r="A44" s="8">
        <f t="shared" si="0"/>
        <v>43</v>
      </c>
      <c r="B44" s="14"/>
      <c r="C44" s="9"/>
      <c r="D44" s="10"/>
      <c r="E44" s="10"/>
      <c r="F44" s="10"/>
      <c r="G44" s="14"/>
      <c r="H44" s="11"/>
      <c r="I44" s="14"/>
      <c r="J44" s="14"/>
      <c r="K44" s="9"/>
      <c r="L44" s="10"/>
      <c r="M44" s="11"/>
      <c r="N44" s="14"/>
    </row>
    <row r="45" spans="1:14">
      <c r="A45" s="8">
        <f t="shared" si="0"/>
        <v>44</v>
      </c>
      <c r="B45" s="14"/>
      <c r="C45" s="9"/>
      <c r="D45" s="10"/>
      <c r="E45" s="10"/>
      <c r="F45" s="10"/>
      <c r="G45" s="14"/>
      <c r="H45" s="11"/>
      <c r="I45" s="14"/>
      <c r="J45" s="14"/>
      <c r="K45" s="9"/>
      <c r="L45" s="10"/>
      <c r="M45" s="11"/>
      <c r="N45" s="14"/>
    </row>
    <row r="46" spans="1:14">
      <c r="A46" s="8">
        <f t="shared" si="0"/>
        <v>45</v>
      </c>
      <c r="B46" s="14"/>
      <c r="C46" s="9"/>
      <c r="D46" s="10"/>
      <c r="E46" s="10"/>
      <c r="F46" s="10"/>
      <c r="G46" s="14"/>
      <c r="H46" s="11"/>
      <c r="I46" s="14"/>
      <c r="J46" s="14"/>
      <c r="K46" s="9"/>
      <c r="L46" s="10"/>
      <c r="M46" s="11"/>
      <c r="N46" s="14"/>
    </row>
    <row r="47" spans="1:14">
      <c r="A47" s="8">
        <f t="shared" si="0"/>
        <v>46</v>
      </c>
      <c r="B47" s="14"/>
      <c r="C47" s="9"/>
      <c r="D47" s="10"/>
      <c r="E47" s="10"/>
      <c r="F47" s="10"/>
      <c r="G47" s="14"/>
      <c r="H47" s="11"/>
      <c r="I47" s="14"/>
      <c r="J47" s="14"/>
      <c r="K47" s="9"/>
      <c r="L47" s="10"/>
      <c r="M47" s="11"/>
      <c r="N47" s="14"/>
    </row>
    <row r="48" spans="1:14">
      <c r="A48" s="8">
        <f t="shared" si="0"/>
        <v>47</v>
      </c>
      <c r="B48" s="14"/>
      <c r="C48" s="9"/>
      <c r="D48" s="10"/>
      <c r="E48" s="10"/>
      <c r="F48" s="10"/>
      <c r="G48" s="14"/>
      <c r="H48" s="11"/>
      <c r="I48" s="14"/>
      <c r="J48" s="14"/>
      <c r="K48" s="9"/>
      <c r="L48" s="10"/>
      <c r="M48" s="11"/>
      <c r="N48" s="14"/>
    </row>
    <row r="49" spans="1:14">
      <c r="A49" s="23"/>
      <c r="B49" s="23"/>
      <c r="C49" s="23"/>
      <c r="D49" s="23"/>
      <c r="E49" s="23"/>
      <c r="F49" s="23"/>
      <c r="G49" s="23"/>
      <c r="H49" s="22"/>
      <c r="I49" s="23"/>
      <c r="J49" s="23"/>
      <c r="K49" s="24"/>
      <c r="L49" s="23"/>
      <c r="M49" s="22"/>
      <c r="N49" s="23"/>
    </row>
    <row r="50" spans="1:14">
      <c r="A50" s="23"/>
      <c r="B50" s="23"/>
      <c r="C50" s="23"/>
      <c r="D50" s="23"/>
      <c r="E50" s="23"/>
      <c r="F50" s="23"/>
      <c r="G50" s="23"/>
      <c r="H50" s="22"/>
      <c r="I50" s="23"/>
      <c r="J50" s="23"/>
      <c r="K50" s="24"/>
      <c r="L50" s="23"/>
      <c r="M50" s="22"/>
      <c r="N50" s="23"/>
    </row>
    <row r="51" spans="1:14">
      <c r="A51" s="23"/>
      <c r="B51" s="23"/>
      <c r="C51" s="23"/>
      <c r="D51" s="23"/>
      <c r="E51" s="23"/>
      <c r="F51" s="23"/>
      <c r="G51" s="23"/>
      <c r="H51" s="22"/>
      <c r="I51" s="23"/>
      <c r="J51" s="23"/>
      <c r="K51" s="24"/>
      <c r="L51" s="23"/>
      <c r="M51" s="22"/>
      <c r="N51" s="23"/>
    </row>
  </sheetData>
  <conditionalFormatting sqref="F1:F1048576">
    <cfRule type="containsText" dxfId="7" priority="4" operator="containsText" text="Resolved">
      <formula>NOT(ISERROR(SEARCH("Resolved",F1)))</formula>
    </cfRule>
  </conditionalFormatting>
  <conditionalFormatting sqref="F2:F1048576">
    <cfRule type="containsText" dxfId="6" priority="1" operator="containsText" text="No Action">
      <formula>NOT(ISERROR(SEARCH("No Action",F2)))</formula>
    </cfRule>
    <cfRule type="containsText" dxfId="5" priority="2" operator="containsText" text="New">
      <formula>NOT(ISERROR(SEARCH("New",F2)))</formula>
    </cfRule>
    <cfRule type="containsText" dxfId="4" priority="3" operator="containsText" text="Retest In Progress">
      <formula>NOT(ISERROR(SEARCH("Retest In Progress",F2)))</formula>
    </cfRule>
    <cfRule type="containsText" dxfId="3" priority="5" operator="containsText" text="Return to Dev">
      <formula>NOT(ISERROR(SEARCH("Return to Dev",F2)))</formula>
    </cfRule>
  </conditionalFormatting>
  <conditionalFormatting sqref="L2:L1048576">
    <cfRule type="containsText" dxfId="2" priority="10" operator="containsText" text="Pass with Comments">
      <formula>NOT(ISERROR(SEARCH("Pass with Comments",L2)))</formula>
    </cfRule>
    <cfRule type="containsText" dxfId="1" priority="11" operator="containsText" text="Fail">
      <formula>NOT(ISERROR(SEARCH("Fail",L2)))</formula>
    </cfRule>
    <cfRule type="containsText" dxfId="0" priority="12" operator="containsText" text="Pass">
      <formula>NOT(ISERROR(SEARCH("Pass",L2)))</formula>
    </cfRule>
  </conditionalFormatting>
  <dataValidations count="1">
    <dataValidation type="list" allowBlank="1" showInputMessage="1" showErrorMessage="1" sqref="C2:C48" xr:uid="{A0E44C65-F303-4B81-90E6-640E3027D3BB}">
      <formula1>"Both,Web Only,PB Only"</formula1>
    </dataValidation>
  </dataValidations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20A9F25-0DE4-45B6-B5B3-B6F8EA25DBA6}">
          <x14:formula1>
            <xm:f>Sheet2!$A$1:$A$3</xm:f>
          </x14:formula1>
          <xm:sqref>L2:L48</xm:sqref>
        </x14:dataValidation>
        <x14:dataValidation type="list" allowBlank="1" showInputMessage="1" showErrorMessage="1" xr:uid="{13D3BE25-BF98-4733-B1E7-AA4DB88ADC41}">
          <x14:formula1>
            <xm:f>Sheet2!$C$2:$C$6</xm:f>
          </x14:formula1>
          <xm:sqref>F2:F1048576</xm:sqref>
        </x14:dataValidation>
        <x14:dataValidation type="list" allowBlank="1" showInputMessage="1" showErrorMessage="1" xr:uid="{E7C9154B-8A5C-4F27-AF31-58E8AF26A163}">
          <x14:formula1>
            <xm:f>Sheet2!$F$1:$F$3</xm:f>
          </x14:formula1>
          <xm:sqref>E2:E1048576</xm:sqref>
        </x14:dataValidation>
        <x14:dataValidation type="list" allowBlank="1" showInputMessage="1" showErrorMessage="1" xr:uid="{3906557F-AEE2-41CE-81DC-5F122F965822}">
          <x14:formula1>
            <xm:f>Sheet2!$H$1:$H$2</xm:f>
          </x14:formula1>
          <xm:sqref>D2:D48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FE1BE-822D-4B4E-811C-0C6E71802C8C}">
  <dimension ref="A1:C20"/>
  <sheetViews>
    <sheetView tabSelected="1" workbookViewId="0">
      <selection activeCell="E19" sqref="E19"/>
    </sheetView>
  </sheetViews>
  <sheetFormatPr defaultRowHeight="15"/>
  <cols>
    <col min="1" max="1" width="14.85546875" bestFit="1" customWidth="1"/>
    <col min="2" max="2" width="17.7109375" bestFit="1" customWidth="1"/>
    <col min="3" max="4" width="11.42578125" bestFit="1" customWidth="1"/>
  </cols>
  <sheetData>
    <row r="1" spans="1:3">
      <c r="A1" s="29" t="s">
        <v>46</v>
      </c>
      <c r="B1" s="29"/>
      <c r="C1" s="29"/>
    </row>
    <row r="2" spans="1:3">
      <c r="A2" s="29"/>
      <c r="B2" s="29"/>
      <c r="C2" s="29"/>
    </row>
    <row r="3" spans="1:3">
      <c r="A3" s="25" t="s">
        <v>47</v>
      </c>
      <c r="B3" s="25" t="s">
        <v>48</v>
      </c>
    </row>
    <row r="4" spans="1:3">
      <c r="A4" s="25" t="s">
        <v>49</v>
      </c>
      <c r="B4" t="s">
        <v>50</v>
      </c>
      <c r="C4" t="s">
        <v>51</v>
      </c>
    </row>
    <row r="5" spans="1:3">
      <c r="A5" s="27" t="s">
        <v>34</v>
      </c>
      <c r="B5" s="26"/>
      <c r="C5" s="26"/>
    </row>
    <row r="6" spans="1:3">
      <c r="A6" s="28" t="s">
        <v>28</v>
      </c>
      <c r="B6" s="26">
        <v>2</v>
      </c>
      <c r="C6" s="26">
        <v>2</v>
      </c>
    </row>
    <row r="7" spans="1:3">
      <c r="A7" s="27" t="s">
        <v>15</v>
      </c>
      <c r="B7" s="26"/>
      <c r="C7" s="26"/>
    </row>
    <row r="8" spans="1:3">
      <c r="A8" s="28" t="s">
        <v>28</v>
      </c>
      <c r="B8" s="26">
        <v>1</v>
      </c>
      <c r="C8" s="26">
        <v>1</v>
      </c>
    </row>
    <row r="9" spans="1:3">
      <c r="A9" s="28" t="s">
        <v>16</v>
      </c>
      <c r="B9" s="26">
        <v>3</v>
      </c>
      <c r="C9" s="26">
        <v>3</v>
      </c>
    </row>
    <row r="10" spans="1:3">
      <c r="A10" s="27" t="s">
        <v>51</v>
      </c>
      <c r="B10" s="26">
        <v>6</v>
      </c>
      <c r="C10" s="26">
        <v>6</v>
      </c>
    </row>
    <row r="11" spans="1:3">
      <c r="A11" s="29" t="s">
        <v>52</v>
      </c>
      <c r="B11" s="29"/>
      <c r="C11" s="29"/>
    </row>
    <row r="12" spans="1:3">
      <c r="A12" s="29"/>
      <c r="B12" s="29"/>
      <c r="C12" s="29"/>
    </row>
    <row r="13" spans="1:3">
      <c r="A13" s="25" t="s">
        <v>47</v>
      </c>
      <c r="B13" s="25" t="s">
        <v>48</v>
      </c>
    </row>
    <row r="14" spans="1:3">
      <c r="A14" s="25" t="s">
        <v>49</v>
      </c>
      <c r="B14" t="s">
        <v>17</v>
      </c>
      <c r="C14" t="s">
        <v>51</v>
      </c>
    </row>
    <row r="15" spans="1:3">
      <c r="A15" s="27" t="s">
        <v>34</v>
      </c>
      <c r="B15" s="26"/>
      <c r="C15" s="26"/>
    </row>
    <row r="16" spans="1:3">
      <c r="A16" s="28" t="s">
        <v>28</v>
      </c>
      <c r="B16" s="26">
        <v>2</v>
      </c>
      <c r="C16" s="26">
        <v>2</v>
      </c>
    </row>
    <row r="17" spans="1:3">
      <c r="A17" s="27" t="s">
        <v>15</v>
      </c>
      <c r="B17" s="26"/>
      <c r="C17" s="26"/>
    </row>
    <row r="18" spans="1:3">
      <c r="A18" s="28" t="s">
        <v>28</v>
      </c>
      <c r="B18" s="26">
        <v>1</v>
      </c>
      <c r="C18" s="26">
        <v>1</v>
      </c>
    </row>
    <row r="19" spans="1:3">
      <c r="A19" s="28" t="s">
        <v>16</v>
      </c>
      <c r="B19" s="26">
        <v>3</v>
      </c>
      <c r="C19" s="26">
        <v>3</v>
      </c>
    </row>
    <row r="20" spans="1:3">
      <c r="A20" s="27" t="s">
        <v>51</v>
      </c>
      <c r="B20" s="26">
        <v>6</v>
      </c>
      <c r="C20" s="26">
        <v>6</v>
      </c>
    </row>
  </sheetData>
  <mergeCells count="2">
    <mergeCell ref="A1:C2"/>
    <mergeCell ref="A11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8343-1E5F-44FF-92E6-FB42467FF7BC}">
  <dimension ref="A1:H6"/>
  <sheetViews>
    <sheetView workbookViewId="0">
      <selection activeCell="I14" sqref="I14"/>
    </sheetView>
  </sheetViews>
  <sheetFormatPr defaultRowHeight="15"/>
  <cols>
    <col min="1" max="1" width="19.5703125" bestFit="1" customWidth="1"/>
  </cols>
  <sheetData>
    <row r="1" spans="1:8">
      <c r="A1" t="s">
        <v>21</v>
      </c>
      <c r="F1" t="s">
        <v>53</v>
      </c>
      <c r="H1" t="s">
        <v>34</v>
      </c>
    </row>
    <row r="2" spans="1:8">
      <c r="A2" t="s">
        <v>54</v>
      </c>
      <c r="C2" t="s">
        <v>55</v>
      </c>
      <c r="F2" t="s">
        <v>28</v>
      </c>
      <c r="H2" t="s">
        <v>15</v>
      </c>
    </row>
    <row r="3" spans="1:8">
      <c r="A3" t="s">
        <v>56</v>
      </c>
      <c r="C3" t="s">
        <v>57</v>
      </c>
      <c r="F3" t="s">
        <v>16</v>
      </c>
    </row>
    <row r="4" spans="1:8">
      <c r="C4" t="s">
        <v>17</v>
      </c>
    </row>
    <row r="5" spans="1:8">
      <c r="C5" t="s">
        <v>50</v>
      </c>
    </row>
    <row r="6" spans="1:8">
      <c r="C6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81500CF7E3342BB627D73BF202A2F" ma:contentTypeVersion="20" ma:contentTypeDescription="Create a new document." ma:contentTypeScope="" ma:versionID="3e2c570eb0946adac5aa6eeca2ff0bbb">
  <xsd:schema xmlns:xsd="http://www.w3.org/2001/XMLSchema" xmlns:xs="http://www.w3.org/2001/XMLSchema" xmlns:p="http://schemas.microsoft.com/office/2006/metadata/properties" xmlns:ns2="3d05c41d-42c7-4345-8236-8005f0c89855" xmlns:ns3="29065daa-3ce8-4783-94b0-fa366394ba57" targetNamespace="http://schemas.microsoft.com/office/2006/metadata/properties" ma:root="true" ma:fieldsID="2fff10ba4333f073fbb358ab87328e47" ns2:_="" ns3:_="">
    <xsd:import namespace="3d05c41d-42c7-4345-8236-8005f0c89855"/>
    <xsd:import namespace="29065daa-3ce8-4783-94b0-fa366394b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_x0023_" minOccurs="0"/>
                <xsd:element ref="ns2:xvqq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c41d-42c7-4345-8236-8005f0c898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_x0023_" ma:index="14" nillable="true" ma:displayName="#" ma:format="Dropdown" ma:internalName="_x0023_" ma:percentage="FALSE">
      <xsd:simpleType>
        <xsd:restriction base="dms:Number"/>
      </xsd:simpleType>
    </xsd:element>
    <xsd:element name="xvqq" ma:index="15" nillable="true" ma:displayName="Number" ma:format="Dropdown" ma:indexed="true" ma:internalName="xvqq" ma:percentage="FALSE">
      <xsd:simpleType>
        <xsd:restriction base="dms:Number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4ec475d-60a2-43c9-b028-7bc66b519f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65daa-3ce8-4783-94b0-fa366394b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4015a18-bcff-4be0-ac30-705c07765b3f}" ma:internalName="TaxCatchAll" ma:showField="CatchAllData" ma:web="29065daa-3ce8-4783-94b0-fa366394b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65daa-3ce8-4783-94b0-fa366394ba57" xsi:nil="true"/>
    <_x0023_ xmlns="3d05c41d-42c7-4345-8236-8005f0c89855" xsi:nil="true"/>
    <xvqq xmlns="3d05c41d-42c7-4345-8236-8005f0c89855">14</xvqq>
    <Notes xmlns="3d05c41d-42c7-4345-8236-8005f0c89855">Dev: NV | BSA: BY</Notes>
    <lcf76f155ced4ddcb4097134ff3c332f xmlns="3d05c41d-42c7-4345-8236-8005f0c898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18B911-79C5-4237-A282-A44C59888C1E}"/>
</file>

<file path=customXml/itemProps2.xml><?xml version="1.0" encoding="utf-8"?>
<ds:datastoreItem xmlns:ds="http://schemas.openxmlformats.org/officeDocument/2006/customXml" ds:itemID="{6B5146E5-CF4E-4085-BE9F-ED12D10E8B13}"/>
</file>

<file path=customXml/itemProps3.xml><?xml version="1.0" encoding="utf-8"?>
<ds:datastoreItem xmlns:ds="http://schemas.openxmlformats.org/officeDocument/2006/customXml" ds:itemID="{704EED5A-6E5F-40C5-9AEF-0B62B473C0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Orange County Superior Court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Uyehara</dc:creator>
  <cp:keywords/>
  <dc:description/>
  <cp:lastModifiedBy>Brooke Yale</cp:lastModifiedBy>
  <cp:revision/>
  <dcterms:created xsi:type="dcterms:W3CDTF">2025-10-01T18:45:47Z</dcterms:created>
  <dcterms:modified xsi:type="dcterms:W3CDTF">2026-05-29T00:22:42Z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0x01010055B81500CF7E3342BB627D73BF202A2F</vt:lpwstr>
  </property>
  <property fmtid="{D5CDD505-2E9C-101B-9397-08002B2CF9AE}" pid="3" name="MediaServiceImageTags">
    <vt:lpwstr/>
  </property>
</Properties>
</file>