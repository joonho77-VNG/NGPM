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440" documentId="8_{32BC0B0E-3EE8-43AB-8119-D28931438715}" xr6:coauthVersionLast="47" xr6:coauthVersionMax="47" xr10:uidLastSave="{9FA5BCF4-8BC1-41BF-B275-B02FCBEF8AC2}"/>
  <bookViews>
    <workbookView xWindow="22944" yWindow="15000" windowWidth="17472" windowHeight="15096" xr2:uid="{7496AAB9-9610-4154-B91D-ED1C66077D08}"/>
  </bookViews>
  <sheets>
    <sheet name="DEFECTS" sheetId="1" r:id="rId1"/>
    <sheet name="Screenshots" sheetId="5" r:id="rId2"/>
    <sheet name="NG Links" sheetId="4" r:id="rId3"/>
    <sheet name="Sheet2" sheetId="3" state="hidden" r:id="rId4"/>
  </sheets>
  <definedNames>
    <definedName name="_xlnm._FilterDatabase" localSheetId="0" hidden="1">DEFECTS!$A$1:$M$44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2" i="1"/>
</calcChain>
</file>

<file path=xl/sharedStrings.xml><?xml version="1.0" encoding="utf-8"?>
<sst xmlns="http://schemas.openxmlformats.org/spreadsheetml/2006/main" count="176" uniqueCount="108">
  <si>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</si>
  <si>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</si>
  <si>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</si>
  <si>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</si>
  <si>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</si>
  <si>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</si>
  <si>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</si>
  <si>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</si>
  <si>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</si>
  <si>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</si>
  <si>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</si>
  <si>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</si>
  <si>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</si>
  <si>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</si>
  <si>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</si>
  <si>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</si>
  <si>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Minor</t>
  </si>
  <si>
    <t>Return to Dev</t>
  </si>
  <si>
    <t>Justice Center, Offense Level, Start, End</t>
  </si>
  <si>
    <t>Fluent Validation appears with a scroll bar</t>
  </si>
  <si>
    <t>Invalid entries for Justice Center, Offense Level, Start, End fields add a scroll bar with the fluent validation</t>
  </si>
  <si>
    <t>Can the message display under the field? It's fine if the column headers are blocked while the message appears</t>
  </si>
  <si>
    <t>Fail</t>
  </si>
  <si>
    <t>10/23 BY: Scroll bar no longer appears, but the fluent validation is still under the section instead of displaying for the user</t>
  </si>
  <si>
    <t>10/23/2026 SM - has been addressed</t>
  </si>
  <si>
    <t>UI</t>
  </si>
  <si>
    <t>New</t>
  </si>
  <si>
    <t>Print button, Save As button</t>
  </si>
  <si>
    <t>Buttons can be moved closer to the Search fields</t>
  </si>
  <si>
    <t>Print button and Save As button can be moved closer to the Search fields. See Screenshot #2 for sample location. The user has to move their cursor more than they're used to if the buttons are right aligned</t>
  </si>
  <si>
    <t>10/23/2026 SM - has been moved closer to other inputs</t>
  </si>
  <si>
    <t>MJ</t>
  </si>
  <si>
    <t>Field with can increase</t>
  </si>
  <si>
    <t>MJ field width can increase so "Yes" selection fully displays. This selection shows Y.. with the current width</t>
  </si>
  <si>
    <t>10/23/2026 SM - widened MJ to avoid truncation</t>
  </si>
  <si>
    <t>N/A</t>
  </si>
  <si>
    <t>F3 Refresh</t>
  </si>
  <si>
    <t>F3 Refresh should reset the window to default values</t>
  </si>
  <si>
    <t>UI Guideline 54</t>
  </si>
  <si>
    <t>10/23/2026 SM - refresh clears all inputs</t>
  </si>
  <si>
    <t>Results update before pressing retrieve</t>
  </si>
  <si>
    <t xml:space="preserve">1. Retrieve results with data
2. Change the MJ selection to something that would yield different data, like Yes for most scenarios - results and No. of Cases field update with the result of a new search before you press the retrieve button. Expected result is that Retrieve is not triggered until enter keypress or </t>
  </si>
  <si>
    <t>This defect does not occur for other fields. PB window applies this filter to the print/ save as selections incorrectly, so maybe that's why AI picked up this behavior.</t>
  </si>
  <si>
    <t>10/23/2026 SM - modifying the inputs will not change grid unless user retrieves</t>
  </si>
  <si>
    <t>Date Violation, Qualified for Purge, Date Closed</t>
  </si>
  <si>
    <t>Columns can show 2 digit year</t>
  </si>
  <si>
    <t>Date Violation, Qualified for Purge, and Date Closed columns can show 2 digit year</t>
  </si>
  <si>
    <t>10/23/2026 SM - grid columns not only show 2digit year</t>
  </si>
  <si>
    <t>No. of Cases</t>
  </si>
  <si>
    <t>Column can be right aligned</t>
  </si>
  <si>
    <t>No. of Cases column can be right aligned</t>
  </si>
  <si>
    <t>UI Guideline 20. PB window is right aligned too</t>
  </si>
  <si>
    <t>10/23/2026 SM - no. of cases input is now right aligned</t>
  </si>
  <si>
    <t>Enterprises cases don't populate the name in Case Maintenance window</t>
  </si>
  <si>
    <t>1. Search for result with an enterprise case/ person type E - Use the query in testing comments with "All" in JC for valid results
2. Double click the enterprise case to open minutes
3. Open Case Maintenance window - Enterprise name does not appear in the Case Maintenance "Business Name" section of tab 1, and the "Business" column is not selected. Open Case Maintenance through the top row icon to see expected results for the case</t>
  </si>
  <si>
    <t>select 
dt_due,
court.ctf_get_code_value((select off_level from court.case_defendant where case_nbr = a.case_nbr and person_nbr = a.person_nbr)) off_level,
court.ctf_get_public_case(case_nbr,person_nbr) public_case, 
court.ctf_get_person_name(person_nbr)
from court.activity a 
where person_nbr in (select person_nbr from court.person where person_type = 'E')
and process_code = court.f_get_code_index('PRCSCD','PRGFQL') fetch first 10 rows only;
Reach out to Brooke for a demo if needed</t>
  </si>
  <si>
    <t>Major</t>
  </si>
  <si>
    <t>Save As button</t>
  </si>
  <si>
    <t>Save As button does not work if no rows are selected</t>
  </si>
  <si>
    <t>Match the Print Button behavior where no rows selected means all rows will appear in the csv file</t>
  </si>
  <si>
    <t>10/23/2026 SM - save as will save all rows to excel when nothing is selected and save x when x are selected</t>
  </si>
  <si>
    <t>Print button, Printed document header</t>
  </si>
  <si>
    <t>Modifying search date range affects printout, but not the data</t>
  </si>
  <si>
    <t>1. Search for a result with data
2. Change the date range of the search without selecting retrieve
3. Print the document - Date range header matches the search criteria and not the data. In PB, the date range matches the retrieved data</t>
  </si>
  <si>
    <t xml:space="preserve">Data in the report is correct. Only the header is incorrect
Does not occur with Save as since there is no header
</t>
  </si>
  <si>
    <t xml:space="preserve">10/23/2026 SM - has been addressed. </t>
  </si>
  <si>
    <t>Needs Review</t>
  </si>
  <si>
    <t>Save As downloads the file immediately</t>
  </si>
  <si>
    <t>Save As downloads the file immediately. Subsequent uses of the button generate CaseFilePurge, CaseFilePurge(1), etc for the file names.</t>
  </si>
  <si>
    <t>Is it possible to add the Save As dialog we see in PB to change the name? CaseFilePurge.csv should be the default name, but it shouldn't download automatically.
CaseFilePurgeMMDDYY-MMDDYY.csv</t>
  </si>
  <si>
    <t>10/23/2026 SM - will reach out to Jorge about solution</t>
  </si>
  <si>
    <t>Justice Center</t>
  </si>
  <si>
    <t>JC dropdown options are missing</t>
  </si>
  <si>
    <t>Justice Center dropdown is missing "Harbor - Laguna Hills"</t>
  </si>
  <si>
    <t>Not sure which code entry category is correct and which is being used in NG. Dropdown in Production also includes "Harbor - Laguna Hills"</t>
  </si>
  <si>
    <t>10/23/2026 SM - created new vision component for judge.</t>
  </si>
  <si>
    <t>Cancel Button</t>
  </si>
  <si>
    <t>Print Preview briefly appears after selecting cancel</t>
  </si>
  <si>
    <t>1. Search for a result with data
2. Select Print
3. Select Cancel - printout briefly flashes as a separate window before grid returns</t>
  </si>
  <si>
    <t>If this can't be fixed easily, it's ok to leave as is. It is barely noticeable. Let me know if a demo is needed</t>
  </si>
  <si>
    <t>10/23/2026 SM - Leaving as-is</t>
  </si>
  <si>
    <t>Page Up/ Page Down</t>
  </si>
  <si>
    <t>Page Up/ Down appears in wrong location</t>
  </si>
  <si>
    <t>Page Up/ Page Down appears in the middle or bottom of the page instead of the top</t>
  </si>
  <si>
    <t>Tab keypress</t>
  </si>
  <si>
    <t>Tab after Save As reaches grid</t>
  </si>
  <si>
    <t>Tab correctly moves across fields up until Save As. After Save As button, the tab should return to the Justice Center field</t>
  </si>
  <si>
    <t>Missed in round 1 QA</t>
  </si>
  <si>
    <t>10/23/2026 SM - tab order has been added</t>
  </si>
  <si>
    <t>Regression</t>
  </si>
  <si>
    <t>Column Headers with multiple lines</t>
  </si>
  <si>
    <t>Column headers with multiple lines cut off text</t>
  </si>
  <si>
    <t>The first QA cycle correctly wrapped column headers to match PB window. Now, column headers are truncated with 3 dots</t>
  </si>
  <si>
    <t xml:space="preserve">10/23/2026 SM - resolved. only the grid header wraps </t>
  </si>
  <si>
    <t>Screenshot</t>
  </si>
  <si>
    <t>2 - Sample placement for Print and Save As buttons</t>
  </si>
  <si>
    <t>ST</t>
  </si>
  <si>
    <t>https://visionngst.occourts.org/Account/login</t>
  </si>
  <si>
    <t>QA</t>
  </si>
  <si>
    <t>https://visionngqa.occourts.org/Account/login</t>
  </si>
  <si>
    <t>D2</t>
  </si>
  <si>
    <t>https://visionngpreprod.occourts.org/account/login</t>
  </si>
  <si>
    <t>Pass</t>
  </si>
  <si>
    <t>Retest In Progress</t>
  </si>
  <si>
    <t>Pass with Comments</t>
  </si>
  <si>
    <t>Resolved</t>
  </si>
  <si>
    <t>No Action</t>
  </si>
  <si>
    <t>10/26/2026 SM - has been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</si>
</sst>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sz val="11"/>
      <color theme="5"/>
      <name val="Calibri"/>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6" fillId="0" borderId="0" xfId="1"/>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xf>
    <xf numFmtId="0" fontId="0" fillId="0" borderId="0" xfId="0" applyAlignment="1">
      <alignment wrapText="1"/>
    </xf>
    <xf numFmtId="164" fontId="7" fillId="0" borderId="1" xfId="0" applyNumberFormat="1" applyFont="1" applyBorder="1" applyAlignment="1">
      <alignment horizontal="left" vertical="top"/>
    </xf>
  </cellXfs>
  <cellStyles count="2">
    <cellStyle name="Hyperlink" xfId="1" builtinId="8"/>
    <cellStyle name="Normal" xfId="0" builtinId="0"/>
  </cellStyles>
  <dxfs count="8">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1657349</xdr:colOff>
      <xdr:row>1</xdr:row>
      <xdr:rowOff>0</xdr:rowOff>
    </xdr:from>
    <xdr:to>
      <xdr:col>17</xdr:col>
      <xdr:colOff>600074</xdr:colOff>
      <xdr:row>23</xdr:row>
      <xdr:rowOff>83522</xdr:rowOff>
    </xdr:to>
    <xdr:pic>
      <xdr:nvPicPr>
        <xdr:cNvPr id="2" name="Picture 1">
          <a:extLst>
            <a:ext uri="{FF2B5EF4-FFF2-40B4-BE49-F238E27FC236}">
              <a16:creationId xmlns:a16="http://schemas.microsoft.com/office/drawing/2014/main" id="{1F292390-E3C8-39E5-B692-75E3519CF163}"/>
            </a:ext>
          </a:extLst>
        </xdr:cNvPr>
        <xdr:cNvPicPr>
          <a:picLocks noChangeAspect="1"/>
        </xdr:cNvPicPr>
      </xdr:nvPicPr>
      <xdr:blipFill>
        <a:blip xmlns:r="http://schemas.openxmlformats.org/officeDocument/2006/relationships" r:embed="rId1"/>
        <a:stretch>
          <a:fillRect/>
        </a:stretch>
      </xdr:blipFill>
      <xdr:spPr>
        <a:xfrm>
          <a:off x="1657349" y="190500"/>
          <a:ext cx="10353675" cy="4465022"/>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topLeftCell="D1" zoomScaleNormal="100" workbookViewId="0">
      <pane ySplit="1" topLeftCell="A11" activePane="bottomLeft" state="frozen"/>
      <selection activeCell="E2" sqref="A2:F1048576"/>
      <selection pane="bottomLeft" activeCell="I16" sqref="I16"/>
    </sheetView>
  </sheetViews>
  <sheetFormatPr defaultRowHeight="15" x14ac:dyDescent="0.25"/>
  <cols>
    <col min="1" max="1" width="3" style="14" bestFit="1" customWidth="1"/>
    <col min="2" max="3" width="10.7109375" style="14" customWidth="1"/>
    <col min="4" max="4" width="12.5703125" style="14" bestFit="1" customWidth="1"/>
    <col min="5" max="5" width="10.7109375" style="14" bestFit="1" customWidth="1"/>
    <col min="6" max="6" width="17" style="14" bestFit="1" customWidth="1"/>
    <col min="7" max="7" width="14" style="14" bestFit="1" customWidth="1"/>
    <col min="8" max="8" width="20.7109375" style="3" customWidth="1"/>
    <col min="9" max="10" width="60.7109375" style="14" customWidth="1"/>
    <col min="11" max="11" width="10.7109375" style="15" customWidth="1"/>
    <col min="12" max="12" width="19.42578125" style="14" customWidth="1"/>
    <col min="13" max="13" width="50.7109375" style="3" customWidth="1"/>
    <col min="14" max="14" width="60.7109375" style="14" customWidth="1"/>
    <col min="15" max="16384" width="9.140625" style="14"/>
  </cols>
  <sheetData>
    <row r="1" spans="1:14"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row>
    <row r="2" spans="1:14" ht="60" x14ac:dyDescent="0.25">
      <c r="A2" s="7">
        <f>ROW() - 1</f>
        <v>1</v>
      </c>
      <c r="B2" s="8">
        <v>46315</v>
      </c>
      <c r="C2" s="8" t="s">
        <v>14</v>
      </c>
      <c r="D2" s="9" t="s">
        <v>15</v>
      </c>
      <c r="E2" s="9" t="s">
        <v>16</v>
      </c>
      <c r="F2" s="9" t="s">
        <v>17</v>
      </c>
      <c r="G2" s="9" t="s">
        <v>18</v>
      </c>
      <c r="H2" s="9" t="s">
        <v>19</v>
      </c>
      <c r="I2" s="9" t="s">
        <v>20</v>
      </c>
      <c r="J2" s="9" t="s">
        <v>21</v>
      </c>
      <c r="K2" s="12">
        <v>46318</v>
      </c>
      <c r="L2" s="9" t="s">
        <v>22</v>
      </c>
      <c r="M2" s="10" t="s">
        <v>23</v>
      </c>
      <c r="N2" s="9" t="s">
        <v>24</v>
      </c>
    </row>
    <row r="3" spans="1:14" ht="60" x14ac:dyDescent="0.25">
      <c r="A3" s="7">
        <f t="shared" ref="A3:A45" si="0">ROW() - 1</f>
        <v>2</v>
      </c>
      <c r="B3" s="8">
        <v>46315</v>
      </c>
      <c r="C3" s="8" t="s">
        <v>14</v>
      </c>
      <c r="D3" s="9" t="s">
        <v>25</v>
      </c>
      <c r="E3" s="9" t="s">
        <v>16</v>
      </c>
      <c r="F3" s="9" t="s">
        <v>26</v>
      </c>
      <c r="G3" s="9" t="s">
        <v>27</v>
      </c>
      <c r="H3" s="9" t="s">
        <v>28</v>
      </c>
      <c r="I3" s="9" t="s">
        <v>29</v>
      </c>
      <c r="J3" s="9"/>
      <c r="K3" s="12"/>
      <c r="L3" s="9"/>
      <c r="M3" s="10"/>
      <c r="N3" s="9" t="s">
        <v>30</v>
      </c>
    </row>
    <row r="4" spans="1:14" ht="30" x14ac:dyDescent="0.25">
      <c r="A4" s="7">
        <f t="shared" si="0"/>
        <v>3</v>
      </c>
      <c r="B4" s="8">
        <v>46315</v>
      </c>
      <c r="C4" s="8" t="s">
        <v>14</v>
      </c>
      <c r="D4" s="9" t="s">
        <v>25</v>
      </c>
      <c r="E4" s="9" t="s">
        <v>16</v>
      </c>
      <c r="F4" s="9" t="s">
        <v>26</v>
      </c>
      <c r="G4" s="9" t="s">
        <v>31</v>
      </c>
      <c r="H4" s="9" t="s">
        <v>32</v>
      </c>
      <c r="I4" s="9" t="s">
        <v>33</v>
      </c>
      <c r="J4" s="9"/>
      <c r="K4" s="12"/>
      <c r="L4" s="9"/>
      <c r="M4" s="16"/>
      <c r="N4" s="9" t="s">
        <v>34</v>
      </c>
    </row>
    <row r="5" spans="1:14" s="2" customFormat="1" x14ac:dyDescent="0.25">
      <c r="A5" s="7">
        <f t="shared" si="0"/>
        <v>4</v>
      </c>
      <c r="B5" s="8">
        <v>46315</v>
      </c>
      <c r="C5" s="8" t="s">
        <v>14</v>
      </c>
      <c r="D5" s="9" t="s">
        <v>25</v>
      </c>
      <c r="E5" s="9" t="s">
        <v>16</v>
      </c>
      <c r="F5" s="9" t="s">
        <v>26</v>
      </c>
      <c r="G5" s="9" t="s">
        <v>35</v>
      </c>
      <c r="H5" s="9" t="s">
        <v>36</v>
      </c>
      <c r="I5" s="6" t="s">
        <v>37</v>
      </c>
      <c r="J5" s="9" t="s">
        <v>38</v>
      </c>
      <c r="K5" s="12"/>
      <c r="L5" s="9"/>
      <c r="M5" s="10"/>
      <c r="N5" s="9" t="s">
        <v>39</v>
      </c>
    </row>
    <row r="6" spans="1:14" s="2" customFormat="1" ht="90" x14ac:dyDescent="0.25">
      <c r="A6" s="7">
        <f t="shared" si="0"/>
        <v>5</v>
      </c>
      <c r="B6" s="8">
        <v>46315</v>
      </c>
      <c r="C6" s="8" t="s">
        <v>14</v>
      </c>
      <c r="D6" s="9" t="s">
        <v>15</v>
      </c>
      <c r="E6" s="9" t="s">
        <v>16</v>
      </c>
      <c r="F6" s="9" t="s">
        <v>26</v>
      </c>
      <c r="G6" s="9" t="s">
        <v>31</v>
      </c>
      <c r="H6" s="9" t="s">
        <v>40</v>
      </c>
      <c r="I6" s="6" t="s">
        <v>41</v>
      </c>
      <c r="J6" s="9" t="s">
        <v>42</v>
      </c>
      <c r="K6" s="12"/>
      <c r="L6" s="9"/>
      <c r="M6" s="10"/>
      <c r="N6" s="9" t="s">
        <v>43</v>
      </c>
    </row>
    <row r="7" spans="1:14" ht="75" x14ac:dyDescent="0.25">
      <c r="A7" s="7">
        <f t="shared" si="0"/>
        <v>6</v>
      </c>
      <c r="B7" s="8">
        <v>46315</v>
      </c>
      <c r="C7" s="8" t="s">
        <v>14</v>
      </c>
      <c r="D7" s="9" t="s">
        <v>25</v>
      </c>
      <c r="E7" s="9" t="s">
        <v>16</v>
      </c>
      <c r="F7" s="9" t="s">
        <v>26</v>
      </c>
      <c r="G7" s="6" t="s">
        <v>44</v>
      </c>
      <c r="H7" s="9" t="s">
        <v>45</v>
      </c>
      <c r="I7" s="6" t="s">
        <v>46</v>
      </c>
      <c r="J7" s="6"/>
      <c r="K7" s="12"/>
      <c r="L7" s="9"/>
      <c r="M7" s="10"/>
      <c r="N7" s="6" t="s">
        <v>47</v>
      </c>
    </row>
    <row r="8" spans="1:14" ht="30" x14ac:dyDescent="0.25">
      <c r="A8" s="7">
        <f t="shared" si="0"/>
        <v>7</v>
      </c>
      <c r="B8" s="8">
        <v>46315</v>
      </c>
      <c r="C8" s="8" t="s">
        <v>14</v>
      </c>
      <c r="D8" s="9" t="s">
        <v>25</v>
      </c>
      <c r="E8" s="9" t="s">
        <v>16</v>
      </c>
      <c r="F8" s="9" t="s">
        <v>26</v>
      </c>
      <c r="G8" s="6" t="s">
        <v>48</v>
      </c>
      <c r="H8" s="6" t="s">
        <v>49</v>
      </c>
      <c r="I8" s="6" t="s">
        <v>50</v>
      </c>
      <c r="J8" s="9" t="s">
        <v>51</v>
      </c>
      <c r="K8" s="12"/>
      <c r="L8" s="9"/>
      <c r="M8" s="10"/>
      <c r="N8" s="6" t="s">
        <v>52</v>
      </c>
    </row>
    <row r="9" spans="1:14" ht="210" x14ac:dyDescent="0.25">
      <c r="A9" s="7">
        <f t="shared" si="0"/>
        <v>8</v>
      </c>
      <c r="B9" s="8">
        <v>46315</v>
      </c>
      <c r="C9" s="8" t="s">
        <v>14</v>
      </c>
      <c r="D9" s="9" t="s">
        <v>15</v>
      </c>
      <c r="E9" s="9" t="s">
        <v>16</v>
      </c>
      <c r="F9" s="9" t="s">
        <v>26</v>
      </c>
      <c r="G9" s="6" t="s">
        <v>35</v>
      </c>
      <c r="H9" s="6" t="s">
        <v>53</v>
      </c>
      <c r="I9" s="6" t="s">
        <v>54</v>
      </c>
      <c r="J9" s="6" t="s">
        <v>55</v>
      </c>
      <c r="K9" s="12"/>
      <c r="L9" s="9"/>
      <c r="M9" s="10"/>
      <c r="N9" s="6" t="s">
        <v>107</v>
      </c>
    </row>
    <row r="10" spans="1:14" ht="45" x14ac:dyDescent="0.25">
      <c r="A10" s="7">
        <f t="shared" si="0"/>
        <v>9</v>
      </c>
      <c r="B10" s="8">
        <v>46315</v>
      </c>
      <c r="C10" s="8" t="s">
        <v>14</v>
      </c>
      <c r="D10" s="9" t="s">
        <v>15</v>
      </c>
      <c r="E10" s="9" t="s">
        <v>56</v>
      </c>
      <c r="F10" s="9" t="s">
        <v>26</v>
      </c>
      <c r="G10" s="6" t="s">
        <v>57</v>
      </c>
      <c r="H10" s="9" t="s">
        <v>58</v>
      </c>
      <c r="I10" s="6" t="s">
        <v>59</v>
      </c>
      <c r="J10" s="6"/>
      <c r="K10" s="13"/>
      <c r="L10" s="9"/>
      <c r="M10" s="16"/>
      <c r="N10" s="6" t="s">
        <v>60</v>
      </c>
    </row>
    <row r="11" spans="1:14" ht="75" x14ac:dyDescent="0.25">
      <c r="A11" s="7">
        <f t="shared" si="0"/>
        <v>10</v>
      </c>
      <c r="B11" s="8">
        <v>46316</v>
      </c>
      <c r="C11" s="8" t="s">
        <v>14</v>
      </c>
      <c r="D11" s="9" t="s">
        <v>15</v>
      </c>
      <c r="E11" s="9" t="s">
        <v>16</v>
      </c>
      <c r="F11" s="9" t="s">
        <v>26</v>
      </c>
      <c r="G11" s="9" t="s">
        <v>61</v>
      </c>
      <c r="H11" s="9" t="s">
        <v>62</v>
      </c>
      <c r="I11" s="6" t="s">
        <v>63</v>
      </c>
      <c r="J11" s="9" t="s">
        <v>64</v>
      </c>
      <c r="K11" s="12"/>
      <c r="L11" s="9"/>
      <c r="M11" s="16"/>
      <c r="N11" s="9" t="s">
        <v>65</v>
      </c>
    </row>
    <row r="12" spans="1:14" ht="75" x14ac:dyDescent="0.25">
      <c r="A12" s="7">
        <f t="shared" si="0"/>
        <v>11</v>
      </c>
      <c r="B12" s="8">
        <v>46316</v>
      </c>
      <c r="C12" s="8" t="s">
        <v>14</v>
      </c>
      <c r="D12" s="9" t="s">
        <v>15</v>
      </c>
      <c r="E12" s="9" t="s">
        <v>16</v>
      </c>
      <c r="F12" s="22" t="s">
        <v>66</v>
      </c>
      <c r="G12" s="9" t="s">
        <v>57</v>
      </c>
      <c r="H12" s="9" t="s">
        <v>67</v>
      </c>
      <c r="I12" s="6" t="s">
        <v>68</v>
      </c>
      <c r="J12" s="10" t="s">
        <v>69</v>
      </c>
      <c r="K12" s="8"/>
      <c r="L12" s="9"/>
      <c r="M12" s="16"/>
      <c r="N12" s="11" t="s">
        <v>70</v>
      </c>
    </row>
    <row r="13" spans="1:14" ht="45" x14ac:dyDescent="0.25">
      <c r="A13" s="7">
        <f t="shared" si="0"/>
        <v>12</v>
      </c>
      <c r="B13" s="8">
        <v>46316</v>
      </c>
      <c r="C13" s="8" t="s">
        <v>14</v>
      </c>
      <c r="D13" s="9" t="s">
        <v>15</v>
      </c>
      <c r="E13" s="9" t="s">
        <v>16</v>
      </c>
      <c r="F13" s="9" t="s">
        <v>26</v>
      </c>
      <c r="G13" s="9" t="s">
        <v>71</v>
      </c>
      <c r="H13" s="9" t="s">
        <v>72</v>
      </c>
      <c r="I13" s="6" t="s">
        <v>73</v>
      </c>
      <c r="J13" s="10" t="s">
        <v>74</v>
      </c>
      <c r="K13" s="8"/>
      <c r="L13" s="9"/>
      <c r="M13" s="16"/>
      <c r="N13" s="11" t="s">
        <v>75</v>
      </c>
    </row>
    <row r="14" spans="1:14" ht="60" x14ac:dyDescent="0.25">
      <c r="A14" s="7">
        <f t="shared" si="0"/>
        <v>13</v>
      </c>
      <c r="B14" s="8">
        <v>46316</v>
      </c>
      <c r="C14" s="8" t="s">
        <v>14</v>
      </c>
      <c r="D14" s="9" t="s">
        <v>15</v>
      </c>
      <c r="E14" s="9" t="s">
        <v>16</v>
      </c>
      <c r="F14" s="9" t="s">
        <v>26</v>
      </c>
      <c r="G14" s="11" t="s">
        <v>76</v>
      </c>
      <c r="H14" s="10" t="s">
        <v>77</v>
      </c>
      <c r="I14" s="10" t="s">
        <v>78</v>
      </c>
      <c r="J14" s="10" t="s">
        <v>79</v>
      </c>
      <c r="K14" s="8"/>
      <c r="L14" s="9"/>
      <c r="M14" s="10"/>
      <c r="N14" s="11" t="s">
        <v>80</v>
      </c>
    </row>
    <row r="15" spans="1:14" ht="45" x14ac:dyDescent="0.25">
      <c r="A15" s="7">
        <f t="shared" si="0"/>
        <v>14</v>
      </c>
      <c r="B15" s="8">
        <v>46316</v>
      </c>
      <c r="C15" s="8" t="s">
        <v>14</v>
      </c>
      <c r="D15" s="9" t="s">
        <v>15</v>
      </c>
      <c r="E15" s="9" t="s">
        <v>16</v>
      </c>
      <c r="F15" s="9" t="s">
        <v>26</v>
      </c>
      <c r="G15" s="10" t="s">
        <v>81</v>
      </c>
      <c r="H15" s="10" t="s">
        <v>82</v>
      </c>
      <c r="I15" s="10" t="s">
        <v>83</v>
      </c>
      <c r="J15" s="11"/>
      <c r="K15" s="8"/>
      <c r="L15" s="9"/>
      <c r="M15" s="10"/>
      <c r="N15" s="11" t="s">
        <v>24</v>
      </c>
    </row>
    <row r="16" spans="1:14" ht="30" x14ac:dyDescent="0.25">
      <c r="A16" s="7">
        <f t="shared" si="0"/>
        <v>15</v>
      </c>
      <c r="B16" s="8">
        <v>46318</v>
      </c>
      <c r="C16" s="8" t="s">
        <v>14</v>
      </c>
      <c r="D16" s="9" t="s">
        <v>15</v>
      </c>
      <c r="E16" s="9" t="s">
        <v>16</v>
      </c>
      <c r="F16" s="9" t="s">
        <v>26</v>
      </c>
      <c r="G16" s="11" t="s">
        <v>84</v>
      </c>
      <c r="H16" s="10" t="s">
        <v>85</v>
      </c>
      <c r="I16" s="10" t="s">
        <v>86</v>
      </c>
      <c r="J16" s="11" t="s">
        <v>87</v>
      </c>
      <c r="K16" s="8"/>
      <c r="L16" s="9"/>
      <c r="M16" s="10"/>
      <c r="N16" s="11" t="s">
        <v>88</v>
      </c>
    </row>
    <row r="17" spans="1:14" ht="45" x14ac:dyDescent="0.25">
      <c r="A17" s="7">
        <f t="shared" si="0"/>
        <v>16</v>
      </c>
      <c r="B17" s="8">
        <v>46318</v>
      </c>
      <c r="C17" s="8" t="s">
        <v>14</v>
      </c>
      <c r="D17" s="9" t="s">
        <v>25</v>
      </c>
      <c r="E17" s="9" t="s">
        <v>89</v>
      </c>
      <c r="F17" s="9" t="s">
        <v>26</v>
      </c>
      <c r="G17" s="9" t="s">
        <v>90</v>
      </c>
      <c r="H17" s="9" t="s">
        <v>91</v>
      </c>
      <c r="I17" s="6" t="s">
        <v>92</v>
      </c>
      <c r="J17" s="9"/>
      <c r="K17" s="8"/>
      <c r="L17" s="9"/>
      <c r="M17" s="10"/>
      <c r="N17" s="9" t="s">
        <v>93</v>
      </c>
    </row>
    <row r="18" spans="1:14" x14ac:dyDescent="0.25">
      <c r="A18" s="7">
        <f t="shared" si="0"/>
        <v>17</v>
      </c>
      <c r="B18" s="8"/>
      <c r="C18" s="8"/>
      <c r="D18" s="9"/>
      <c r="E18" s="9"/>
      <c r="F18" s="9"/>
      <c r="G18" s="11"/>
      <c r="H18" s="10"/>
      <c r="I18" s="11"/>
      <c r="J18" s="11"/>
      <c r="K18" s="8"/>
      <c r="L18" s="9"/>
      <c r="M18" s="10"/>
      <c r="N18" s="11"/>
    </row>
    <row r="19" spans="1:14" x14ac:dyDescent="0.25">
      <c r="A19" s="7">
        <f t="shared" si="0"/>
        <v>18</v>
      </c>
      <c r="B19" s="8"/>
      <c r="C19" s="8"/>
      <c r="D19" s="9"/>
      <c r="E19" s="9"/>
      <c r="F19" s="9"/>
      <c r="G19" s="11"/>
      <c r="H19" s="10"/>
      <c r="I19" s="10"/>
      <c r="J19" s="11"/>
      <c r="K19" s="8"/>
      <c r="L19" s="9"/>
      <c r="M19" s="10"/>
      <c r="N19" s="11"/>
    </row>
    <row r="20" spans="1:14" x14ac:dyDescent="0.25">
      <c r="A20" s="7">
        <f t="shared" si="0"/>
        <v>19</v>
      </c>
      <c r="B20" s="8"/>
      <c r="C20" s="8"/>
      <c r="D20" s="9"/>
      <c r="E20" s="9"/>
      <c r="F20" s="9"/>
      <c r="G20" s="11"/>
      <c r="H20" s="10"/>
      <c r="I20" s="11"/>
      <c r="J20" s="11"/>
      <c r="K20" s="8"/>
      <c r="L20" s="9"/>
      <c r="M20" s="10"/>
      <c r="N20" s="11"/>
    </row>
    <row r="21" spans="1:14" x14ac:dyDescent="0.25">
      <c r="A21" s="7">
        <f t="shared" si="0"/>
        <v>20</v>
      </c>
      <c r="B21" s="8"/>
      <c r="C21" s="8"/>
      <c r="D21" s="9"/>
      <c r="E21" s="9"/>
      <c r="F21" s="9"/>
      <c r="G21" s="11"/>
      <c r="H21" s="10"/>
      <c r="I21" s="10"/>
      <c r="J21" s="10"/>
      <c r="K21" s="8"/>
      <c r="L21" s="9"/>
      <c r="M21" s="10"/>
      <c r="N21" s="10"/>
    </row>
    <row r="22" spans="1:14" x14ac:dyDescent="0.25">
      <c r="A22" s="7">
        <f t="shared" si="0"/>
        <v>21</v>
      </c>
      <c r="B22" s="8"/>
      <c r="C22" s="8"/>
      <c r="D22" s="9"/>
      <c r="E22" s="9"/>
      <c r="F22" s="9"/>
      <c r="G22" s="11"/>
      <c r="H22" s="10"/>
      <c r="I22" s="10"/>
      <c r="J22" s="11"/>
      <c r="K22" s="8"/>
      <c r="L22" s="9"/>
      <c r="M22" s="10"/>
      <c r="N22" s="11"/>
    </row>
    <row r="23" spans="1:14" x14ac:dyDescent="0.25">
      <c r="A23" s="7">
        <f t="shared" si="0"/>
        <v>22</v>
      </c>
      <c r="B23" s="8"/>
      <c r="C23" s="8"/>
      <c r="D23" s="9"/>
      <c r="E23" s="9"/>
      <c r="F23" s="9"/>
      <c r="G23" s="11"/>
      <c r="H23" s="10"/>
      <c r="I23" s="10"/>
      <c r="J23" s="10"/>
      <c r="K23" s="8"/>
      <c r="L23" s="9"/>
      <c r="M23" s="10"/>
      <c r="N23" s="10"/>
    </row>
    <row r="24" spans="1:14" x14ac:dyDescent="0.25">
      <c r="A24" s="7">
        <f t="shared" si="0"/>
        <v>23</v>
      </c>
      <c r="B24" s="8"/>
      <c r="C24" s="8"/>
      <c r="D24" s="9"/>
      <c r="E24" s="9"/>
      <c r="F24" s="9"/>
      <c r="G24" s="11"/>
      <c r="H24" s="10"/>
      <c r="I24" s="10"/>
      <c r="J24" s="10"/>
      <c r="K24" s="8"/>
      <c r="L24" s="9"/>
      <c r="M24" s="10"/>
      <c r="N24" s="10"/>
    </row>
    <row r="25" spans="1:14" x14ac:dyDescent="0.25">
      <c r="A25" s="7">
        <f t="shared" si="0"/>
        <v>24</v>
      </c>
      <c r="B25" s="8"/>
      <c r="C25" s="8"/>
      <c r="D25" s="9"/>
      <c r="E25" s="9"/>
      <c r="F25" s="9"/>
      <c r="G25" s="11"/>
      <c r="H25" s="10"/>
      <c r="I25" s="10"/>
      <c r="J25" s="11"/>
      <c r="K25" s="8"/>
      <c r="L25" s="9"/>
      <c r="M25" s="10"/>
      <c r="N25" s="11"/>
    </row>
    <row r="26" spans="1:14" x14ac:dyDescent="0.25">
      <c r="A26" s="7">
        <f t="shared" si="0"/>
        <v>25</v>
      </c>
      <c r="B26" s="8"/>
      <c r="C26" s="8"/>
      <c r="D26" s="9"/>
      <c r="E26" s="9"/>
      <c r="F26" s="9"/>
      <c r="G26" s="11"/>
      <c r="H26" s="10"/>
      <c r="I26" s="11"/>
      <c r="J26" s="11"/>
      <c r="K26" s="8"/>
      <c r="L26" s="9"/>
      <c r="M26" s="10"/>
      <c r="N26" s="11"/>
    </row>
    <row r="27" spans="1:14" x14ac:dyDescent="0.25">
      <c r="A27" s="7">
        <f t="shared" si="0"/>
        <v>26</v>
      </c>
      <c r="B27" s="11"/>
      <c r="C27" s="8"/>
      <c r="D27" s="9"/>
      <c r="E27" s="9"/>
      <c r="F27" s="9"/>
      <c r="G27" s="11"/>
      <c r="H27" s="10"/>
      <c r="I27" s="11"/>
      <c r="J27" s="11"/>
      <c r="K27" s="8"/>
      <c r="L27" s="9"/>
      <c r="M27" s="10"/>
      <c r="N27" s="11"/>
    </row>
    <row r="28" spans="1:14" x14ac:dyDescent="0.25">
      <c r="A28" s="7">
        <f t="shared" si="0"/>
        <v>27</v>
      </c>
      <c r="B28" s="11"/>
      <c r="C28" s="8"/>
      <c r="D28" s="9"/>
      <c r="E28" s="9"/>
      <c r="F28" s="9"/>
      <c r="G28" s="11"/>
      <c r="H28" s="10"/>
      <c r="I28" s="11"/>
      <c r="J28" s="11"/>
      <c r="K28" s="8"/>
      <c r="L28" s="9"/>
      <c r="M28" s="10"/>
      <c r="N28" s="11"/>
    </row>
    <row r="29" spans="1:14" x14ac:dyDescent="0.25">
      <c r="A29" s="7">
        <f t="shared" si="0"/>
        <v>28</v>
      </c>
      <c r="B29" s="11"/>
      <c r="C29" s="8"/>
      <c r="D29" s="9"/>
      <c r="E29" s="9"/>
      <c r="F29" s="9"/>
      <c r="G29" s="11"/>
      <c r="H29" s="10"/>
      <c r="I29" s="11"/>
      <c r="J29" s="11"/>
      <c r="K29" s="8"/>
      <c r="L29" s="9"/>
      <c r="M29" s="10"/>
      <c r="N29" s="11"/>
    </row>
    <row r="30" spans="1:14" x14ac:dyDescent="0.25">
      <c r="A30" s="7">
        <f t="shared" si="0"/>
        <v>29</v>
      </c>
      <c r="B30" s="11"/>
      <c r="C30" s="8"/>
      <c r="D30" s="9"/>
      <c r="E30" s="9"/>
      <c r="F30" s="9"/>
      <c r="G30" s="11"/>
      <c r="H30" s="10"/>
      <c r="I30" s="11"/>
      <c r="J30" s="11"/>
      <c r="K30" s="8"/>
      <c r="L30" s="9"/>
      <c r="M30" s="10"/>
      <c r="N30" s="11"/>
    </row>
    <row r="31" spans="1:14" x14ac:dyDescent="0.25">
      <c r="A31" s="7">
        <f t="shared" si="0"/>
        <v>30</v>
      </c>
      <c r="B31" s="11"/>
      <c r="C31" s="8"/>
      <c r="D31" s="9"/>
      <c r="E31" s="9"/>
      <c r="F31" s="9"/>
      <c r="G31" s="11"/>
      <c r="H31" s="10"/>
      <c r="I31" s="11"/>
      <c r="J31" s="11"/>
      <c r="K31" s="8"/>
      <c r="L31" s="9"/>
      <c r="M31" s="10"/>
      <c r="N31" s="11"/>
    </row>
    <row r="32" spans="1:14" x14ac:dyDescent="0.25">
      <c r="A32" s="7">
        <f t="shared" si="0"/>
        <v>31</v>
      </c>
      <c r="B32" s="11"/>
      <c r="C32" s="8"/>
      <c r="D32" s="9"/>
      <c r="E32" s="9"/>
      <c r="F32" s="9"/>
      <c r="G32" s="11"/>
      <c r="H32" s="10"/>
      <c r="I32" s="11"/>
      <c r="J32" s="11"/>
      <c r="K32" s="8"/>
      <c r="L32" s="9"/>
      <c r="M32" s="10"/>
      <c r="N32" s="11"/>
    </row>
    <row r="33" spans="1:14" x14ac:dyDescent="0.25">
      <c r="A33" s="7">
        <f t="shared" si="0"/>
        <v>32</v>
      </c>
      <c r="B33" s="11"/>
      <c r="C33" s="8"/>
      <c r="D33" s="9"/>
      <c r="E33" s="9"/>
      <c r="F33" s="9"/>
      <c r="G33" s="11"/>
      <c r="H33" s="10"/>
      <c r="I33" s="11"/>
      <c r="J33" s="11"/>
      <c r="K33" s="8"/>
      <c r="L33" s="9"/>
      <c r="M33" s="10"/>
      <c r="N33" s="11"/>
    </row>
    <row r="34" spans="1:14" x14ac:dyDescent="0.25">
      <c r="A34" s="7">
        <f t="shared" si="0"/>
        <v>33</v>
      </c>
      <c r="B34" s="11"/>
      <c r="C34" s="8"/>
      <c r="D34" s="9"/>
      <c r="E34" s="9"/>
      <c r="F34" s="9"/>
      <c r="G34" s="11"/>
      <c r="H34" s="10"/>
      <c r="I34" s="11"/>
      <c r="J34" s="11"/>
      <c r="K34" s="8"/>
      <c r="L34" s="9"/>
      <c r="M34" s="10"/>
      <c r="N34" s="11"/>
    </row>
    <row r="35" spans="1:14" x14ac:dyDescent="0.25">
      <c r="A35" s="7">
        <f t="shared" si="0"/>
        <v>34</v>
      </c>
      <c r="B35" s="11"/>
      <c r="C35" s="8"/>
      <c r="D35" s="9"/>
      <c r="E35" s="9"/>
      <c r="F35" s="9"/>
      <c r="G35" s="11"/>
      <c r="H35" s="10"/>
      <c r="I35" s="11"/>
      <c r="J35" s="11"/>
      <c r="K35" s="8"/>
      <c r="L35" s="9"/>
      <c r="M35" s="10"/>
      <c r="N35" s="11"/>
    </row>
    <row r="36" spans="1:14" x14ac:dyDescent="0.25">
      <c r="A36" s="7">
        <f t="shared" si="0"/>
        <v>35</v>
      </c>
      <c r="B36" s="11"/>
      <c r="C36" s="8"/>
      <c r="D36" s="9"/>
      <c r="E36" s="9"/>
      <c r="F36" s="9"/>
      <c r="G36" s="11"/>
      <c r="H36" s="10"/>
      <c r="I36" s="11"/>
      <c r="J36" s="11"/>
      <c r="K36" s="8"/>
      <c r="L36" s="9"/>
      <c r="M36" s="10"/>
      <c r="N36" s="11"/>
    </row>
    <row r="37" spans="1:14" x14ac:dyDescent="0.25">
      <c r="A37" s="7">
        <f t="shared" si="0"/>
        <v>36</v>
      </c>
      <c r="B37" s="11"/>
      <c r="C37" s="8"/>
      <c r="D37" s="9"/>
      <c r="E37" s="9"/>
      <c r="F37" s="9"/>
      <c r="G37" s="11"/>
      <c r="H37" s="10"/>
      <c r="I37" s="11"/>
      <c r="J37" s="11"/>
      <c r="K37" s="8"/>
      <c r="L37" s="9"/>
      <c r="M37" s="10"/>
      <c r="N37" s="11"/>
    </row>
    <row r="38" spans="1:14" x14ac:dyDescent="0.25">
      <c r="A38" s="7">
        <f t="shared" si="0"/>
        <v>37</v>
      </c>
      <c r="B38" s="11"/>
      <c r="C38" s="8"/>
      <c r="D38" s="9"/>
      <c r="E38" s="9"/>
      <c r="F38" s="9"/>
      <c r="G38" s="11"/>
      <c r="H38" s="10"/>
      <c r="I38" s="11"/>
      <c r="J38" s="11"/>
      <c r="K38" s="8"/>
      <c r="L38" s="9"/>
      <c r="M38" s="10"/>
      <c r="N38" s="11"/>
    </row>
    <row r="39" spans="1:14" x14ac:dyDescent="0.25">
      <c r="A39" s="7">
        <f t="shared" si="0"/>
        <v>38</v>
      </c>
      <c r="B39" s="11"/>
      <c r="C39" s="8"/>
      <c r="D39" s="9"/>
      <c r="E39" s="9"/>
      <c r="F39" s="9"/>
      <c r="G39" s="11"/>
      <c r="H39" s="10"/>
      <c r="I39" s="11"/>
      <c r="J39" s="11"/>
      <c r="K39" s="8"/>
      <c r="L39" s="9"/>
      <c r="M39" s="10"/>
      <c r="N39" s="11"/>
    </row>
    <row r="40" spans="1:14" x14ac:dyDescent="0.25">
      <c r="A40" s="7">
        <f t="shared" si="0"/>
        <v>39</v>
      </c>
      <c r="B40" s="11"/>
      <c r="C40" s="8"/>
      <c r="D40" s="9"/>
      <c r="E40" s="9"/>
      <c r="F40" s="9"/>
      <c r="G40" s="11"/>
      <c r="H40" s="10"/>
      <c r="I40" s="11"/>
      <c r="J40" s="11"/>
      <c r="K40" s="8"/>
      <c r="L40" s="9"/>
      <c r="M40" s="10"/>
      <c r="N40" s="11"/>
    </row>
    <row r="41" spans="1:14" x14ac:dyDescent="0.25">
      <c r="A41" s="7">
        <f t="shared" si="0"/>
        <v>40</v>
      </c>
      <c r="B41" s="11"/>
      <c r="C41" s="8"/>
      <c r="D41" s="9"/>
      <c r="E41" s="9"/>
      <c r="F41" s="9"/>
      <c r="G41" s="11"/>
      <c r="H41" s="10"/>
      <c r="I41" s="11"/>
      <c r="J41" s="11"/>
      <c r="K41" s="8"/>
      <c r="L41" s="9"/>
      <c r="M41" s="10"/>
      <c r="N41" s="11"/>
    </row>
    <row r="42" spans="1:14" x14ac:dyDescent="0.25">
      <c r="A42" s="7">
        <f t="shared" si="0"/>
        <v>41</v>
      </c>
      <c r="B42" s="11"/>
      <c r="C42" s="8"/>
      <c r="D42" s="9"/>
      <c r="E42" s="9"/>
      <c r="F42" s="9"/>
      <c r="G42" s="11"/>
      <c r="H42" s="10"/>
      <c r="I42" s="11"/>
      <c r="J42" s="11"/>
      <c r="K42" s="8"/>
      <c r="L42" s="9"/>
      <c r="M42" s="10"/>
      <c r="N42" s="11"/>
    </row>
    <row r="43" spans="1:14" x14ac:dyDescent="0.25">
      <c r="A43" s="7">
        <f t="shared" si="0"/>
        <v>42</v>
      </c>
      <c r="B43" s="11"/>
      <c r="C43" s="8"/>
      <c r="D43" s="9"/>
      <c r="E43" s="9"/>
      <c r="F43" s="9"/>
      <c r="G43" s="11"/>
      <c r="H43" s="10"/>
      <c r="I43" s="11"/>
      <c r="J43" s="11"/>
      <c r="K43" s="8"/>
      <c r="L43" s="9"/>
      <c r="M43" s="10"/>
      <c r="N43" s="11"/>
    </row>
    <row r="44" spans="1:14" x14ac:dyDescent="0.25">
      <c r="A44" s="7">
        <f t="shared" si="0"/>
        <v>43</v>
      </c>
      <c r="B44" s="11"/>
      <c r="C44" s="8"/>
      <c r="D44" s="9"/>
      <c r="E44" s="9"/>
      <c r="F44" s="9"/>
      <c r="G44" s="11"/>
      <c r="H44" s="10"/>
      <c r="I44" s="11"/>
      <c r="J44" s="11"/>
      <c r="K44" s="8"/>
      <c r="L44" s="9"/>
      <c r="M44" s="10"/>
      <c r="N44" s="11"/>
    </row>
    <row r="45" spans="1:14" x14ac:dyDescent="0.25">
      <c r="A45" s="7">
        <f t="shared" si="0"/>
        <v>44</v>
      </c>
      <c r="B45" s="11"/>
      <c r="C45" s="8"/>
      <c r="D45" s="9"/>
      <c r="E45" s="9"/>
      <c r="F45" s="9"/>
      <c r="G45" s="11"/>
      <c r="H45" s="10"/>
      <c r="I45" s="11"/>
      <c r="J45" s="11"/>
      <c r="K45" s="8"/>
      <c r="L45" s="9"/>
      <c r="M45" s="10"/>
      <c r="N45" s="11"/>
    </row>
    <row r="46" spans="1:14" x14ac:dyDescent="0.25">
      <c r="A46" s="18"/>
      <c r="B46" s="18"/>
      <c r="C46" s="18"/>
      <c r="D46" s="18"/>
      <c r="E46" s="18"/>
      <c r="F46" s="18"/>
      <c r="G46" s="18"/>
      <c r="H46" s="19"/>
      <c r="I46" s="18"/>
      <c r="J46" s="18"/>
      <c r="K46" s="20"/>
      <c r="L46" s="18"/>
      <c r="M46" s="19"/>
      <c r="N46" s="18"/>
    </row>
    <row r="47" spans="1:14" x14ac:dyDescent="0.25">
      <c r="A47" s="18"/>
      <c r="B47" s="18"/>
      <c r="C47" s="18"/>
      <c r="D47" s="18"/>
      <c r="E47" s="18"/>
      <c r="F47" s="18"/>
      <c r="G47" s="18"/>
      <c r="H47" s="19"/>
      <c r="I47" s="18"/>
      <c r="J47" s="18"/>
      <c r="K47" s="20"/>
      <c r="L47" s="18"/>
      <c r="M47" s="19"/>
      <c r="N47" s="18"/>
    </row>
    <row r="48" spans="1:14" x14ac:dyDescent="0.25">
      <c r="A48" s="18"/>
      <c r="B48" s="18"/>
      <c r="C48" s="18"/>
      <c r="D48" s="18"/>
      <c r="E48" s="18"/>
      <c r="F48" s="18"/>
      <c r="G48" s="18"/>
      <c r="H48" s="19"/>
      <c r="I48" s="18"/>
      <c r="J48" s="18"/>
      <c r="K48" s="20"/>
      <c r="L48" s="18"/>
      <c r="M48" s="19"/>
      <c r="N48" s="18"/>
    </row>
    <row r="49" spans="1:14" x14ac:dyDescent="0.25">
      <c r="A49" s="18"/>
      <c r="B49" s="18"/>
      <c r="C49" s="18"/>
      <c r="D49" s="18"/>
      <c r="E49" s="18"/>
      <c r="F49" s="18"/>
      <c r="G49" s="18"/>
      <c r="H49" s="19"/>
      <c r="I49" s="18"/>
      <c r="J49" s="18"/>
      <c r="K49" s="20"/>
      <c r="L49" s="18"/>
      <c r="M49" s="19"/>
      <c r="N49" s="18"/>
    </row>
    <row r="50" spans="1:14" x14ac:dyDescent="0.25">
      <c r="A50" s="18"/>
      <c r="B50" s="18"/>
      <c r="C50" s="18"/>
      <c r="D50" s="18"/>
      <c r="E50" s="18"/>
      <c r="F50" s="18"/>
      <c r="G50" s="18"/>
      <c r="H50" s="19"/>
      <c r="I50" s="18"/>
      <c r="J50" s="18"/>
      <c r="K50" s="20"/>
      <c r="L50" s="18"/>
      <c r="M50" s="19"/>
      <c r="N50" s="18"/>
    </row>
    <row r="51" spans="1:14" x14ac:dyDescent="0.25">
      <c r="A51" s="18"/>
      <c r="B51" s="18"/>
      <c r="C51" s="18"/>
      <c r="D51" s="18"/>
      <c r="E51" s="18"/>
      <c r="F51" s="18"/>
      <c r="G51" s="18"/>
      <c r="H51" s="19"/>
      <c r="I51" s="18"/>
      <c r="J51" s="18"/>
      <c r="K51" s="20"/>
      <c r="L51" s="18"/>
      <c r="M51" s="19"/>
      <c r="N51" s="18"/>
    </row>
  </sheetData>
  <conditionalFormatting sqref="F1:F11 F13:F1048576">
    <cfRule type="containsText" dxfId="7" priority="4" operator="containsText" text="Resolved">
      <formula>NOT(ISERROR(SEARCH("Resolved",F1)))</formula>
    </cfRule>
  </conditionalFormatting>
  <conditionalFormatting sqref="F2:F11 F13: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45"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Sheet2!$C$2:$C$6</xm:f>
          </x14:formula1>
          <xm:sqref>F2:F11 F13:F1048576</xm:sqref>
        </x14:dataValidation>
        <x14:dataValidation type="list" allowBlank="1" showInputMessage="1" showErrorMessage="1" xr:uid="{A20A9F25-0DE4-45B6-B5B3-B6F8EA25DBA6}">
          <x14:formula1>
            <xm:f>Sheet2!$A$1:$A$3</xm:f>
          </x14:formula1>
          <xm:sqref>L2:L45</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E5A4-8EBE-4696-9A65-D3FD233F7DC8}">
  <dimension ref="A1:B2"/>
  <sheetViews>
    <sheetView workbookViewId="0">
      <selection activeCell="K12" sqref="K12"/>
    </sheetView>
  </sheetViews>
  <sheetFormatPr defaultRowHeight="15" x14ac:dyDescent="0.25"/>
  <cols>
    <col min="1" max="1" width="24.85546875" customWidth="1"/>
  </cols>
  <sheetData>
    <row r="1" spans="1:2" x14ac:dyDescent="0.25">
      <c r="A1" t="s">
        <v>0</v>
      </c>
      <c r="B1" t="s">
        <v>94</v>
      </c>
    </row>
    <row r="2" spans="1:2" ht="30" x14ac:dyDescent="0.25">
      <c r="A2" s="21" t="s">
        <v>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x14ac:dyDescent="0.25"/>
  <cols>
    <col min="2" max="2" width="52.7109375" customWidth="1"/>
  </cols>
  <sheetData>
    <row r="1" spans="1:2" x14ac:dyDescent="0.25">
      <c r="A1" t="s">
        <v>96</v>
      </c>
      <c r="B1" s="17" t="s">
        <v>97</v>
      </c>
    </row>
    <row r="2" spans="1:2" x14ac:dyDescent="0.25">
      <c r="A2" t="s">
        <v>98</v>
      </c>
      <c r="B2" s="17" t="s">
        <v>99</v>
      </c>
    </row>
    <row r="3" spans="1:2" x14ac:dyDescent="0.25">
      <c r="A3" t="s">
        <v>100</v>
      </c>
      <c r="B3" s="17" t="s">
        <v>101</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102</v>
      </c>
      <c r="F1" t="s">
        <v>89</v>
      </c>
      <c r="H1" t="s">
        <v>15</v>
      </c>
    </row>
    <row r="2" spans="1:8" x14ac:dyDescent="0.25">
      <c r="A2" t="s">
        <v>22</v>
      </c>
      <c r="C2" t="s">
        <v>103</v>
      </c>
      <c r="F2" t="s">
        <v>56</v>
      </c>
      <c r="H2" t="s">
        <v>25</v>
      </c>
    </row>
    <row r="3" spans="1:8" x14ac:dyDescent="0.25">
      <c r="A3" t="s">
        <v>104</v>
      </c>
      <c r="C3" t="s">
        <v>17</v>
      </c>
      <c r="F3" t="s">
        <v>16</v>
      </c>
    </row>
    <row r="4" spans="1:8" x14ac:dyDescent="0.25">
      <c r="C4" t="s">
        <v>105</v>
      </c>
    </row>
    <row r="5" spans="1:8" x14ac:dyDescent="0.25">
      <c r="C5" t="s">
        <v>26</v>
      </c>
    </row>
    <row r="6" spans="1:8" x14ac:dyDescent="0.25">
      <c r="C6"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704EED5A-6E5F-40C5-9AEF-0B62B473C06D}">
  <ds:schemaRefs>
    <ds:schemaRef ds:uri="http://schemas.microsoft.com/office/2006/metadata/properties"/>
    <ds:schemaRef ds:uri="http://purl.org/dc/dcmitype/"/>
    <ds:schemaRef ds:uri="3d05c41d-42c7-4345-8236-8005f0c89855"/>
    <ds:schemaRef ds:uri="http://schemas.openxmlformats.org/package/2006/metadata/core-properties"/>
    <ds:schemaRef ds:uri="http://purl.org/dc/elements/1.1/"/>
    <ds:schemaRef ds:uri="http://schemas.microsoft.com/office/2006/documentManagement/types"/>
    <ds:schemaRef ds:uri="http://www.w3.org/XML/1998/namespace"/>
    <ds:schemaRef ds:uri="http://schemas.microsoft.com/office/infopath/2007/PartnerControls"/>
    <ds:schemaRef ds:uri="29065daa-3ce8-4783-94b0-fa366394ba5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Screenshots</vt:lpstr>
      <vt:lpstr>NG Links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Santiago Morales</cp:lastModifiedBy>
  <cp:revision/>
  <dcterms:created xsi:type="dcterms:W3CDTF">2025-10-01T18:45:47Z</dcterms:created>
  <dcterms:modified xsi:type="dcterms:W3CDTF">2026-10-26T23:30:57Z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