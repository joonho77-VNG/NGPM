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436" documentId="8_{32BC0B0E-3EE8-43AB-8119-D28931438715}" xr6:coauthVersionLast="47" xr6:coauthVersionMax="47" xr10:uidLastSave="{E8242431-BCC9-4840-9C47-6B6F98D3BAF7}"/>
  <bookViews>
    <workbookView xWindow="-120" yWindow="-120" windowWidth="29040" windowHeight="15720" xr2:uid="{7496AAB9-9610-4154-B91D-ED1C66077D08}"/>
  </bookViews>
  <sheets>
    <sheet name="DEFECTS" sheetId="1" r:id="rId1"/>
    <sheet name="SUMMARY" sheetId="8" r:id="rId2"/>
    <sheet name="Table Structure" sheetId="5" r:id="rId3"/>
    <sheet name="6" sheetId="4" r:id="rId4"/>
    <sheet name="11" sheetId="7" r:id="rId5"/>
    <sheet name="Sheet2" sheetId="3" state="hidden" r:id="rId6"/>
  </sheets>
  <definedNames>
    <definedName name="_xlnm._FilterDatabase" localSheetId="0" hidden="1">DEFECTS!$A$1:$N$51</definedName>
  </definedNames>
  <calcPr calcId="191028"/>
  <pivotCaches>
    <pivotCache cacheId="19"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<sst xmlns="http://schemas.openxmlformats.org/spreadsheetml/2006/main" count="228" uniqueCount="111">
  <si>
    <t>ID</t>
  </si>
  <si>
    <t>Date Reported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</si>
  <si>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</si>
  <si>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</si>
  <si>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</si>
  <si>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</si>
  <si>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</si>
  <si>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</si>
  <si>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</si>
  <si>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</si>
  <si>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</si>
  <si>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</si>
  <si>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</si>
  <si>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</si>
  <si>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</si>
  <si>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UI</t>
  </si>
  <si>
    <t>Minor</t>
  </si>
  <si>
    <t>New</t>
  </si>
  <si>
    <t>Violation tab</t>
  </si>
  <si>
    <t>"Spec Alleg" Column</t>
  </si>
  <si>
    <t>Remove period from column header</t>
  </si>
  <si>
    <t>6/18: Removed period.</t>
  </si>
  <si>
    <t>Column width adjustments</t>
  </si>
  <si>
    <t>Increase column width to show more of Description. To accommodate increase, Off Leve, Spec Alleg, and Degree Level columns can be slightly decreased
If possible, match updated column widths on Agency tab as well</t>
  </si>
  <si>
    <t>6/18: Set made Description column wider, shrunk other columns in both grids while tryning not to cutoff their headers.</t>
  </si>
  <si>
    <t>Functionality</t>
  </si>
  <si>
    <t>Major</t>
  </si>
  <si>
    <t>Violation Agency X-Ref Section</t>
  </si>
  <si>
    <t>Column filters cut off, issue previously reported in other windows where bottom of window has filters (e.g., Code Entries, Event Codes); buttons can be seen but bottom border is cut off</t>
  </si>
  <si>
    <t>6/18: Can this be excused? Might need a global styling.
6/30: Putting my own border at the bottom to simulate it.</t>
  </si>
  <si>
    <t>General</t>
  </si>
  <si>
    <t>F3 Refresh prevents user from entering search criteria</t>
  </si>
  <si>
    <t>1. Open window and execute search
2. Use F3 Refresh
3. Select Statute arrow dropdown - nothing loads (same issue occurs for Off Level field)</t>
  </si>
  <si>
    <t xml:space="preserve">Note: Section Code field is disabled, but user can enter text into Descrip field. </t>
  </si>
  <si>
    <t>6/18: Unable to replicate</t>
  </si>
  <si>
    <t>F3 Refresh prevents user from using Clear button</t>
  </si>
  <si>
    <t>1. Open window and execute search
2. Use F3 Refresh
3. Enter Descrip
4. Select Clear button - field entry remains</t>
  </si>
  <si>
    <t>Violation Agency X-Ref Delete</t>
  </si>
  <si>
    <t>1. Add new row to Violation Agency X-Ref section
2. Save
3. Delete row and save
In NG, user is able to delete. In PB, user receives "Delete Record; You can only delete newly added records"</t>
  </si>
  <si>
    <t>Adding as it is unclear what the intended functionality is</t>
  </si>
  <si>
    <t>6/18: Added message popup preventing deleting items that already existed. Can only delete items that were just added.
7/1: Switch to fluent validation, copied message from Court Control.</t>
  </si>
  <si>
    <t>Violation Agency X-Ref "Agency" Dropdown</t>
  </si>
  <si>
    <t>When user types "dep" in search field in dropdown, the results display all statutes containing "dep" rather than starting with "dep"
Expected behavior is that results should start with "dep" if entered</t>
  </si>
  <si>
    <t>Same issue reported in Violations ID 1</t>
  </si>
  <si>
    <t>6/18: VisionDropdownList component default updated to StartsWith.</t>
  </si>
  <si>
    <t>Violation Agency X-Ref FluentValidations
Stat Code
Section
Type</t>
  </si>
  <si>
    <t>Red highlight around cell is missing when validation fails</t>
  </si>
  <si>
    <t>6/18: Red highlight shows up for me when trying to commit the entry with my mouse. It does not with just tabbing, this is controlled by SyncFusion so I think this is okay.
7/1: Okay for now, only if brought up by UAT will we address, if we do might need changes to FluentValidation base.</t>
  </si>
  <si>
    <t>Violation Agency X-Ref FluentValidations
Stat Code
Section</t>
  </si>
  <si>
    <t>1. Add row to Violation Agency X-Ref section
2. Tab to Stat Code section
3. Use ENTER keypress to exit edit mode
4. FluentValidation is triggered
5. Enter value in Stat Code section and tab to move to next field
FluentValidation remains even though it passes and green highlight is missing from cell</t>
  </si>
  <si>
    <t>This also occurs in Section column</t>
  </si>
  <si>
    <t>Violation Agency X-Ref FluentValidations
Type
Ident</t>
  </si>
  <si>
    <t>In PB version, user cannot save NULL but can save a space in these fields as they are required to save
In NG, user cannot save NULL nor can save a space in fields therefore no new rows can be added in this section unless user enters alphanumeric values</t>
  </si>
  <si>
    <t>Adding as it is unclear what the intended functionality is
In prod, the viol_agency_xref table appears to store spaces that the user enters in PB version</t>
  </si>
  <si>
    <t>6/18: Safe to add empty spaces into required field? Let's discuss.
6/30: Allow spaces.</t>
  </si>
  <si>
    <t>F3 Refresh</t>
  </si>
  <si>
    <t>1. Select Statute: Training Code then Retrieve button
2. Scroll down to violation TEST010 and select/highlight row
3. F3 Refresh
"No records to display" appears at the bottom of Violation section and scroll bar remains in bottom position</t>
  </si>
  <si>
    <t>6/18: That looks like a SyncFusion issue, especially since it comes from refresh. They are still working on another ticket regarding ResetPersistDataAsync which we use for the refresh.
7/1: Removed a StateHasChanged from my cancel method and so far is working...</t>
  </si>
  <si>
    <t>Increase height of Violation section so one more row is visible</t>
  </si>
  <si>
    <t>Update to view one additional row so that it matches number of rows displayed in PB window</t>
  </si>
  <si>
    <t>6/18: Added.</t>
  </si>
  <si>
    <t>Agency tab</t>
  </si>
  <si>
    <t>Review order of data retrieval</t>
  </si>
  <si>
    <t>When Agency: Department of Motor Vehicles is only used for search criteria, the data returned is in a different order in NG window comparted to PB window</t>
  </si>
  <si>
    <t>Can this be reviewed to see if there is additional result order on PB that is missing in NG window</t>
  </si>
  <si>
    <t>6/18: Sort by agency like original, I notice when I select all I cannot tell how it decides to sort entries, I think this difference is okay though since I'm guessing most people aren't using search all for anything meaningful anyways.
7/1: Approved.</t>
  </si>
  <si>
    <t>No Search Criteria messages</t>
  </si>
  <si>
    <t>If no search criteria is entered on each tab, window should display Yes/No buttons
Current NG displays Yes/Cancel</t>
  </si>
  <si>
    <t>For No button, use same coloring as "No" button in Pending Changes message</t>
  </si>
  <si>
    <t>6/18: Switched to YesNo button type.</t>
  </si>
  <si>
    <t>Count of Status</t>
  </si>
  <si>
    <t>Column Labels</t>
  </si>
  <si>
    <t>Row Labels</t>
  </si>
  <si>
    <t>Grand Total</t>
  </si>
  <si>
    <t>Count of Bug Type</t>
  </si>
  <si>
    <t>AGENCY</t>
  </si>
  <si>
    <t>VARCHAR2(12 BYTE)</t>
  </si>
  <si>
    <t>VIOL_ID_NBR</t>
  </si>
  <si>
    <t>NUMBER(38,0)</t>
  </si>
  <si>
    <t>WOBBLER</t>
  </si>
  <si>
    <t>NUMBER(1,0)</t>
  </si>
  <si>
    <t>STAT_CODE</t>
  </si>
  <si>
    <t>VARCHAR2(4 BYTE)</t>
  </si>
  <si>
    <t>SECTION</t>
  </si>
  <si>
    <t>VARCHAR2(20 BYTE)</t>
  </si>
  <si>
    <t>TYPE</t>
  </si>
  <si>
    <t>IDENT</t>
  </si>
  <si>
    <t>DT_INVALID</t>
  </si>
  <si>
    <t>DATE</t>
  </si>
  <si>
    <t>DT_EFFECTIVE</t>
  </si>
  <si>
    <t>USER_ID</t>
  </si>
  <si>
    <t>DT_UPDATED</t>
  </si>
  <si>
    <t>DESCRIP</t>
  </si>
  <si>
    <t>VARCHAR2(255 BYTE)</t>
  </si>
  <si>
    <t>Pass</t>
  </si>
  <si>
    <t>Regression</t>
  </si>
  <si>
    <t>Fail</t>
  </si>
  <si>
    <t>Retest In Progress</t>
  </si>
  <si>
    <t>Pass with Comments</t>
  </si>
  <si>
    <t>Return to Dev</t>
  </si>
  <si>
    <t>Resolved</t>
  </si>
  <si>
    <t>No Action</t>
  </si>
  <si>
    <t>Delete Violation with Violation Agency Xref config</t>
  </si>
  <si>
    <t>New functionality added to prevent deleting violations when a child record or bail schedule row exists. Should this be added if Violation Agency Xref exists for violation?</t>
  </si>
  <si>
    <t>Checking to see if this is needed; current PB windows allows for deletion if Violation Agency Xref exists</t>
  </si>
  <si>
    <t>7/8: Jorge says Bail Schedule is special and needed more care, says this part is okay.</t>
  </si>
  <si>
    <t>6/18: Switched binding. There's bind-Value, Value, ValueExpression, ValueChanged. Need to look into these more.
7/8: AI modified the vision dropdown to notify the fluent validation on value select, seems to work across all grids that use vision dropdown list.</t>
  </si>
  <si>
    <t>07/13: regression test and pass</t>
  </si>
  <si>
    <t>07/08: resolved, cannot replicate
07/13: regression test and pass</t>
  </si>
  <si>
    <t>07/08: appears when you click back into cell to edit; leaving for now
07/13: regression test and pass</t>
  </si>
  <si>
    <t>07/08: red cell remains until user enters data in Section then tabs.
07/13: retest and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</si>
</sst>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b/>
      <sz val="11"/>
      <color theme="0"/>
      <name val="Calibri"/>
      <family val="2"/>
    </font>
    <font>
      <u/>
      <sz val="11"/>
      <color theme="10"/>
      <name val="Aptos Narrow"/>
      <family val="2"/>
      <scheme val="minor"/>
    </font>
    <font>
      <u/>
      <sz val="11"/>
      <color theme="10"/>
      <name val="Calibri"/>
      <family val="2"/>
    </font>
    <font>
      <sz val="11"/>
      <color theme="1"/>
      <name val="Calibri"/>
      <family val="2"/>
    </font>
    <font>
      <b/>
      <sz val="11"/>
      <color rgb="FF000000"/>
      <name val="Calibri"/>
      <family val="2"/>
    </font>
    <font>
      <sz val="11"/>
      <color rgb="FF000000"/>
      <name val="Calibri"/>
      <family val="2"/>
    </font>
    <font>
      <sz val="11"/>
      <color theme="0"/>
      <name val="Calibri"/>
      <family val="2"/>
    </font>
    <font>
      <sz val="11"/>
      <color rgb="FF000000"/>
      <name val="Calibri"/>
      <family val="2"/>
    </font>
  </fonts>
  <fills count="4">
    <fill>
      <patternFill patternType="none"/>
    </fill>
    <fill>
      <patternFill patternType="gray125"/>
    </fill>
    <fill>
      <patternFill patternType="solid">
        <fgColor theme="5" tint="0.39997558519241921"/>
        <bgColor indexed="64"/>
      </patternFill>
    </fill>
    <fill>
      <patternFill patternType="solid">
        <fgColor theme="4"/>
        <bgColor indexed="64"/>
      </patternFill>
    </fill>
  </fills>
  <borders count="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43">
    <xf numFmtId="0" fontId="0" fillId="0" borderId="0" xfId="0"/>
    <xf numFmtId="0" fontId="4" fillId="0" borderId="0" xfId="0" applyFont="1"/>
    <xf numFmtId="0" fontId="4" fillId="0" borderId="0" xfId="0" applyFont="1" applyAlignment="1">
      <alignment horizontal="left" vertical="top" wrapText="1"/>
    </xf>
    <xf numFmtId="0" fontId="4" fillId="0" borderId="0" xfId="0" applyFont="1" applyAlignment="1">
      <alignment vertical="top"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5" fillId="0" borderId="1" xfId="0" applyFont="1" applyFill="1" applyBorder="1" applyAlignment="1">
      <alignment horizontal="left" vertical="top" wrapText="1"/>
    </xf>
    <xf numFmtId="0" fontId="5" fillId="0" borderId="1" xfId="0" applyFont="1" applyBorder="1" applyAlignment="1">
      <alignment horizontal="left" vertical="top" wrapText="1"/>
    </xf>
    <xf numFmtId="0" fontId="4" fillId="0" borderId="0" xfId="0" applyFont="1" applyAlignment="1">
      <alignment vertical="top"/>
    </xf>
    <xf numFmtId="164" fontId="4" fillId="0" borderId="0" xfId="0" applyNumberFormat="1" applyFont="1" applyAlignment="1">
      <alignment horizontal="center" vertical="top"/>
    </xf>
    <xf numFmtId="0" fontId="7" fillId="0" borderId="1" xfId="0" applyFont="1" applyBorder="1" applyAlignment="1">
      <alignment vertical="top" wrapText="1"/>
    </xf>
    <xf numFmtId="0" fontId="9" fillId="0" borderId="1" xfId="1" applyBorder="1" applyAlignment="1">
      <alignment horizontal="left" vertical="top" wrapText="1"/>
    </xf>
    <xf numFmtId="0" fontId="3" fillId="0" borderId="0" xfId="0" applyFont="1"/>
    <xf numFmtId="0" fontId="8" fillId="3" borderId="0" xfId="0" applyFont="1" applyFill="1" applyAlignment="1">
      <alignment horizontal="center"/>
    </xf>
    <xf numFmtId="20" fontId="8" fillId="3" borderId="0" xfId="0" applyNumberFormat="1" applyFont="1" applyFill="1" applyAlignment="1">
      <alignment horizontal="center"/>
    </xf>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10" fillId="0" borderId="1" xfId="1" applyFont="1" applyBorder="1" applyAlignment="1">
      <alignment horizontal="left" vertical="top" wrapText="1"/>
    </xf>
    <xf numFmtId="0" fontId="11" fillId="0" borderId="0" xfId="0" pivotButton="1" applyFont="1"/>
    <xf numFmtId="0" fontId="11" fillId="0" borderId="0" xfId="0" applyFont="1"/>
    <xf numFmtId="0" fontId="11" fillId="0" borderId="0" xfId="0" applyNumberFormat="1" applyFont="1"/>
    <xf numFmtId="0" fontId="11" fillId="0" borderId="0" xfId="0" applyFont="1" applyAlignment="1">
      <alignment horizontal="left"/>
    </xf>
    <xf numFmtId="0" fontId="2" fillId="0" borderId="0" xfId="0" applyFont="1" applyAlignment="1">
      <alignment vertical="top" wrapText="1"/>
    </xf>
    <xf numFmtId="0" fontId="12" fillId="0" borderId="1" xfId="0" applyFont="1" applyBorder="1" applyAlignment="1">
      <alignment horizontal="left" vertical="top" wrapText="1"/>
    </xf>
    <xf numFmtId="0" fontId="2" fillId="0" borderId="1" xfId="0" applyFont="1" applyBorder="1" applyAlignment="1">
      <alignment horizontal="center" vertical="top" wrapText="1"/>
    </xf>
    <xf numFmtId="164" fontId="2" fillId="0" borderId="1" xfId="0" applyNumberFormat="1" applyFont="1" applyBorder="1" applyAlignment="1">
      <alignment horizontal="center" vertical="top"/>
    </xf>
    <xf numFmtId="164" fontId="2" fillId="0" borderId="1" xfId="0" applyNumberFormat="1" applyFont="1" applyFill="1" applyBorder="1" applyAlignment="1">
      <alignment horizontal="center" vertical="top" wrapText="1"/>
    </xf>
    <xf numFmtId="0" fontId="2" fillId="0" borderId="1" xfId="0" applyFont="1" applyBorder="1" applyAlignment="1">
      <alignment vertical="top" wrapText="1"/>
    </xf>
    <xf numFmtId="0" fontId="2" fillId="0" borderId="1" xfId="0" applyFont="1" applyFill="1" applyBorder="1" applyAlignment="1">
      <alignment horizontal="center" vertical="top" wrapText="1"/>
    </xf>
    <xf numFmtId="164" fontId="2" fillId="0" borderId="1" xfId="0" applyNumberFormat="1" applyFont="1" applyBorder="1" applyAlignment="1">
      <alignment horizontal="center" vertical="top" wrapText="1"/>
    </xf>
    <xf numFmtId="0" fontId="2" fillId="0" borderId="1" xfId="0" applyFont="1" applyBorder="1" applyAlignment="1">
      <alignment vertical="top"/>
    </xf>
    <xf numFmtId="0" fontId="2" fillId="0" borderId="1" xfId="0" applyFont="1" applyBorder="1" applyAlignment="1">
      <alignment horizontal="center" vertical="top"/>
    </xf>
    <xf numFmtId="0" fontId="2" fillId="0" borderId="0" xfId="0" applyFont="1"/>
    <xf numFmtId="0" fontId="13" fillId="0" borderId="1" xfId="0" applyFont="1" applyBorder="1" applyAlignment="1">
      <alignment horizontal="left" vertical="top" wrapText="1"/>
    </xf>
    <xf numFmtId="0" fontId="1" fillId="0" borderId="1" xfId="0" applyFont="1" applyBorder="1" applyAlignment="1">
      <alignment horizontal="left" vertical="top" wrapText="1"/>
    </xf>
    <xf numFmtId="0" fontId="11" fillId="0" borderId="2" xfId="0" pivotButton="1" applyFont="1" applyBorder="1"/>
    <xf numFmtId="0" fontId="11" fillId="0" borderId="2" xfId="0" applyFont="1" applyBorder="1"/>
    <xf numFmtId="14" fontId="14" fillId="3" borderId="2" xfId="0" applyNumberFormat="1" applyFont="1" applyFill="1" applyBorder="1" applyAlignment="1">
      <alignment horizontal="left"/>
    </xf>
    <xf numFmtId="0" fontId="14" fillId="3" borderId="2" xfId="0" applyNumberFormat="1" applyFont="1" applyFill="1" applyBorder="1"/>
    <xf numFmtId="0" fontId="11" fillId="0" borderId="2" xfId="0" applyFont="1" applyBorder="1" applyAlignment="1">
      <alignment horizontal="left" indent="1"/>
    </xf>
    <xf numFmtId="0" fontId="11" fillId="0" borderId="2" xfId="0" applyNumberFormat="1" applyFont="1" applyBorder="1"/>
    <xf numFmtId="0" fontId="11" fillId="0" borderId="2" xfId="0" applyFont="1" applyBorder="1" applyAlignment="1">
      <alignment horizontal="left"/>
    </xf>
    <xf numFmtId="0" fontId="15" fillId="0" borderId="1" xfId="0" applyFont="1" applyBorder="1" applyAlignment="1">
      <alignment horizontal="left" vertical="top" wrapText="1"/>
    </xf>
  </cellXfs>
  <cellStyles count="2">
    <cellStyle name="Hyperlink" xfId="1" builtinId="8"/>
    <cellStyle name="Normal" xfId="0" builtinId="0"/>
  </cellStyles>
  <dxfs count="37">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4"/>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17</xdr:col>
      <xdr:colOff>306204</xdr:colOff>
      <xdr:row>35</xdr:row>
      <xdr:rowOff>39009</xdr:rowOff>
    </xdr:to>
    <xdr:pic>
      <xdr:nvPicPr>
        <xdr:cNvPr id="2" name="Picture 1">
          <a:extLst>
            <a:ext uri="{FF2B5EF4-FFF2-40B4-BE49-F238E27FC236}">
              <a16:creationId xmlns:a16="http://schemas.microsoft.com/office/drawing/2014/main" id="{EBCABD70-61DB-B456-A3A1-D11F586E845F}"/>
            </a:ext>
          </a:extLst>
        </xdr:cNvPr>
        <xdr:cNvPicPr>
          <a:picLocks noChangeAspect="1"/>
        </xdr:cNvPicPr>
      </xdr:nvPicPr>
      <xdr:blipFill>
        <a:blip xmlns:r="http://schemas.openxmlformats.org/officeDocument/2006/relationships" r:embed="rId1"/>
        <a:stretch>
          <a:fillRect/>
        </a:stretch>
      </xdr:blipFill>
      <xdr:spPr>
        <a:xfrm>
          <a:off x="609600" y="190500"/>
          <a:ext cx="10059804" cy="6516009"/>
        </a:xfrm>
        <a:prstGeom prst="rect">
          <a:avLst/>
        </a:prstGeom>
      </xdr:spPr>
    </xdr:pic>
    <xdr:clientData/>
  </xdr:twoCellAnchor>
  <xdr:twoCellAnchor editAs="oneCell">
    <xdr:from>
      <xdr:col>1</xdr:col>
      <xdr:colOff>0</xdr:colOff>
      <xdr:row>36</xdr:row>
      <xdr:rowOff>0</xdr:rowOff>
    </xdr:from>
    <xdr:to>
      <xdr:col>27</xdr:col>
      <xdr:colOff>226590</xdr:colOff>
      <xdr:row>68</xdr:row>
      <xdr:rowOff>94476</xdr:rowOff>
    </xdr:to>
    <xdr:pic>
      <xdr:nvPicPr>
        <xdr:cNvPr id="3" name="Picture 2">
          <a:extLst>
            <a:ext uri="{FF2B5EF4-FFF2-40B4-BE49-F238E27FC236}">
              <a16:creationId xmlns:a16="http://schemas.microsoft.com/office/drawing/2014/main" id="{E721D8CB-FE31-AC58-1D39-4D3681A59DA0}"/>
            </a:ext>
          </a:extLst>
        </xdr:cNvPr>
        <xdr:cNvPicPr>
          <a:picLocks noChangeAspect="1"/>
        </xdr:cNvPicPr>
      </xdr:nvPicPr>
      <xdr:blipFill>
        <a:blip xmlns:r="http://schemas.openxmlformats.org/officeDocument/2006/relationships" r:embed="rId2"/>
        <a:stretch>
          <a:fillRect/>
        </a:stretch>
      </xdr:blipFill>
      <xdr:spPr>
        <a:xfrm>
          <a:off x="609600" y="6858000"/>
          <a:ext cx="16076190" cy="6190476"/>
        </a:xfrm>
        <a:prstGeom prst="rect">
          <a:avLst/>
        </a:prstGeom>
      </xdr:spPr>
    </xdr:pic>
    <xdr:clientData/>
  </xdr:twoCellAnchor>
  <xdr:twoCellAnchor editAs="oneCell">
    <xdr:from>
      <xdr:col>1</xdr:col>
      <xdr:colOff>0</xdr:colOff>
      <xdr:row>69</xdr:row>
      <xdr:rowOff>0</xdr:rowOff>
    </xdr:from>
    <xdr:to>
      <xdr:col>27</xdr:col>
      <xdr:colOff>321828</xdr:colOff>
      <xdr:row>104</xdr:row>
      <xdr:rowOff>103928</xdr:rowOff>
    </xdr:to>
    <xdr:pic>
      <xdr:nvPicPr>
        <xdr:cNvPr id="4" name="Picture 3">
          <a:extLst>
            <a:ext uri="{FF2B5EF4-FFF2-40B4-BE49-F238E27FC236}">
              <a16:creationId xmlns:a16="http://schemas.microsoft.com/office/drawing/2014/main" id="{953763F1-E682-6E60-F351-19C8B46658EB}"/>
            </a:ext>
          </a:extLst>
        </xdr:cNvPr>
        <xdr:cNvPicPr>
          <a:picLocks noChangeAspect="1"/>
        </xdr:cNvPicPr>
      </xdr:nvPicPr>
      <xdr:blipFill>
        <a:blip xmlns:r="http://schemas.openxmlformats.org/officeDocument/2006/relationships" r:embed="rId3"/>
        <a:stretch>
          <a:fillRect/>
        </a:stretch>
      </xdr:blipFill>
      <xdr:spPr>
        <a:xfrm>
          <a:off x="609600" y="13144500"/>
          <a:ext cx="16171428" cy="6771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27</xdr:col>
      <xdr:colOff>459476</xdr:colOff>
      <xdr:row>37</xdr:row>
      <xdr:rowOff>20010</xdr:rowOff>
    </xdr:to>
    <xdr:pic>
      <xdr:nvPicPr>
        <xdr:cNvPr id="2" name="Picture 1">
          <a:extLst>
            <a:ext uri="{FF2B5EF4-FFF2-40B4-BE49-F238E27FC236}">
              <a16:creationId xmlns:a16="http://schemas.microsoft.com/office/drawing/2014/main" id="{3C00B4B4-EBD6-E588-19E4-DFE1C953B5B8}"/>
            </a:ext>
          </a:extLst>
        </xdr:cNvPr>
        <xdr:cNvPicPr>
          <a:picLocks noChangeAspect="1"/>
        </xdr:cNvPicPr>
      </xdr:nvPicPr>
      <xdr:blipFill>
        <a:blip xmlns:r="http://schemas.openxmlformats.org/officeDocument/2006/relationships" r:embed="rId1"/>
        <a:stretch>
          <a:fillRect/>
        </a:stretch>
      </xdr:blipFill>
      <xdr:spPr>
        <a:xfrm>
          <a:off x="609600" y="190500"/>
          <a:ext cx="16309076" cy="687801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216.605658564818" createdVersion="8" refreshedVersion="8" minRefreshableVersion="3" recordCount="51" xr:uid="{CBB173A0-4918-4A42-B87C-1773BA654C0F}">
  <cacheSource type="worksheet">
    <worksheetSource ref="B1:F1048576" sheet="DEFECTS"/>
  </cacheSource>
  <cacheFields count="5">
    <cacheField name="Date Reported" numFmtId="0">
      <sharedItems containsNonDate="0" containsDate="1" containsString="0" containsBlank="1" minDate="2026-06-17T00:00:00" maxDate="2026-07-09T00:00:00" count="3">
        <d v="2026-06-17T00:00:00"/>
        <d v="2026-07-08T00:00:00"/>
        <m/>
      </sharedItems>
    </cacheField>
    <cacheField name="Interface" numFmtId="0">
      <sharedItems containsBlank="1"/>
    </cacheField>
    <cacheField name="Scenario Type" numFmtId="0">
      <sharedItems containsBlank="1" count="3">
        <s v="UI"/>
        <s v="Functionality"/>
        <m/>
      </sharedItems>
    </cacheField>
    <cacheField name="Bug Type" numFmtId="0">
      <sharedItems containsBlank="1" count="3">
        <s v="Minor"/>
        <s v="Major"/>
        <m/>
      </sharedItems>
    </cacheField>
    <cacheField name="Status" numFmtId="0">
      <sharedItems containsBlank="1" count="5">
        <s v="Resolved"/>
        <s v="No Action"/>
        <m/>
        <s v="Return to Dev" u="1"/>
        <s v="New"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s v="Both"/>
    <x v="0"/>
    <x v="0"/>
    <x v="0"/>
  </r>
  <r>
    <x v="0"/>
    <s v="Both"/>
    <x v="0"/>
    <x v="0"/>
    <x v="0"/>
  </r>
  <r>
    <x v="0"/>
    <s v="Both"/>
    <x v="1"/>
    <x v="1"/>
    <x v="0"/>
  </r>
  <r>
    <x v="0"/>
    <s v="Both"/>
    <x v="1"/>
    <x v="1"/>
    <x v="0"/>
  </r>
  <r>
    <x v="0"/>
    <s v="Both"/>
    <x v="1"/>
    <x v="1"/>
    <x v="0"/>
  </r>
  <r>
    <x v="0"/>
    <s v="Both"/>
    <x v="1"/>
    <x v="1"/>
    <x v="0"/>
  </r>
  <r>
    <x v="0"/>
    <s v="Both"/>
    <x v="1"/>
    <x v="1"/>
    <x v="0"/>
  </r>
  <r>
    <x v="0"/>
    <s v="Both"/>
    <x v="1"/>
    <x v="1"/>
    <x v="0"/>
  </r>
  <r>
    <x v="0"/>
    <s v="Both"/>
    <x v="1"/>
    <x v="1"/>
    <x v="0"/>
  </r>
  <r>
    <x v="0"/>
    <s v="Both"/>
    <x v="1"/>
    <x v="1"/>
    <x v="0"/>
  </r>
  <r>
    <x v="0"/>
    <s v="Both"/>
    <x v="1"/>
    <x v="1"/>
    <x v="0"/>
  </r>
  <r>
    <x v="0"/>
    <s v="Both"/>
    <x v="1"/>
    <x v="1"/>
    <x v="0"/>
  </r>
  <r>
    <x v="0"/>
    <s v="Both"/>
    <x v="1"/>
    <x v="1"/>
    <x v="0"/>
  </r>
  <r>
    <x v="0"/>
    <s v="Both"/>
    <x v="1"/>
    <x v="1"/>
    <x v="0"/>
  </r>
  <r>
    <x v="1"/>
    <s v="Both"/>
    <x v="1"/>
    <x v="1"/>
    <x v="1"/>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r>
    <x v="2"/>
    <m/>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F91F54-C5DD-45BF-99A4-4908D32A15E7}"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5" firstHeaderRow="1" firstDataRow="1" firstDataCol="1"/>
  <pivotFields count="5">
    <pivotField showAll="0"/>
    <pivotField showAll="0"/>
    <pivotField showAll="0"/>
    <pivotField axis="axisRow" dataField="1" showAll="0">
      <items count="4">
        <item x="1"/>
        <item x="0"/>
        <item h="1" x="2"/>
        <item t="default"/>
      </items>
    </pivotField>
    <pivotField showAll="0"/>
  </pivotFields>
  <rowFields count="1">
    <field x="3"/>
  </rowFields>
  <rowItems count="3">
    <i>
      <x/>
    </i>
    <i>
      <x v="1"/>
    </i>
    <i t="grand">
      <x/>
    </i>
  </rowItems>
  <colItems count="1">
    <i/>
  </colItems>
  <dataFields count="1">
    <dataField name="Count of Bug Type" fld="3" subtotal="count" baseField="0" baseItem="0"/>
  </dataFields>
  <formats count="6">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307CFE-8FF9-49B8-B137-B72BC5566C1A}"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F8" firstHeaderRow="1" firstDataRow="2" firstDataCol="1"/>
  <pivotFields count="5">
    <pivotField axis="axisRow" showAll="0">
      <items count="4">
        <item x="0"/>
        <item h="1" x="2"/>
        <item x="1"/>
        <item t="default"/>
      </items>
    </pivotField>
    <pivotField showAll="0"/>
    <pivotField axis="axisRow" showAll="0">
      <items count="4">
        <item x="1"/>
        <item x="0"/>
        <item x="2"/>
        <item t="default"/>
      </items>
    </pivotField>
    <pivotField showAll="0"/>
    <pivotField axis="axisCol" dataField="1" showAll="0">
      <items count="6">
        <item m="1" x="4"/>
        <item x="2"/>
        <item x="0"/>
        <item m="1" x="3"/>
        <item x="1"/>
        <item t="default"/>
      </items>
    </pivotField>
  </pivotFields>
  <rowFields count="2">
    <field x="0"/>
    <field x="2"/>
  </rowFields>
  <rowItems count="6">
    <i>
      <x/>
    </i>
    <i r="1">
      <x/>
    </i>
    <i r="1">
      <x v="1"/>
    </i>
    <i>
      <x v="2"/>
    </i>
    <i r="1">
      <x/>
    </i>
    <i t="grand">
      <x/>
    </i>
  </rowItems>
  <colFields count="1">
    <field x="4"/>
  </colFields>
  <colItems count="3">
    <i>
      <x v="2"/>
    </i>
    <i>
      <x v="4"/>
    </i>
    <i t="grand">
      <x/>
    </i>
  </colItems>
  <dataFields count="1">
    <dataField name="Count of Status" fld="4" subtotal="count" baseField="0" baseItem="0"/>
  </dataFields>
  <formats count="17">
    <format dxfId="30">
      <pivotArea type="all" dataOnly="0" outline="0" fieldPosition="0"/>
    </format>
    <format dxfId="29">
      <pivotArea outline="0" collapsedLevelsAreSubtotals="1" fieldPosition="0"/>
    </format>
    <format dxfId="28">
      <pivotArea type="origin" dataOnly="0" labelOnly="1" outline="0" fieldPosition="0"/>
    </format>
    <format dxfId="27">
      <pivotArea field="4" type="button" dataOnly="0" labelOnly="1" outline="0" axis="axisCol" fieldPosition="0"/>
    </format>
    <format dxfId="26">
      <pivotArea type="topRight" dataOnly="0" labelOnly="1" outline="0" fieldPosition="0"/>
    </format>
    <format dxfId="25">
      <pivotArea dataOnly="0" labelOnly="1" grandRow="1" outline="0" fieldPosition="0"/>
    </format>
    <format dxfId="24">
      <pivotArea dataOnly="0" labelOnly="1" fieldPosition="0">
        <references count="1">
          <reference field="4" count="1">
            <x v="0"/>
          </reference>
        </references>
      </pivotArea>
    </format>
    <format dxfId="23">
      <pivotArea dataOnly="0" labelOnly="1" grandCol="1" outline="0" fieldPosition="0"/>
    </format>
    <format dxfId="22">
      <pivotArea dataOnly="0" fieldPosition="0">
        <references count="1">
          <reference field="0" count="0"/>
        </references>
      </pivotArea>
    </format>
    <format dxfId="21">
      <pivotArea dataOnly="0" fieldPosition="0">
        <references count="1">
          <reference field="0" count="0"/>
        </references>
      </pivotArea>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fieldPosition="0">
        <references count="2">
          <reference field="0" count="0" selected="0"/>
          <reference field="2" count="2">
            <x v="0"/>
            <x v="1"/>
          </reference>
        </references>
      </pivotArea>
    </format>
    <format dxfId="15">
      <pivotArea dataOnly="0" labelOnly="1" fieldPosition="0">
        <references count="1">
          <reference field="4" count="3">
            <x v="0"/>
            <x v="2"/>
            <x v="3"/>
          </reference>
        </references>
      </pivotArea>
    </format>
    <format dxfId="1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639B34-15EF-4508-B431-0EE94C1566FC}"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P5" firstHeaderRow="1" firstDataRow="1" firstDataCol="1"/>
  <pivotFields count="5">
    <pivotField showAll="0"/>
    <pivotField showAll="0"/>
    <pivotField showAll="0"/>
    <pivotField showAll="0"/>
    <pivotField axis="axisRow" dataField="1" showAll="0">
      <items count="6">
        <item m="1" x="4"/>
        <item h="1" x="2"/>
        <item x="0"/>
        <item m="1" x="3"/>
        <item x="1"/>
        <item t="default"/>
      </items>
    </pivotField>
  </pivotFields>
  <rowFields count="1">
    <field x="4"/>
  </rowFields>
  <rowItems count="3">
    <i>
      <x v="2"/>
    </i>
    <i>
      <x v="4"/>
    </i>
    <i t="grand">
      <x/>
    </i>
  </rowItems>
  <colItems count="1">
    <i/>
  </colItems>
  <dataFields count="1">
    <dataField name="Count of Status" fld="4" subtotal="count" baseField="0" baseItem="0"/>
  </dataFields>
  <formats count="6">
    <format dxfId="36">
      <pivotArea type="all" dataOnly="0" outline="0" fieldPosition="0"/>
    </format>
    <format dxfId="35">
      <pivotArea outline="0" collapsedLevelsAreSubtotals="1" fieldPosition="0"/>
    </format>
    <format dxfId="34">
      <pivotArea field="4" type="button" dataOnly="0" labelOnly="1" outline="0" axis="axisRow" fieldPosition="0"/>
    </format>
    <format dxfId="33">
      <pivotArea dataOnly="0" labelOnly="1" fieldPosition="0">
        <references count="1">
          <reference field="4" count="0"/>
        </references>
      </pivotArea>
    </format>
    <format dxfId="32">
      <pivotArea dataOnly="0" labelOnly="1" grandRow="1" outline="0"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N51"/>
  <sheetViews>
    <sheetView tabSelected="1" zoomScaleNormal="100" workbookViewId="0">
      <pane ySplit="1" topLeftCell="A2" activePane="bottomLeft" state="frozen"/>
      <selection activeCell="E2" sqref="A2:F1048576"/>
      <selection pane="bottomLeft" activeCell="B1" sqref="B1"/>
    </sheetView>
  </sheetViews>
  <sheetFormatPr defaultRowHeight="15" x14ac:dyDescent="0.25"/>
  <cols>
    <col min="1" max="1" width="3" style="8" bestFit="1" customWidth="1"/>
    <col min="2" max="3" width="10.7109375" style="8" customWidth="1"/>
    <col min="4" max="4" width="12.5703125" style="8" bestFit="1" customWidth="1"/>
    <col min="5" max="5" width="10.7109375" style="8" bestFit="1" customWidth="1"/>
    <col min="6" max="6" width="17" style="8" bestFit="1" customWidth="1"/>
    <col min="7" max="7" width="14" style="8" bestFit="1" customWidth="1"/>
    <col min="8" max="8" width="20.7109375" style="3" customWidth="1"/>
    <col min="9" max="10" width="60.7109375" style="8" customWidth="1"/>
    <col min="11" max="11" width="10.7109375" style="9" customWidth="1"/>
    <col min="12" max="12" width="19.42578125" style="8" customWidth="1"/>
    <col min="13" max="13" width="50.7109375" style="3" customWidth="1"/>
    <col min="14" max="14" width="60.7109375" style="8" customWidth="1"/>
    <col min="15" max="16384" width="9.140625" style="8"/>
  </cols>
  <sheetData>
    <row r="1" spans="1:14" s="1" customFormat="1" ht="30" x14ac:dyDescent="0.25">
      <c r="A1" s="4" t="s">
        <v>0</v>
      </c>
      <c r="B1" s="5" t="s">
        <v>1</v>
      </c>
      <c r="C1" s="5" t="s">
        <v>2</v>
      </c>
      <c r="D1" s="5" t="s">
        <v>3</v>
      </c>
      <c r="E1" s="4" t="s">
        <v>4</v>
      </c>
      <c r="F1" s="5" t="s">
        <v>5</v>
      </c>
      <c r="G1" s="5" t="s">
        <v>6</v>
      </c>
      <c r="H1" s="4" t="s">
        <v>7</v>
      </c>
      <c r="I1" s="5" t="s">
        <v>8</v>
      </c>
      <c r="J1" s="4" t="s">
        <v>9</v>
      </c>
      <c r="K1" s="5" t="s">
        <v>10</v>
      </c>
      <c r="L1" s="5" t="s">
        <v>11</v>
      </c>
      <c r="M1" s="4" t="s">
        <v>12</v>
      </c>
      <c r="N1" s="4" t="s">
        <v>13</v>
      </c>
    </row>
    <row r="2" spans="1:14" x14ac:dyDescent="0.25">
      <c r="A2" s="24">
        <v>1</v>
      </c>
      <c r="B2" s="25">
        <v>46190</v>
      </c>
      <c r="C2" s="25" t="s">
        <v>14</v>
      </c>
      <c r="D2" s="15" t="s">
        <v>15</v>
      </c>
      <c r="E2" s="15" t="s">
        <v>16</v>
      </c>
      <c r="F2" s="15" t="s">
        <v>100</v>
      </c>
      <c r="G2" s="15" t="s">
        <v>18</v>
      </c>
      <c r="H2" s="15" t="s">
        <v>19</v>
      </c>
      <c r="I2" s="15" t="s">
        <v>20</v>
      </c>
      <c r="J2" s="15"/>
      <c r="K2" s="26">
        <v>46216</v>
      </c>
      <c r="L2" s="15" t="s">
        <v>94</v>
      </c>
      <c r="M2" s="10" t="s">
        <v>107</v>
      </c>
      <c r="N2" s="15" t="s">
        <v>21</v>
      </c>
    </row>
    <row r="3" spans="1:14" ht="75" x14ac:dyDescent="0.25">
      <c r="A3" s="28">
        <v>2</v>
      </c>
      <c r="B3" s="25">
        <v>46190</v>
      </c>
      <c r="C3" s="25" t="s">
        <v>14</v>
      </c>
      <c r="D3" s="15" t="s">
        <v>15</v>
      </c>
      <c r="E3" s="15" t="s">
        <v>16</v>
      </c>
      <c r="F3" s="15" t="s">
        <v>100</v>
      </c>
      <c r="G3" s="16" t="s">
        <v>18</v>
      </c>
      <c r="H3" s="16" t="s">
        <v>22</v>
      </c>
      <c r="I3" s="6" t="s">
        <v>23</v>
      </c>
      <c r="J3" s="16"/>
      <c r="K3" s="26">
        <v>46216</v>
      </c>
      <c r="L3" s="15" t="s">
        <v>94</v>
      </c>
      <c r="M3" s="10" t="s">
        <v>107</v>
      </c>
      <c r="N3" s="16" t="s">
        <v>24</v>
      </c>
    </row>
    <row r="4" spans="1:14" ht="45" x14ac:dyDescent="0.25">
      <c r="A4" s="24">
        <v>3</v>
      </c>
      <c r="B4" s="25">
        <v>46190</v>
      </c>
      <c r="C4" s="25" t="s">
        <v>14</v>
      </c>
      <c r="D4" s="15" t="s">
        <v>25</v>
      </c>
      <c r="E4" s="15" t="s">
        <v>26</v>
      </c>
      <c r="F4" s="15" t="s">
        <v>100</v>
      </c>
      <c r="G4" s="15" t="s">
        <v>18</v>
      </c>
      <c r="H4" s="15" t="s">
        <v>27</v>
      </c>
      <c r="I4" s="15" t="s">
        <v>28</v>
      </c>
      <c r="J4" s="15"/>
      <c r="K4" s="26">
        <v>46216</v>
      </c>
      <c r="L4" s="15" t="s">
        <v>94</v>
      </c>
      <c r="M4" s="10" t="s">
        <v>107</v>
      </c>
      <c r="N4" s="33" t="s">
        <v>29</v>
      </c>
    </row>
    <row r="5" spans="1:14" ht="60" x14ac:dyDescent="0.25">
      <c r="A5" s="24">
        <v>4</v>
      </c>
      <c r="B5" s="25">
        <v>46190</v>
      </c>
      <c r="C5" s="25" t="s">
        <v>14</v>
      </c>
      <c r="D5" s="15" t="s">
        <v>25</v>
      </c>
      <c r="E5" s="15" t="s">
        <v>26</v>
      </c>
      <c r="F5" s="15" t="s">
        <v>100</v>
      </c>
      <c r="G5" s="15" t="s">
        <v>30</v>
      </c>
      <c r="H5" s="15" t="s">
        <v>31</v>
      </c>
      <c r="I5" s="15" t="s">
        <v>32</v>
      </c>
      <c r="J5" s="15" t="s">
        <v>33</v>
      </c>
      <c r="K5" s="26">
        <v>46216</v>
      </c>
      <c r="L5" s="15" t="s">
        <v>94</v>
      </c>
      <c r="M5" s="10" t="s">
        <v>108</v>
      </c>
      <c r="N5" s="23" t="s">
        <v>34</v>
      </c>
    </row>
    <row r="6" spans="1:14" ht="60" x14ac:dyDescent="0.25">
      <c r="A6" s="24">
        <v>5</v>
      </c>
      <c r="B6" s="25">
        <v>46190</v>
      </c>
      <c r="C6" s="25" t="s">
        <v>14</v>
      </c>
      <c r="D6" s="15" t="s">
        <v>25</v>
      </c>
      <c r="E6" s="15" t="s">
        <v>26</v>
      </c>
      <c r="F6" s="15" t="s">
        <v>100</v>
      </c>
      <c r="G6" s="15" t="s">
        <v>30</v>
      </c>
      <c r="H6" s="15" t="s">
        <v>35</v>
      </c>
      <c r="I6" s="15" t="s">
        <v>36</v>
      </c>
      <c r="J6" s="15"/>
      <c r="K6" s="26">
        <v>46216</v>
      </c>
      <c r="L6" s="15" t="s">
        <v>94</v>
      </c>
      <c r="M6" s="10" t="s">
        <v>108</v>
      </c>
      <c r="N6" s="23" t="s">
        <v>34</v>
      </c>
    </row>
    <row r="7" spans="1:14" s="2" customFormat="1" ht="90" x14ac:dyDescent="0.25">
      <c r="A7" s="24">
        <v>6</v>
      </c>
      <c r="B7" s="25">
        <v>46190</v>
      </c>
      <c r="C7" s="25" t="s">
        <v>14</v>
      </c>
      <c r="D7" s="15" t="s">
        <v>25</v>
      </c>
      <c r="E7" s="15" t="s">
        <v>26</v>
      </c>
      <c r="F7" s="15" t="s">
        <v>100</v>
      </c>
      <c r="G7" s="15" t="s">
        <v>18</v>
      </c>
      <c r="H7" s="17" t="s">
        <v>37</v>
      </c>
      <c r="I7" s="7" t="s">
        <v>38</v>
      </c>
      <c r="J7" s="15" t="s">
        <v>39</v>
      </c>
      <c r="K7" s="26">
        <v>46216</v>
      </c>
      <c r="L7" s="15" t="s">
        <v>94</v>
      </c>
      <c r="M7" s="10" t="s">
        <v>107</v>
      </c>
      <c r="N7" s="33" t="s">
        <v>40</v>
      </c>
    </row>
    <row r="8" spans="1:14" s="2" customFormat="1" ht="90" x14ac:dyDescent="0.25">
      <c r="A8" s="24">
        <v>7</v>
      </c>
      <c r="B8" s="25">
        <v>46190</v>
      </c>
      <c r="C8" s="25" t="s">
        <v>14</v>
      </c>
      <c r="D8" s="15" t="s">
        <v>25</v>
      </c>
      <c r="E8" s="15" t="s">
        <v>26</v>
      </c>
      <c r="F8" s="15" t="s">
        <v>100</v>
      </c>
      <c r="G8" s="15" t="s">
        <v>18</v>
      </c>
      <c r="H8" s="15" t="s">
        <v>41</v>
      </c>
      <c r="I8" s="7" t="s">
        <v>42</v>
      </c>
      <c r="J8" s="15" t="s">
        <v>43</v>
      </c>
      <c r="K8" s="26">
        <v>46216</v>
      </c>
      <c r="L8" s="15" t="s">
        <v>94</v>
      </c>
      <c r="M8" s="10" t="s">
        <v>107</v>
      </c>
      <c r="N8" s="15" t="s">
        <v>44</v>
      </c>
    </row>
    <row r="9" spans="1:14" ht="75" x14ac:dyDescent="0.25">
      <c r="A9" s="24">
        <v>8</v>
      </c>
      <c r="B9" s="25">
        <v>46190</v>
      </c>
      <c r="C9" s="25" t="s">
        <v>14</v>
      </c>
      <c r="D9" s="15" t="s">
        <v>25</v>
      </c>
      <c r="E9" s="15" t="s">
        <v>26</v>
      </c>
      <c r="F9" s="15" t="s">
        <v>100</v>
      </c>
      <c r="G9" s="15" t="s">
        <v>18</v>
      </c>
      <c r="H9" s="15" t="s">
        <v>45</v>
      </c>
      <c r="I9" s="7" t="s">
        <v>46</v>
      </c>
      <c r="J9" s="7"/>
      <c r="K9" s="26">
        <v>46216</v>
      </c>
      <c r="L9" s="15" t="s">
        <v>94</v>
      </c>
      <c r="M9" s="10" t="s">
        <v>109</v>
      </c>
      <c r="N9" s="33" t="s">
        <v>47</v>
      </c>
    </row>
    <row r="10" spans="1:14" ht="120" x14ac:dyDescent="0.25">
      <c r="A10" s="24">
        <v>9</v>
      </c>
      <c r="B10" s="25">
        <v>46190</v>
      </c>
      <c r="C10" s="25" t="s">
        <v>14</v>
      </c>
      <c r="D10" s="15" t="s">
        <v>25</v>
      </c>
      <c r="E10" s="15" t="s">
        <v>26</v>
      </c>
      <c r="F10" s="15" t="s">
        <v>100</v>
      </c>
      <c r="G10" s="15" t="s">
        <v>18</v>
      </c>
      <c r="H10" s="15" t="s">
        <v>48</v>
      </c>
      <c r="I10" s="7" t="s">
        <v>49</v>
      </c>
      <c r="J10" s="7" t="s">
        <v>50</v>
      </c>
      <c r="K10" s="26">
        <v>46216</v>
      </c>
      <c r="L10" s="15" t="s">
        <v>94</v>
      </c>
      <c r="M10" s="10" t="s">
        <v>110</v>
      </c>
      <c r="N10" s="7" t="s">
        <v>106</v>
      </c>
    </row>
    <row r="11" spans="1:14" ht="90" x14ac:dyDescent="0.25">
      <c r="A11" s="24">
        <v>10</v>
      </c>
      <c r="B11" s="25">
        <v>46190</v>
      </c>
      <c r="C11" s="25" t="s">
        <v>14</v>
      </c>
      <c r="D11" s="15" t="s">
        <v>25</v>
      </c>
      <c r="E11" s="15" t="s">
        <v>26</v>
      </c>
      <c r="F11" s="15" t="s">
        <v>100</v>
      </c>
      <c r="G11" s="15" t="s">
        <v>18</v>
      </c>
      <c r="H11" s="15" t="s">
        <v>51</v>
      </c>
      <c r="I11" s="7" t="s">
        <v>52</v>
      </c>
      <c r="J11" s="7" t="s">
        <v>53</v>
      </c>
      <c r="K11" s="26">
        <v>46216</v>
      </c>
      <c r="L11" s="15" t="s">
        <v>94</v>
      </c>
      <c r="M11" s="10" t="s">
        <v>107</v>
      </c>
      <c r="N11" s="33" t="s">
        <v>54</v>
      </c>
    </row>
    <row r="12" spans="1:14" ht="90" x14ac:dyDescent="0.25">
      <c r="A12" s="24">
        <v>11</v>
      </c>
      <c r="B12" s="25">
        <v>46190</v>
      </c>
      <c r="C12" s="25" t="s">
        <v>14</v>
      </c>
      <c r="D12" s="15" t="s">
        <v>25</v>
      </c>
      <c r="E12" s="15" t="s">
        <v>26</v>
      </c>
      <c r="F12" s="15" t="s">
        <v>100</v>
      </c>
      <c r="G12" s="7" t="s">
        <v>30</v>
      </c>
      <c r="H12" s="11" t="s">
        <v>55</v>
      </c>
      <c r="I12" s="7" t="s">
        <v>56</v>
      </c>
      <c r="J12" s="7"/>
      <c r="K12" s="26">
        <v>46216</v>
      </c>
      <c r="L12" s="15" t="s">
        <v>94</v>
      </c>
      <c r="M12" s="10" t="s">
        <v>107</v>
      </c>
      <c r="N12" s="33" t="s">
        <v>57</v>
      </c>
    </row>
    <row r="13" spans="1:14" ht="60" x14ac:dyDescent="0.25">
      <c r="A13" s="24">
        <v>12</v>
      </c>
      <c r="B13" s="25">
        <v>46190</v>
      </c>
      <c r="C13" s="25" t="s">
        <v>14</v>
      </c>
      <c r="D13" s="15" t="s">
        <v>25</v>
      </c>
      <c r="E13" s="15" t="s">
        <v>26</v>
      </c>
      <c r="F13" s="15" t="s">
        <v>100</v>
      </c>
      <c r="G13" s="7" t="s">
        <v>18</v>
      </c>
      <c r="H13" s="15" t="s">
        <v>58</v>
      </c>
      <c r="I13" s="7" t="s">
        <v>59</v>
      </c>
      <c r="J13" s="7"/>
      <c r="K13" s="26">
        <v>46211</v>
      </c>
      <c r="L13" s="15" t="s">
        <v>94</v>
      </c>
      <c r="M13" s="10" t="s">
        <v>107</v>
      </c>
      <c r="N13" s="7" t="s">
        <v>60</v>
      </c>
    </row>
    <row r="14" spans="1:14" ht="75" x14ac:dyDescent="0.25">
      <c r="A14" s="24">
        <v>13</v>
      </c>
      <c r="B14" s="25">
        <v>46190</v>
      </c>
      <c r="C14" s="25" t="s">
        <v>14</v>
      </c>
      <c r="D14" s="15" t="s">
        <v>25</v>
      </c>
      <c r="E14" s="15" t="s">
        <v>26</v>
      </c>
      <c r="F14" s="15" t="s">
        <v>100</v>
      </c>
      <c r="G14" s="15" t="s">
        <v>61</v>
      </c>
      <c r="H14" s="15" t="s">
        <v>62</v>
      </c>
      <c r="I14" s="7" t="s">
        <v>63</v>
      </c>
      <c r="J14" s="15" t="s">
        <v>64</v>
      </c>
      <c r="K14" s="26">
        <v>46211</v>
      </c>
      <c r="L14" s="15" t="s">
        <v>94</v>
      </c>
      <c r="M14" s="10" t="s">
        <v>107</v>
      </c>
      <c r="N14" s="15" t="s">
        <v>65</v>
      </c>
    </row>
    <row r="15" spans="1:14" ht="45" x14ac:dyDescent="0.25">
      <c r="A15" s="24">
        <v>14</v>
      </c>
      <c r="B15" s="25">
        <v>46190</v>
      </c>
      <c r="C15" s="25" t="s">
        <v>14</v>
      </c>
      <c r="D15" s="15" t="s">
        <v>25</v>
      </c>
      <c r="E15" s="15" t="s">
        <v>26</v>
      </c>
      <c r="F15" s="15" t="s">
        <v>100</v>
      </c>
      <c r="G15" s="15" t="s">
        <v>30</v>
      </c>
      <c r="H15" s="15" t="s">
        <v>66</v>
      </c>
      <c r="I15" s="22" t="s">
        <v>67</v>
      </c>
      <c r="J15" s="15" t="s">
        <v>68</v>
      </c>
      <c r="K15" s="26">
        <v>46211</v>
      </c>
      <c r="L15" s="15" t="s">
        <v>94</v>
      </c>
      <c r="M15" s="10" t="s">
        <v>107</v>
      </c>
      <c r="N15" s="15" t="s">
        <v>69</v>
      </c>
    </row>
    <row r="16" spans="1:14" ht="45" x14ac:dyDescent="0.25">
      <c r="A16" s="24">
        <v>15</v>
      </c>
      <c r="B16" s="25">
        <v>46211</v>
      </c>
      <c r="C16" s="25" t="s">
        <v>14</v>
      </c>
      <c r="D16" s="15" t="s">
        <v>25</v>
      </c>
      <c r="E16" s="15" t="s">
        <v>26</v>
      </c>
      <c r="F16" s="15" t="s">
        <v>101</v>
      </c>
      <c r="G16" s="34" t="s">
        <v>30</v>
      </c>
      <c r="H16" s="34" t="s">
        <v>102</v>
      </c>
      <c r="I16" s="7" t="s">
        <v>103</v>
      </c>
      <c r="J16" s="34" t="s">
        <v>104</v>
      </c>
      <c r="K16" s="29"/>
      <c r="L16" s="15" t="s">
        <v>94</v>
      </c>
      <c r="M16" s="10"/>
      <c r="N16" s="42" t="s">
        <v>105</v>
      </c>
    </row>
    <row r="17" spans="1:14" x14ac:dyDescent="0.25">
      <c r="A17" s="24">
        <v>16</v>
      </c>
      <c r="B17" s="25"/>
      <c r="C17" s="25"/>
      <c r="D17" s="15"/>
      <c r="E17" s="15"/>
      <c r="F17" s="15"/>
      <c r="G17" s="15"/>
      <c r="H17" s="15"/>
      <c r="I17" s="7"/>
      <c r="J17" s="30"/>
      <c r="K17" s="25"/>
      <c r="L17" s="15"/>
      <c r="M17" s="10"/>
      <c r="N17" s="30"/>
    </row>
    <row r="18" spans="1:14" x14ac:dyDescent="0.25">
      <c r="A18" s="24">
        <v>17</v>
      </c>
      <c r="B18" s="25"/>
      <c r="C18" s="25"/>
      <c r="D18" s="15"/>
      <c r="E18" s="15"/>
      <c r="F18" s="15"/>
      <c r="G18" s="15"/>
      <c r="H18" s="15"/>
      <c r="I18" s="7"/>
      <c r="J18" s="30"/>
      <c r="K18" s="25"/>
      <c r="L18" s="15"/>
      <c r="M18" s="27"/>
      <c r="N18" s="30"/>
    </row>
    <row r="19" spans="1:14" x14ac:dyDescent="0.25">
      <c r="A19" s="24">
        <v>18</v>
      </c>
      <c r="B19" s="25"/>
      <c r="C19" s="25"/>
      <c r="D19" s="15"/>
      <c r="E19" s="15"/>
      <c r="F19" s="15"/>
      <c r="G19" s="15"/>
      <c r="H19" s="15"/>
      <c r="I19" s="7"/>
      <c r="J19" s="30"/>
      <c r="K19" s="25"/>
      <c r="L19" s="15"/>
      <c r="M19" s="10"/>
      <c r="N19" s="30"/>
    </row>
    <row r="20" spans="1:14" x14ac:dyDescent="0.25">
      <c r="A20" s="31">
        <v>19</v>
      </c>
      <c r="B20" s="25"/>
      <c r="C20" s="25"/>
      <c r="D20" s="15"/>
      <c r="E20" s="15"/>
      <c r="F20" s="15"/>
      <c r="G20" s="30"/>
      <c r="H20" s="27"/>
      <c r="I20" s="27"/>
      <c r="J20" s="30"/>
      <c r="K20" s="25"/>
      <c r="L20" s="15"/>
      <c r="M20" s="27"/>
      <c r="N20" s="30"/>
    </row>
    <row r="21" spans="1:14" x14ac:dyDescent="0.25">
      <c r="A21" s="31">
        <v>20</v>
      </c>
      <c r="B21" s="25"/>
      <c r="C21" s="25"/>
      <c r="D21" s="15"/>
      <c r="E21" s="15"/>
      <c r="F21" s="15"/>
      <c r="G21" s="30"/>
      <c r="H21" s="27"/>
      <c r="I21" s="27"/>
      <c r="J21" s="30"/>
      <c r="K21" s="25"/>
      <c r="L21" s="15"/>
      <c r="M21" s="27"/>
      <c r="N21" s="30"/>
    </row>
    <row r="22" spans="1:14" x14ac:dyDescent="0.25">
      <c r="A22" s="31">
        <v>21</v>
      </c>
      <c r="B22" s="25"/>
      <c r="C22" s="25"/>
      <c r="D22" s="15"/>
      <c r="E22" s="15"/>
      <c r="F22" s="15"/>
      <c r="G22" s="30"/>
      <c r="H22" s="27"/>
      <c r="I22" s="27"/>
      <c r="J22" s="30"/>
      <c r="K22" s="25"/>
      <c r="L22" s="15"/>
      <c r="M22" s="27"/>
      <c r="N22" s="30"/>
    </row>
    <row r="23" spans="1:14" x14ac:dyDescent="0.25">
      <c r="A23" s="28">
        <v>22</v>
      </c>
      <c r="B23" s="25"/>
      <c r="C23" s="25"/>
      <c r="D23" s="15"/>
      <c r="E23" s="16"/>
      <c r="F23" s="15"/>
      <c r="G23" s="16"/>
      <c r="H23" s="16"/>
      <c r="I23" s="6"/>
      <c r="J23" s="16"/>
      <c r="K23" s="25"/>
      <c r="L23" s="15"/>
      <c r="M23" s="27"/>
      <c r="N23" s="16"/>
    </row>
    <row r="24" spans="1:14" x14ac:dyDescent="0.25">
      <c r="A24" s="30">
        <v>23</v>
      </c>
      <c r="B24" s="25"/>
      <c r="C24" s="25"/>
      <c r="D24" s="15"/>
      <c r="E24" s="15"/>
      <c r="F24" s="15"/>
      <c r="G24" s="30"/>
      <c r="H24" s="27"/>
      <c r="I24" s="30"/>
      <c r="J24" s="30"/>
      <c r="K24" s="25"/>
      <c r="L24" s="15"/>
      <c r="M24" s="27"/>
      <c r="N24" s="30"/>
    </row>
    <row r="25" spans="1:14" x14ac:dyDescent="0.25">
      <c r="A25" s="30">
        <v>24</v>
      </c>
      <c r="B25" s="25"/>
      <c r="C25" s="25"/>
      <c r="D25" s="15"/>
      <c r="E25" s="15"/>
      <c r="F25" s="15"/>
      <c r="G25" s="30"/>
      <c r="H25" s="27"/>
      <c r="I25" s="27"/>
      <c r="J25" s="30"/>
      <c r="K25" s="25"/>
      <c r="L25" s="15"/>
      <c r="M25" s="27"/>
      <c r="N25" s="30"/>
    </row>
    <row r="26" spans="1:14" x14ac:dyDescent="0.25">
      <c r="A26" s="30">
        <v>25</v>
      </c>
      <c r="B26" s="25"/>
      <c r="C26" s="25"/>
      <c r="D26" s="15"/>
      <c r="E26" s="15"/>
      <c r="F26" s="15"/>
      <c r="G26" s="30"/>
      <c r="H26" s="27"/>
      <c r="I26" s="30"/>
      <c r="J26" s="30"/>
      <c r="K26" s="25"/>
      <c r="L26" s="15"/>
      <c r="M26" s="27"/>
      <c r="N26" s="30"/>
    </row>
    <row r="27" spans="1:14" x14ac:dyDescent="0.25">
      <c r="A27" s="30">
        <v>26</v>
      </c>
      <c r="B27" s="25"/>
      <c r="C27" s="25"/>
      <c r="D27" s="15"/>
      <c r="E27" s="15"/>
      <c r="F27" s="15"/>
      <c r="G27" s="30"/>
      <c r="H27" s="27"/>
      <c r="I27" s="27"/>
      <c r="J27" s="27"/>
      <c r="K27" s="25"/>
      <c r="L27" s="15"/>
      <c r="M27" s="27"/>
      <c r="N27" s="27"/>
    </row>
    <row r="28" spans="1:14" x14ac:dyDescent="0.25">
      <c r="A28" s="30">
        <v>27</v>
      </c>
      <c r="B28" s="25"/>
      <c r="C28" s="25"/>
      <c r="D28" s="15"/>
      <c r="E28" s="15"/>
      <c r="F28" s="15"/>
      <c r="G28" s="30"/>
      <c r="H28" s="27"/>
      <c r="I28" s="27"/>
      <c r="J28" s="30"/>
      <c r="K28" s="25"/>
      <c r="L28" s="15"/>
      <c r="M28" s="27"/>
      <c r="N28" s="30"/>
    </row>
    <row r="29" spans="1:14" x14ac:dyDescent="0.25">
      <c r="A29" s="30">
        <v>28</v>
      </c>
      <c r="B29" s="25"/>
      <c r="C29" s="25"/>
      <c r="D29" s="15"/>
      <c r="E29" s="15"/>
      <c r="F29" s="15"/>
      <c r="G29" s="30"/>
      <c r="H29" s="27"/>
      <c r="I29" s="27"/>
      <c r="J29" s="27"/>
      <c r="K29" s="25"/>
      <c r="L29" s="15"/>
      <c r="M29" s="27"/>
      <c r="N29" s="27"/>
    </row>
    <row r="30" spans="1:14" x14ac:dyDescent="0.25">
      <c r="A30" s="30">
        <v>29</v>
      </c>
      <c r="B30" s="25"/>
      <c r="C30" s="25"/>
      <c r="D30" s="15"/>
      <c r="E30" s="15"/>
      <c r="F30" s="15"/>
      <c r="G30" s="30"/>
      <c r="H30" s="27"/>
      <c r="I30" s="27"/>
      <c r="J30" s="27"/>
      <c r="K30" s="25"/>
      <c r="L30" s="15"/>
      <c r="M30" s="27"/>
      <c r="N30" s="27"/>
    </row>
    <row r="31" spans="1:14" x14ac:dyDescent="0.25">
      <c r="A31" s="30">
        <v>30</v>
      </c>
      <c r="B31" s="25"/>
      <c r="C31" s="25"/>
      <c r="D31" s="15"/>
      <c r="E31" s="15"/>
      <c r="F31" s="15"/>
      <c r="G31" s="30"/>
      <c r="H31" s="27"/>
      <c r="I31" s="27"/>
      <c r="J31" s="30"/>
      <c r="K31" s="25"/>
      <c r="L31" s="15"/>
      <c r="M31" s="27"/>
      <c r="N31" s="30"/>
    </row>
    <row r="32" spans="1:14" x14ac:dyDescent="0.25">
      <c r="A32" s="30">
        <v>31</v>
      </c>
      <c r="B32" s="25"/>
      <c r="C32" s="25"/>
      <c r="D32" s="15"/>
      <c r="E32" s="15"/>
      <c r="F32" s="15"/>
      <c r="G32" s="30"/>
      <c r="H32" s="27"/>
      <c r="I32" s="30"/>
      <c r="J32" s="30"/>
      <c r="K32" s="25"/>
      <c r="L32" s="15"/>
      <c r="M32" s="27"/>
      <c r="N32" s="30"/>
    </row>
    <row r="33" spans="1:14" x14ac:dyDescent="0.25">
      <c r="A33" s="30">
        <v>32</v>
      </c>
      <c r="B33" s="30"/>
      <c r="C33" s="25"/>
      <c r="D33" s="15"/>
      <c r="E33" s="15"/>
      <c r="F33" s="15"/>
      <c r="G33" s="30"/>
      <c r="H33" s="27"/>
      <c r="I33" s="30"/>
      <c r="J33" s="30"/>
      <c r="K33" s="25"/>
      <c r="L33" s="15"/>
      <c r="M33" s="27"/>
      <c r="N33" s="30"/>
    </row>
    <row r="34" spans="1:14" x14ac:dyDescent="0.25">
      <c r="A34" s="30">
        <v>33</v>
      </c>
      <c r="B34" s="30"/>
      <c r="C34" s="25"/>
      <c r="D34" s="15"/>
      <c r="E34" s="15"/>
      <c r="F34" s="15"/>
      <c r="G34" s="30"/>
      <c r="H34" s="27"/>
      <c r="I34" s="30"/>
      <c r="J34" s="30"/>
      <c r="K34" s="25"/>
      <c r="L34" s="15"/>
      <c r="M34" s="27"/>
      <c r="N34" s="30"/>
    </row>
    <row r="35" spans="1:14" x14ac:dyDescent="0.25">
      <c r="A35" s="30">
        <v>34</v>
      </c>
      <c r="B35" s="30"/>
      <c r="C35" s="25"/>
      <c r="D35" s="15"/>
      <c r="E35" s="15"/>
      <c r="F35" s="15"/>
      <c r="G35" s="30"/>
      <c r="H35" s="27"/>
      <c r="I35" s="30"/>
      <c r="J35" s="30"/>
      <c r="K35" s="25"/>
      <c r="L35" s="15"/>
      <c r="M35" s="27"/>
      <c r="N35" s="30"/>
    </row>
    <row r="36" spans="1:14" x14ac:dyDescent="0.25">
      <c r="A36" s="30">
        <v>35</v>
      </c>
      <c r="B36" s="30"/>
      <c r="C36" s="25"/>
      <c r="D36" s="15"/>
      <c r="E36" s="15"/>
      <c r="F36" s="15"/>
      <c r="G36" s="30"/>
      <c r="H36" s="27"/>
      <c r="I36" s="30"/>
      <c r="J36" s="30"/>
      <c r="K36" s="25"/>
      <c r="L36" s="15"/>
      <c r="M36" s="27"/>
      <c r="N36" s="30"/>
    </row>
    <row r="37" spans="1:14" x14ac:dyDescent="0.25">
      <c r="A37" s="30">
        <v>36</v>
      </c>
      <c r="B37" s="30"/>
      <c r="C37" s="25"/>
      <c r="D37" s="15"/>
      <c r="E37" s="15"/>
      <c r="F37" s="15"/>
      <c r="G37" s="30"/>
      <c r="H37" s="27"/>
      <c r="I37" s="30"/>
      <c r="J37" s="30"/>
      <c r="K37" s="25"/>
      <c r="L37" s="15"/>
      <c r="M37" s="27"/>
      <c r="N37" s="30"/>
    </row>
    <row r="38" spans="1:14" x14ac:dyDescent="0.25">
      <c r="A38" s="30">
        <v>37</v>
      </c>
      <c r="B38" s="30"/>
      <c r="C38" s="25"/>
      <c r="D38" s="15"/>
      <c r="E38" s="15"/>
      <c r="F38" s="15"/>
      <c r="G38" s="30"/>
      <c r="H38" s="27"/>
      <c r="I38" s="30"/>
      <c r="J38" s="30"/>
      <c r="K38" s="25"/>
      <c r="L38" s="15"/>
      <c r="M38" s="27"/>
      <c r="N38" s="30"/>
    </row>
    <row r="39" spans="1:14" x14ac:dyDescent="0.25">
      <c r="A39" s="30">
        <v>38</v>
      </c>
      <c r="B39" s="30"/>
      <c r="C39" s="25"/>
      <c r="D39" s="15"/>
      <c r="E39" s="15"/>
      <c r="F39" s="15"/>
      <c r="G39" s="30"/>
      <c r="H39" s="27"/>
      <c r="I39" s="30"/>
      <c r="J39" s="30"/>
      <c r="K39" s="25"/>
      <c r="L39" s="15"/>
      <c r="M39" s="27"/>
      <c r="N39" s="30"/>
    </row>
    <row r="40" spans="1:14" x14ac:dyDescent="0.25">
      <c r="A40" s="30">
        <v>39</v>
      </c>
      <c r="B40" s="30"/>
      <c r="C40" s="25"/>
      <c r="D40" s="15"/>
      <c r="E40" s="15"/>
      <c r="F40" s="15"/>
      <c r="G40" s="30"/>
      <c r="H40" s="27"/>
      <c r="I40" s="30"/>
      <c r="J40" s="30"/>
      <c r="K40" s="25"/>
      <c r="L40" s="15"/>
      <c r="M40" s="27"/>
      <c r="N40" s="30"/>
    </row>
    <row r="41" spans="1:14" x14ac:dyDescent="0.25">
      <c r="A41" s="30">
        <v>40</v>
      </c>
      <c r="B41" s="30"/>
      <c r="C41" s="25"/>
      <c r="D41" s="15"/>
      <c r="E41" s="15"/>
      <c r="F41" s="15"/>
      <c r="G41" s="30"/>
      <c r="H41" s="27"/>
      <c r="I41" s="30"/>
      <c r="J41" s="30"/>
      <c r="K41" s="25"/>
      <c r="L41" s="15"/>
      <c r="M41" s="27"/>
      <c r="N41" s="30"/>
    </row>
    <row r="42" spans="1:14" x14ac:dyDescent="0.25">
      <c r="A42" s="30">
        <v>41</v>
      </c>
      <c r="B42" s="30"/>
      <c r="C42" s="25"/>
      <c r="D42" s="15"/>
      <c r="E42" s="15"/>
      <c r="F42" s="15"/>
      <c r="G42" s="30"/>
      <c r="H42" s="27"/>
      <c r="I42" s="30"/>
      <c r="J42" s="30"/>
      <c r="K42" s="25"/>
      <c r="L42" s="15"/>
      <c r="M42" s="27"/>
      <c r="N42" s="30"/>
    </row>
    <row r="43" spans="1:14" x14ac:dyDescent="0.25">
      <c r="A43" s="30">
        <v>42</v>
      </c>
      <c r="B43" s="30"/>
      <c r="C43" s="25"/>
      <c r="D43" s="15"/>
      <c r="E43" s="15"/>
      <c r="F43" s="15"/>
      <c r="G43" s="30"/>
      <c r="H43" s="27"/>
      <c r="I43" s="30"/>
      <c r="J43" s="30"/>
      <c r="K43" s="25"/>
      <c r="L43" s="15"/>
      <c r="M43" s="27"/>
      <c r="N43" s="30"/>
    </row>
    <row r="44" spans="1:14" x14ac:dyDescent="0.25">
      <c r="A44" s="30">
        <v>43</v>
      </c>
      <c r="B44" s="30"/>
      <c r="C44" s="25"/>
      <c r="D44" s="15"/>
      <c r="E44" s="15"/>
      <c r="F44" s="15"/>
      <c r="G44" s="30"/>
      <c r="H44" s="27"/>
      <c r="I44" s="30"/>
      <c r="J44" s="30"/>
      <c r="K44" s="25"/>
      <c r="L44" s="15"/>
      <c r="M44" s="27"/>
      <c r="N44" s="30"/>
    </row>
    <row r="45" spans="1:14" x14ac:dyDescent="0.25">
      <c r="A45" s="30">
        <v>44</v>
      </c>
      <c r="B45" s="30"/>
      <c r="C45" s="25"/>
      <c r="D45" s="15"/>
      <c r="E45" s="15"/>
      <c r="F45" s="15"/>
      <c r="G45" s="30"/>
      <c r="H45" s="27"/>
      <c r="I45" s="30"/>
      <c r="J45" s="30"/>
      <c r="K45" s="25"/>
      <c r="L45" s="15"/>
      <c r="M45" s="27"/>
      <c r="N45" s="30"/>
    </row>
    <row r="46" spans="1:14" x14ac:dyDescent="0.25">
      <c r="A46" s="30">
        <v>45</v>
      </c>
      <c r="B46" s="30"/>
      <c r="C46" s="25"/>
      <c r="D46" s="15"/>
      <c r="E46" s="15"/>
      <c r="F46" s="15"/>
      <c r="G46" s="30"/>
      <c r="H46" s="27"/>
      <c r="I46" s="30"/>
      <c r="J46" s="30"/>
      <c r="K46" s="25"/>
      <c r="L46" s="15"/>
      <c r="M46" s="27"/>
      <c r="N46" s="30"/>
    </row>
    <row r="47" spans="1:14" x14ac:dyDescent="0.25">
      <c r="A47" s="30">
        <v>46</v>
      </c>
      <c r="B47" s="30"/>
      <c r="C47" s="25"/>
      <c r="D47" s="15"/>
      <c r="E47" s="15"/>
      <c r="F47" s="15"/>
      <c r="G47" s="30"/>
      <c r="H47" s="27"/>
      <c r="I47" s="30"/>
      <c r="J47" s="30"/>
      <c r="K47" s="25"/>
      <c r="L47" s="15"/>
      <c r="M47" s="27"/>
      <c r="N47" s="30"/>
    </row>
    <row r="48" spans="1:14" x14ac:dyDescent="0.25">
      <c r="A48" s="30">
        <v>47</v>
      </c>
      <c r="B48" s="30"/>
      <c r="C48" s="25"/>
      <c r="D48" s="15"/>
      <c r="E48" s="15"/>
      <c r="F48" s="15"/>
      <c r="G48" s="30"/>
      <c r="H48" s="27"/>
      <c r="I48" s="30"/>
      <c r="J48" s="30"/>
      <c r="K48" s="25"/>
      <c r="L48" s="15"/>
      <c r="M48" s="27"/>
      <c r="N48" s="30"/>
    </row>
    <row r="49" spans="1:14" x14ac:dyDescent="0.25">
      <c r="A49" s="30">
        <v>48</v>
      </c>
      <c r="B49" s="30"/>
      <c r="C49" s="25"/>
      <c r="D49" s="15"/>
      <c r="E49" s="15"/>
      <c r="F49" s="15"/>
      <c r="G49" s="30"/>
      <c r="H49" s="27"/>
      <c r="I49" s="30"/>
      <c r="J49" s="30"/>
      <c r="K49" s="25"/>
      <c r="L49" s="15"/>
      <c r="M49" s="27"/>
      <c r="N49" s="30"/>
    </row>
    <row r="50" spans="1:14" x14ac:dyDescent="0.25">
      <c r="A50" s="30">
        <v>49</v>
      </c>
      <c r="B50" s="30"/>
      <c r="C50" s="25"/>
      <c r="D50" s="15"/>
      <c r="E50" s="15"/>
      <c r="F50" s="15"/>
      <c r="G50" s="30"/>
      <c r="H50" s="27"/>
      <c r="I50" s="30"/>
      <c r="J50" s="30"/>
      <c r="K50" s="25"/>
      <c r="L50" s="15"/>
      <c r="M50" s="27"/>
      <c r="N50" s="30"/>
    </row>
    <row r="51" spans="1:14" x14ac:dyDescent="0.25">
      <c r="A51" s="30">
        <v>50</v>
      </c>
      <c r="B51" s="30"/>
      <c r="C51" s="25"/>
      <c r="D51" s="15"/>
      <c r="E51" s="15"/>
      <c r="F51" s="15"/>
      <c r="G51" s="30"/>
      <c r="H51" s="27"/>
      <c r="I51" s="30"/>
      <c r="J51" s="30"/>
      <c r="K51" s="25"/>
      <c r="L51" s="15"/>
      <c r="M51" s="27"/>
      <c r="N51" s="30"/>
    </row>
  </sheetData>
  <autoFilter ref="A1:N51" xr:uid="{AC2894D6-04F1-40B9-AE17-FEC113C806B4}"/>
  <conditionalFormatting sqref="F1:F1048576">
    <cfRule type="containsText" dxfId="7" priority="4" operator="containsText" text="Resolved">
      <formula>NOT(ISERROR(SEARCH("Resolved",F1)))</formula>
    </cfRule>
  </conditionalFormatting>
  <conditionalFormatting sqref="F2:F1048576">
    <cfRule type="containsText" dxfId="6" priority="1" operator="containsText" text="No Action">
      <formula>NOT(ISERROR(SEARCH("No Action",F2)))</formula>
    </cfRule>
    <cfRule type="containsText" dxfId="5" priority="2" operator="containsText" text="New">
      <formula>NOT(ISERROR(SEARCH("New",F2)))</formula>
    </cfRule>
    <cfRule type="containsText" dxfId="4" priority="3" operator="containsText" text="Retest In Progress">
      <formula>NOT(ISERROR(SEARCH("Retest In Progress",F2)))</formula>
    </cfRule>
    <cfRule type="containsText" dxfId="3" priority="5" operator="containsText" text="Return to Dev">
      <formula>NOT(ISERROR(SEARCH("Return to Dev",F2)))</formula>
    </cfRule>
  </conditionalFormatting>
  <conditionalFormatting sqref="L2:L1048576">
    <cfRule type="containsText" dxfId="2" priority="10" operator="containsText" text="Pass with Comments">
      <formula>NOT(ISERROR(SEARCH("Pass with Comments",L2)))</formula>
    </cfRule>
    <cfRule type="containsText" dxfId="1" priority="11" operator="containsText" text="Fail">
      <formula>NOT(ISERROR(SEARCH("Fail",L2)))</formula>
    </cfRule>
    <cfRule type="containsText" dxfId="0" priority="12" operator="containsText" text="Pass">
      <formula>NOT(ISERROR(SEARCH("Pass",L2)))</formula>
    </cfRule>
  </conditionalFormatting>
  <dataValidations count="1">
    <dataValidation type="list" allowBlank="1" showInputMessage="1" showErrorMessage="1" sqref="C2:C51" xr:uid="{A0E44C65-F303-4B81-90E6-640E3027D3BB}">
      <formula1>"Both,Web Only,PB Only"</formula1>
    </dataValidation>
  </dataValidations>
  <hyperlinks>
    <hyperlink ref="H7" location="'6'!A1" display="Violation Agency X-Ref Delete" xr:uid="{15745CCD-B8E3-4387-9739-FED0C0783420}"/>
    <hyperlink ref="H12" location="'11'!A1" display="F3 Refresh" xr:uid="{E252D9C9-8468-42F0-9987-DD570583A597}"/>
  </hyperlink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L2:L51</xm:sqref>
        </x14:dataValidation>
        <x14:dataValidation type="list" allowBlank="1" showInputMessage="1" showErrorMessage="1" xr:uid="{13D3BE25-BF98-4733-B1E7-AA4DB88ADC41}">
          <x14:formula1>
            <xm:f>Sheet2!$C$2:$C$6</xm:f>
          </x14:formula1>
          <xm:sqref>F2:F1048576</xm:sqref>
        </x14:dataValidation>
        <x14:dataValidation type="list" allowBlank="1" showInputMessage="1" showErrorMessage="1" xr:uid="{E7C9154B-8A5C-4F27-AF31-58E8AF26A163}">
          <x14:formula1>
            <xm:f>Sheet2!$F$1:$F$3</xm:f>
          </x14:formula1>
          <xm:sqref>E2:E1048576</xm:sqref>
        </x14:dataValidation>
        <x14:dataValidation type="list" allowBlank="1" showInputMessage="1" showErrorMessage="1" xr:uid="{3906557F-AEE2-41CE-81DC-5F122F965822}">
          <x14:formula1>
            <xm:f>Sheet2!$H$1:$H$2</xm:f>
          </x14:formula1>
          <xm:sqref>D2:D51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0B8EC-4B69-4635-869F-4F2FE1572348}">
  <dimension ref="A1:R9"/>
  <sheetViews>
    <sheetView topLeftCell="A2" workbookViewId="0">
      <selection activeCell="T83" sqref="T83"/>
    </sheetView>
  </sheetViews>
  <sheetFormatPr defaultRowHeight="15" x14ac:dyDescent="0.25"/>
  <cols>
    <col min="1" max="2" width="9.140625" style="12"/>
    <col min="3" max="3" width="16.42578125" style="12" bestFit="1" customWidth="1"/>
    <col min="4" max="4" width="16.28515625" style="12" bestFit="1" customWidth="1"/>
    <col min="5" max="5" width="9.7109375" style="12" bestFit="1" customWidth="1"/>
    <col min="6" max="8" width="11.28515625" style="12" bestFit="1" customWidth="1"/>
    <col min="9" max="11" width="9.140625" style="12"/>
    <col min="12" max="12" width="13.140625" style="12" bestFit="1" customWidth="1"/>
    <col min="13" max="13" width="17.28515625" style="12" bestFit="1" customWidth="1"/>
    <col min="14" max="14" width="13.42578125" style="12" bestFit="1" customWidth="1"/>
    <col min="15" max="15" width="13.140625" style="12" bestFit="1" customWidth="1"/>
    <col min="16" max="16" width="14.5703125" style="12" bestFit="1" customWidth="1"/>
    <col min="17" max="17" width="13.42578125" style="12" bestFit="1" customWidth="1"/>
    <col min="18" max="18" width="15.140625" style="12" bestFit="1" customWidth="1"/>
    <col min="19" max="16384" width="9.140625" style="12"/>
  </cols>
  <sheetData>
    <row r="1" spans="1:18" hidden="1" x14ac:dyDescent="0.25">
      <c r="A1" s="32"/>
      <c r="B1" s="32"/>
      <c r="C1" s="18" t="s">
        <v>70</v>
      </c>
      <c r="D1" s="18" t="s">
        <v>71</v>
      </c>
      <c r="E1" s="19"/>
      <c r="F1" s="19"/>
      <c r="G1"/>
      <c r="H1"/>
      <c r="I1"/>
      <c r="J1"/>
      <c r="K1"/>
      <c r="L1" s="32"/>
      <c r="M1"/>
      <c r="N1"/>
      <c r="O1"/>
      <c r="P1"/>
      <c r="Q1"/>
      <c r="R1"/>
    </row>
    <row r="2" spans="1:18" x14ac:dyDescent="0.25">
      <c r="A2" s="32"/>
      <c r="B2" s="32"/>
      <c r="C2" s="35" t="s">
        <v>72</v>
      </c>
      <c r="D2" s="36" t="s">
        <v>100</v>
      </c>
      <c r="E2" s="19" t="s">
        <v>101</v>
      </c>
      <c r="F2" s="36" t="s">
        <v>73</v>
      </c>
      <c r="G2"/>
      <c r="H2"/>
      <c r="I2"/>
      <c r="J2"/>
      <c r="K2"/>
      <c r="L2" s="18" t="s">
        <v>72</v>
      </c>
      <c r="M2" s="19" t="s">
        <v>74</v>
      </c>
      <c r="N2" s="32"/>
      <c r="O2" s="18" t="s">
        <v>72</v>
      </c>
      <c r="P2" s="19" t="s">
        <v>70</v>
      </c>
      <c r="Q2"/>
      <c r="R2"/>
    </row>
    <row r="3" spans="1:18" x14ac:dyDescent="0.25">
      <c r="A3" s="13">
        <v>1</v>
      </c>
      <c r="B3" s="14">
        <v>0.5</v>
      </c>
      <c r="C3" s="37">
        <v>46190</v>
      </c>
      <c r="D3" s="38">
        <v>14</v>
      </c>
      <c r="E3" s="38"/>
      <c r="F3" s="38">
        <v>14</v>
      </c>
      <c r="G3"/>
      <c r="H3"/>
      <c r="I3"/>
      <c r="J3"/>
      <c r="K3"/>
      <c r="L3" s="21" t="s">
        <v>26</v>
      </c>
      <c r="M3" s="20">
        <v>13</v>
      </c>
      <c r="N3" s="32"/>
      <c r="O3" s="21" t="s">
        <v>100</v>
      </c>
      <c r="P3" s="20">
        <v>14</v>
      </c>
      <c r="Q3"/>
      <c r="R3"/>
    </row>
    <row r="4" spans="1:18" x14ac:dyDescent="0.25">
      <c r="A4" s="32"/>
      <c r="B4" s="32"/>
      <c r="C4" s="39" t="s">
        <v>25</v>
      </c>
      <c r="D4" s="40">
        <v>12</v>
      </c>
      <c r="E4" s="40"/>
      <c r="F4" s="40">
        <v>12</v>
      </c>
      <c r="G4"/>
      <c r="H4"/>
      <c r="I4"/>
      <c r="J4"/>
      <c r="K4"/>
      <c r="L4" s="21" t="s">
        <v>16</v>
      </c>
      <c r="M4" s="20">
        <v>2</v>
      </c>
      <c r="N4" s="32"/>
      <c r="O4" s="21" t="s">
        <v>101</v>
      </c>
      <c r="P4" s="20">
        <v>1</v>
      </c>
      <c r="Q4"/>
      <c r="R4"/>
    </row>
    <row r="5" spans="1:18" x14ac:dyDescent="0.25">
      <c r="A5"/>
      <c r="B5"/>
      <c r="C5" s="39" t="s">
        <v>15</v>
      </c>
      <c r="D5" s="40">
        <v>2</v>
      </c>
      <c r="E5" s="40"/>
      <c r="F5" s="40">
        <v>2</v>
      </c>
      <c r="G5"/>
      <c r="H5"/>
      <c r="I5"/>
      <c r="J5"/>
      <c r="K5"/>
      <c r="L5" s="21" t="s">
        <v>73</v>
      </c>
      <c r="M5" s="20">
        <v>15</v>
      </c>
      <c r="N5" s="32"/>
      <c r="O5" s="21" t="s">
        <v>73</v>
      </c>
      <c r="P5" s="20">
        <v>15</v>
      </c>
      <c r="Q5"/>
      <c r="R5"/>
    </row>
    <row r="6" spans="1:18" x14ac:dyDescent="0.25">
      <c r="A6" s="13">
        <v>2</v>
      </c>
      <c r="B6" s="14">
        <v>0.16666666666666666</v>
      </c>
      <c r="C6" s="37">
        <v>46211</v>
      </c>
      <c r="D6" s="38"/>
      <c r="E6" s="38">
        <v>1</v>
      </c>
      <c r="F6" s="38">
        <v>1</v>
      </c>
      <c r="G6"/>
      <c r="H6"/>
      <c r="I6"/>
      <c r="J6"/>
      <c r="K6"/>
      <c r="L6" s="32"/>
      <c r="M6"/>
      <c r="N6"/>
      <c r="O6"/>
      <c r="P6"/>
      <c r="Q6"/>
      <c r="R6"/>
    </row>
    <row r="7" spans="1:18" x14ac:dyDescent="0.25">
      <c r="A7" s="32"/>
      <c r="B7" s="32"/>
      <c r="C7" s="39" t="s">
        <v>25</v>
      </c>
      <c r="D7" s="40"/>
      <c r="E7" s="40">
        <v>1</v>
      </c>
      <c r="F7" s="40">
        <v>1</v>
      </c>
      <c r="G7"/>
      <c r="H7"/>
      <c r="I7"/>
      <c r="J7"/>
      <c r="K7"/>
      <c r="L7" s="32"/>
      <c r="M7"/>
      <c r="N7"/>
      <c r="O7"/>
      <c r="P7"/>
      <c r="Q7"/>
      <c r="R7"/>
    </row>
    <row r="8" spans="1:18" x14ac:dyDescent="0.25">
      <c r="A8" s="13">
        <v>3</v>
      </c>
      <c r="B8" s="14">
        <v>4.1666666666666664E-2</v>
      </c>
      <c r="C8" s="41" t="s">
        <v>73</v>
      </c>
      <c r="D8" s="40">
        <v>14</v>
      </c>
      <c r="E8" s="40">
        <v>1</v>
      </c>
      <c r="F8" s="40">
        <v>15</v>
      </c>
      <c r="G8"/>
      <c r="H8"/>
      <c r="I8"/>
      <c r="J8"/>
      <c r="K8"/>
      <c r="L8" s="32"/>
      <c r="M8" s="32"/>
      <c r="N8" s="32"/>
      <c r="O8" s="32"/>
      <c r="P8" s="32"/>
      <c r="Q8" s="32"/>
      <c r="R8" s="32"/>
    </row>
    <row r="9" spans="1:18" x14ac:dyDescent="0.25">
      <c r="A9" s="32"/>
      <c r="B9" s="32"/>
      <c r="C9"/>
      <c r="D9"/>
      <c r="E9"/>
      <c r="F9"/>
      <c r="G9" s="32"/>
      <c r="H9" s="32"/>
      <c r="I9" s="32"/>
      <c r="J9" s="32"/>
      <c r="K9" s="32"/>
      <c r="L9" s="32"/>
      <c r="M9" s="32"/>
      <c r="N9" s="32"/>
      <c r="O9" s="32"/>
      <c r="P9" s="32"/>
      <c r="Q9" s="32"/>
      <c r="R9"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C1F24-123B-4F7C-A705-6132BC01D0BD}">
  <dimension ref="A2:B13"/>
  <sheetViews>
    <sheetView workbookViewId="0">
      <selection activeCell="E6" sqref="E6"/>
    </sheetView>
  </sheetViews>
  <sheetFormatPr defaultRowHeight="15" x14ac:dyDescent="0.25"/>
  <cols>
    <col min="1" max="1" width="13.140625" bestFit="1" customWidth="1"/>
    <col min="2" max="2" width="19.42578125" bestFit="1" customWidth="1"/>
  </cols>
  <sheetData>
    <row r="2" spans="1:2" x14ac:dyDescent="0.25">
      <c r="A2" t="s">
        <v>75</v>
      </c>
      <c r="B2" t="s">
        <v>76</v>
      </c>
    </row>
    <row r="3" spans="1:2" x14ac:dyDescent="0.25">
      <c r="A3" t="s">
        <v>77</v>
      </c>
      <c r="B3" t="s">
        <v>78</v>
      </c>
    </row>
    <row r="4" spans="1:2" x14ac:dyDescent="0.25">
      <c r="A4" t="s">
        <v>79</v>
      </c>
      <c r="B4" t="s">
        <v>80</v>
      </c>
    </row>
    <row r="5" spans="1:2" x14ac:dyDescent="0.25">
      <c r="A5" t="s">
        <v>81</v>
      </c>
      <c r="B5" t="s">
        <v>82</v>
      </c>
    </row>
    <row r="6" spans="1:2" x14ac:dyDescent="0.25">
      <c r="A6" t="s">
        <v>83</v>
      </c>
      <c r="B6" t="s">
        <v>84</v>
      </c>
    </row>
    <row r="7" spans="1:2" x14ac:dyDescent="0.25">
      <c r="A7" t="s">
        <v>85</v>
      </c>
      <c r="B7" t="s">
        <v>76</v>
      </c>
    </row>
    <row r="8" spans="1:2" x14ac:dyDescent="0.25">
      <c r="A8" t="s">
        <v>86</v>
      </c>
      <c r="B8" t="s">
        <v>76</v>
      </c>
    </row>
    <row r="9" spans="1:2" x14ac:dyDescent="0.25">
      <c r="A9" t="s">
        <v>87</v>
      </c>
      <c r="B9" t="s">
        <v>88</v>
      </c>
    </row>
    <row r="10" spans="1:2" x14ac:dyDescent="0.25">
      <c r="A10" t="s">
        <v>89</v>
      </c>
      <c r="B10" t="s">
        <v>88</v>
      </c>
    </row>
    <row r="11" spans="1:2" x14ac:dyDescent="0.25">
      <c r="A11" t="s">
        <v>90</v>
      </c>
      <c r="B11" t="s">
        <v>78</v>
      </c>
    </row>
    <row r="12" spans="1:2" x14ac:dyDescent="0.25">
      <c r="A12" t="s">
        <v>91</v>
      </c>
      <c r="B12" t="s">
        <v>88</v>
      </c>
    </row>
    <row r="13" spans="1:2" x14ac:dyDescent="0.25">
      <c r="A13" t="s">
        <v>92</v>
      </c>
      <c r="B13"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3D808-059B-4ECF-AA54-F05521E5C2CC}">
  <dimension ref="A1"/>
  <sheetViews>
    <sheetView topLeftCell="A22"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1FD4-E4AE-4526-8362-FBB394449799}">
  <dimension ref="A1"/>
  <sheetViews>
    <sheetView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94</v>
      </c>
      <c r="F1" t="s">
        <v>95</v>
      </c>
      <c r="H1" t="s">
        <v>25</v>
      </c>
    </row>
    <row r="2" spans="1:8" x14ac:dyDescent="0.25">
      <c r="A2" t="s">
        <v>96</v>
      </c>
      <c r="C2" t="s">
        <v>97</v>
      </c>
      <c r="F2" t="s">
        <v>26</v>
      </c>
      <c r="H2" t="s">
        <v>15</v>
      </c>
    </row>
    <row r="3" spans="1:8" x14ac:dyDescent="0.25">
      <c r="A3" t="s">
        <v>98</v>
      </c>
      <c r="C3" t="s">
        <v>99</v>
      </c>
      <c r="F3" t="s">
        <v>16</v>
      </c>
    </row>
    <row r="4" spans="1:8" x14ac:dyDescent="0.25">
      <c r="C4" t="s">
        <v>100</v>
      </c>
    </row>
    <row r="5" spans="1:8" x14ac:dyDescent="0.25">
      <c r="C5" t="s">
        <v>17</v>
      </c>
    </row>
    <row r="6" spans="1:8" x14ac:dyDescent="0.25">
      <c r="C6" t="s">
        <v>101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16</xvqq>
    <Notes xmlns="3d05c41d-42c7-4345-8236-8005f0c89855">Dev: NV | BSA: MU</Notes>
    <lcf76f155ced4ddcb4097134ff3c332f xmlns="3d05c41d-42c7-4345-8236-8005f0c8985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6E518C-A4B4-4D33-8918-1CF5365D7E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4EED5A-6E5F-40C5-9AEF-0B62B473C06D}">
  <ds:schemaRefs>
    <ds:schemaRef ds:uri="http://schemas.microsoft.com/office/2006/documentManagement/types"/>
    <ds:schemaRef ds:uri="3d05c41d-42c7-4345-8236-8005f0c89855"/>
    <ds:schemaRef ds:uri="http://purl.org/dc/elements/1.1/"/>
    <ds:schemaRef ds:uri="http://schemas.microsoft.com/office/2006/metadata/properties"/>
    <ds:schemaRef ds:uri="http://schemas.microsoft.com/office/infopath/2007/PartnerControls"/>
    <ds:schemaRef ds:uri="29065daa-3ce8-4783-94b0-fa366394ba57"/>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6B5146E5-CF4E-4085-BE9F-ED12D10E8B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DEFECTS</vt:lpstr>
      <vt:lpstr>SUMMARY</vt:lpstr>
      <vt:lpstr>Table Structure</vt:lpstr>
      <vt:lpstr>6</vt:lpstr>
      <vt:lpstr>11</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Melanie Uyehara</cp:lastModifiedBy>
  <cp:revision/>
  <dcterms:created xsi:type="dcterms:W3CDTF">2025-10-01T18:45:47Z</dcterms:created>
  <dcterms:modified xsi:type="dcterms:W3CDTF">2026-07-15T23:19:46Z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