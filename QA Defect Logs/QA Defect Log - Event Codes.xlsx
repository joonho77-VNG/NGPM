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03"/>
  <workbookPr/>
  <mc:AlternateContent xmlns:mc="http://schemas.openxmlformats.org/markup-compatibility/2006">
    <mc:Choice Requires="x15">
      <x15ac:absPath xmlns:x15ac="http://schemas.microsoft.com/office/spreadsheetml/2010/11/ac" url="https://occourts.sharepoint.com/sites/Vision_ILJ/General Documentation/Knowledge Sharing Documents/Vision Team Knowledge/Vision NG - Grouping/QA Defect Logs/"/>
    </mc:Choice>
  </mc:AlternateContent>
  <xr:revisionPtr revIDLastSave="1343" documentId="8_{9454B760-7BBC-4EF7-A506-18ED92768509}" xr6:coauthVersionLast="47" xr6:coauthVersionMax="47" xr10:uidLastSave="{1E83E62C-7007-44DC-9055-CB84C3637D6A}"/>
  <bookViews>
    <workbookView xWindow="36615" yWindow="-1470" windowWidth="29010" windowHeight="15345" firstSheet="1" activeTab="1" xr2:uid="{7496AAB9-9610-4154-B91D-ED1C66077D08}"/>
  </bookViews>
  <sheets>
    <sheet name="DEFECTS" sheetId="1" r:id="rId1"/>
    <sheet name="SUMMARY" sheetId="9" r:id="rId2"/>
    <sheet name="37" sheetId="10" r:id="rId3"/>
    <sheet name="Sheet2" sheetId="3" state="hidden" r:id="rId4"/>
  </sheets>
  <definedNames>
    <definedName name="_xlnm._FilterDatabase" localSheetId="0" hidden="1">DEFECTS!$A$1:$M$49</definedName>
    <definedName name="_xlnm._FilterDatabase" localSheetId="1" hidden="1">SUMMARY!#REF!</definedName>
  </definedNames>
  <calcPr calcId="191028"/>
  <pivotCaches>
    <pivotCache cacheId="137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 l="1"/>
  <c r="A37" i="1"/>
  <c r="A39" i="1"/>
  <c r="A38" i="1"/>
  <c r="A36" i="1"/>
</calcChain>
</file>

<file path=xl/sharedStrings.xml><?xml version="1.0" encoding="utf-8"?>
<sst xmlns="http://schemas.openxmlformats.org/spreadsheetml/2006/main" count="547" uniqueCount="248">
  <si>
    <t>ID</t>
  </si>
  <si>
    <t>Date Tested</t>
  </si>
  <si>
    <t>Interface</t>
  </si>
  <si>
    <t>Scenario Type</t>
  </si>
  <si>
    <t>Bug Type</t>
  </si>
  <si>
    <t>Status</t>
  </si>
  <si>
    <t>Window
Column(s)</t>
  </si>
  <si>
    <t>Summary</t>
  </si>
  <si>
    <t>NG Display/Scenario</t>
  </si>
  <si>
    <t>Testing Comments</t>
  </si>
  <si>
    <t>Date
Retest</t>
  </si>
  <si>
    <t>Retest
Pass/Fail</t>
  </si>
  <si>
    <t>BSA Comments</t>
  </si>
  <si>
    <t>Dev Comments</t>
  </si>
  <si>
    <t>Functionality</t>
  </si>
  <si>
    <t>Major</t>
  </si>
  <si>
    <t>Resolved</t>
  </si>
  <si>
    <t>Window</t>
  </si>
  <si>
    <t>Loading Time</t>
  </si>
  <si>
    <t>Takes ~8 seconds to load</t>
  </si>
  <si>
    <t>Current window is immediate</t>
  </si>
  <si>
    <t>Pass</t>
  </si>
  <si>
    <r>
      <rPr>
        <b/>
        <sz val="11"/>
        <color theme="0" tint="-0.34998626667073579"/>
        <rFont val="Calibri"/>
        <family val="2"/>
      </rPr>
      <t xml:space="preserve">11/03: </t>
    </r>
    <r>
      <rPr>
        <sz val="11"/>
        <color theme="0" tint="-0.34998626667073579"/>
        <rFont val="Calibri"/>
        <family val="2"/>
      </rPr>
      <t xml:space="preserve">devs working on issue per 10/29 meeting
</t>
    </r>
    <r>
      <rPr>
        <b/>
        <sz val="11"/>
        <color theme="0" tint="-0.34998626667073579"/>
        <rFont val="Calibri"/>
        <family val="2"/>
      </rPr>
      <t>11/18:</t>
    </r>
    <r>
      <rPr>
        <sz val="11"/>
        <color theme="0" tint="-0.34998626667073579"/>
        <rFont val="Calibri"/>
        <family val="2"/>
      </rPr>
      <t xml:space="preserve"> Same defect exists.
</t>
    </r>
    <r>
      <rPr>
        <b/>
        <sz val="11"/>
        <color theme="0" tint="-0.34998626667073579"/>
        <rFont val="Calibri"/>
        <family val="2"/>
      </rPr>
      <t>11/24:</t>
    </r>
    <r>
      <rPr>
        <sz val="11"/>
        <color theme="0" tint="-0.34998626667073579"/>
        <rFont val="Calibri"/>
        <family val="2"/>
      </rPr>
      <t xml:space="preserve"> BSA retest</t>
    </r>
  </si>
  <si>
    <t>10/31 SM - added virtualization. Please retest
11/26 SM - removed virtualization</t>
  </si>
  <si>
    <t>Save button on initial load</t>
  </si>
  <si>
    <t>Disabled, current window leaves 2nd row icons enabled</t>
  </si>
  <si>
    <r>
      <rPr>
        <b/>
        <sz val="11"/>
        <color theme="0" tint="-0.34998626667073579"/>
        <rFont val="Calibri"/>
        <family val="2"/>
      </rPr>
      <t>11/03:</t>
    </r>
    <r>
      <rPr>
        <sz val="11"/>
        <color theme="0" tint="-0.34998626667073579"/>
        <rFont val="Calibri"/>
        <family val="2"/>
      </rPr>
      <t xml:space="preserve"> enable for edit and add per 10/29 meeting</t>
    </r>
  </si>
  <si>
    <t>11/4 SM - save button enabled for edits</t>
  </si>
  <si>
    <t>UI</t>
  </si>
  <si>
    <t>Minor</t>
  </si>
  <si>
    <t>Search Criteria</t>
  </si>
  <si>
    <t>Search Criteria Font</t>
  </si>
  <si>
    <t>"Event Type" and "Owner Agency" appear to be different font from rest of window</t>
  </si>
  <si>
    <t>Current window has same font throughout window</t>
  </si>
  <si>
    <r>
      <rPr>
        <b/>
        <sz val="11"/>
        <color theme="0" tint="-0.34998626667073579"/>
        <rFont val="Calibri"/>
        <family val="2"/>
      </rPr>
      <t xml:space="preserve">11/03: </t>
    </r>
    <r>
      <rPr>
        <sz val="11"/>
        <color theme="0" tint="-0.34998626667073579"/>
        <rFont val="Calibri"/>
        <family val="2"/>
      </rPr>
      <t>BSA retest; devs to review application level CSS</t>
    </r>
  </si>
  <si>
    <t>10/31 SM - has been addressed</t>
  </si>
  <si>
    <t>No Action</t>
  </si>
  <si>
    <t>Retrieve button</t>
  </si>
  <si>
    <t>Color</t>
  </si>
  <si>
    <t>Blue button, white font; current window has gray button, black font</t>
  </si>
  <si>
    <t>Need consistency on buttons</t>
  </si>
  <si>
    <t>Pass with Comments</t>
  </si>
  <si>
    <r>
      <rPr>
        <b/>
        <sz val="11"/>
        <color theme="0" tint="-0.34998626667073579"/>
        <rFont val="Calibri"/>
        <family val="2"/>
      </rPr>
      <t>11/03:</t>
    </r>
    <r>
      <rPr>
        <sz val="11"/>
        <color theme="0" tint="-0.34998626667073579"/>
        <rFont val="Calibri"/>
        <family val="2"/>
      </rPr>
      <t xml:space="preserve"> leave as-is</t>
    </r>
  </si>
  <si>
    <t>Missing section grouping of search criteria</t>
  </si>
  <si>
    <t>No border/color difference to section out Search Criteria; current window has search criteria in gray box</t>
  </si>
  <si>
    <t>Need consistency on search fields</t>
  </si>
  <si>
    <r>
      <rPr>
        <b/>
        <sz val="11"/>
        <color theme="0" tint="-0.34998626667073579"/>
        <rFont val="Calibri"/>
        <family val="2"/>
      </rPr>
      <t xml:space="preserve">11/03: </t>
    </r>
    <r>
      <rPr>
        <sz val="11"/>
        <color theme="0" tint="-0.34998626667073579"/>
        <rFont val="Calibri"/>
        <family val="2"/>
      </rPr>
      <t>color to remain; remove loading spinner after initial load (only show on main load)</t>
    </r>
  </si>
  <si>
    <t>10/31 SM - has been addressed. removed spinner on fetching data.</t>
  </si>
  <si>
    <t>Owner Agency Search</t>
  </si>
  <si>
    <t>No longer can type multiple letters in field to direct user down to section; typed value of "Orange" results in Ecitation AOC CMMS V4 as the value rather than "Orange..." agencies
"ora" &gt; Orange City Attorney
"n" &gt; Newport Beach City Attorney
"g" &gt; Garden Grove City Attorney
"e" Ecitation AOC CMMS V4"</t>
  </si>
  <si>
    <t>Current window searches based on entirety of typed value</t>
  </si>
  <si>
    <r>
      <t xml:space="preserve">11/03:  </t>
    </r>
    <r>
      <rPr>
        <sz val="11"/>
        <color theme="0" tint="-0.34998626667073579"/>
        <rFont val="Calibri"/>
        <family val="2"/>
      </rPr>
      <t>JL to follow up with SyncFusion to see if there is a fix per 10/29 meeting; use filter for this window</t>
    </r>
  </si>
  <si>
    <t>10/31 SM - has been addressed. Added filtering option</t>
  </si>
  <si>
    <t>Event Codes, ROC Codes</t>
  </si>
  <si>
    <t>Header Formatting</t>
  </si>
  <si>
    <t>1. Event Code, Description; ROC, Description: titles are missing underline
2. Invalid: format should be MM/DD/YY black
3. Title font appears to be different than column headers
4. Alignment of titles seems to be a few pixels indented (might be due to font difference)</t>
  </si>
  <si>
    <r>
      <rPr>
        <b/>
        <sz val="11"/>
        <color theme="0" tint="-0.34998626667073579"/>
        <rFont val="Calibri"/>
        <family val="2"/>
      </rPr>
      <t>11/03:</t>
    </r>
    <r>
      <rPr>
        <sz val="11"/>
        <color theme="0" tint="-0.34998626667073579"/>
        <rFont val="Calibri"/>
        <family val="2"/>
      </rPr>
      <t xml:space="preserve"> leave date format as-is per 10/31 meeting; #1 leave as-is (no underline); 3, 4 to be addressed by devs
</t>
    </r>
    <r>
      <rPr>
        <b/>
        <sz val="11"/>
        <color theme="0" tint="-0.34998626667073579"/>
        <rFont val="Calibri"/>
        <family val="2"/>
      </rPr>
      <t>11/19:</t>
    </r>
    <r>
      <rPr>
        <sz val="11"/>
        <color theme="0" tint="-0.34998626667073579"/>
        <rFont val="Calibri"/>
        <family val="2"/>
      </rPr>
      <t xml:space="preserve"> Alignment is close to aligned. Difference cannot be seen unless you zoom in. Passing.</t>
    </r>
  </si>
  <si>
    <t>11/6 SM - 3, 4 addressed</t>
  </si>
  <si>
    <t>Event Codes</t>
  </si>
  <si>
    <t>Existing Event Code/ROC Code message</t>
  </si>
  <si>
    <r>
      <t xml:space="preserve">Fix format: 
1. Event </t>
    </r>
    <r>
      <rPr>
        <sz val="11"/>
        <color rgb="FFFF0000"/>
        <rFont val="Calibri"/>
        <family val="2"/>
      </rPr>
      <t>C</t>
    </r>
    <r>
      <rPr>
        <sz val="11"/>
        <color theme="1"/>
        <rFont val="Calibri"/>
        <family val="2"/>
      </rPr>
      <t xml:space="preserve">ode already exists. Please enter another value!
2. ROC </t>
    </r>
    <r>
      <rPr>
        <sz val="11"/>
        <color rgb="FFFF0000"/>
        <rFont val="Calibri"/>
        <family val="2"/>
      </rPr>
      <t>C</t>
    </r>
    <r>
      <rPr>
        <sz val="11"/>
        <color theme="1"/>
        <rFont val="Calibri"/>
        <family val="2"/>
      </rPr>
      <t>ode already exists. Please enter another value!</t>
    </r>
  </si>
  <si>
    <r>
      <rPr>
        <b/>
        <sz val="11"/>
        <color theme="0" tint="-0.34998626667073579"/>
        <rFont val="Calibri"/>
        <family val="2"/>
      </rPr>
      <t xml:space="preserve">11/03: </t>
    </r>
    <r>
      <rPr>
        <sz val="11"/>
        <color theme="0" tint="-0.34998626667073579"/>
        <rFont val="Calibri"/>
        <family val="2"/>
      </rPr>
      <t>BSA retest in next QA cycle</t>
    </r>
  </si>
  <si>
    <t>111/4 SM - addressed w/ fluent validation</t>
  </si>
  <si>
    <t>Event Code (NULL)</t>
  </si>
  <si>
    <t>1. Add new row, Tab out of Event Code (NULL value) &gt;  does not display validation message
2. Save NULL Event Code: Event code required. and yellow "Warning! Event Code record is not valid"</t>
  </si>
  <si>
    <r>
      <t xml:space="preserve">1. Tab out should display validation message
2. Fix format in message "Event </t>
    </r>
    <r>
      <rPr>
        <sz val="11"/>
        <color rgb="FFFF0000"/>
        <rFont val="Calibri"/>
        <family val="2"/>
      </rPr>
      <t>C</t>
    </r>
    <r>
      <rPr>
        <sz val="11"/>
        <rFont val="Calibri"/>
        <family val="2"/>
      </rPr>
      <t>ode is required</t>
    </r>
    <r>
      <rPr>
        <sz val="11"/>
        <color rgb="FFFF0000"/>
        <rFont val="Calibri"/>
        <family val="2"/>
      </rPr>
      <t>.</t>
    </r>
    <r>
      <rPr>
        <sz val="11"/>
        <rFont val="Calibri"/>
        <family val="2"/>
      </rPr>
      <t>" &amp; Warning message "Event Code record is not valid</t>
    </r>
    <r>
      <rPr>
        <sz val="11"/>
        <color rgb="FFFF0000"/>
        <rFont val="Calibri"/>
        <family val="2"/>
      </rPr>
      <t>.</t>
    </r>
    <r>
      <rPr>
        <sz val="11"/>
        <rFont val="Calibri"/>
        <family val="2"/>
      </rPr>
      <t xml:space="preserve">"
3. Fix format in message "ROC </t>
    </r>
    <r>
      <rPr>
        <sz val="11"/>
        <color rgb="FFFF0000"/>
        <rFont val="Calibri"/>
        <family val="2"/>
      </rPr>
      <t>C</t>
    </r>
    <r>
      <rPr>
        <sz val="11"/>
        <rFont val="Calibri"/>
        <family val="2"/>
      </rPr>
      <t>ode is required</t>
    </r>
    <r>
      <rPr>
        <sz val="11"/>
        <color rgb="FFFF0000"/>
        <rFont val="Calibri"/>
        <family val="2"/>
      </rPr>
      <t>.</t>
    </r>
    <r>
      <rPr>
        <sz val="11"/>
        <rFont val="Calibri"/>
        <family val="2"/>
      </rPr>
      <t>" &amp; Warning message "R</t>
    </r>
    <r>
      <rPr>
        <sz val="11"/>
        <color rgb="FFFF0000"/>
        <rFont val="Calibri"/>
        <family val="2"/>
      </rPr>
      <t xml:space="preserve">OC </t>
    </r>
    <r>
      <rPr>
        <sz val="11"/>
        <rFont val="Calibri"/>
        <family val="2"/>
      </rPr>
      <t>Code record is not valid</t>
    </r>
    <r>
      <rPr>
        <sz val="11"/>
        <color rgb="FFFF0000"/>
        <rFont val="Calibri"/>
        <family val="2"/>
      </rPr>
      <t>.</t>
    </r>
    <r>
      <rPr>
        <sz val="11"/>
        <rFont val="Calibri"/>
        <family val="2"/>
      </rPr>
      <t>"</t>
    </r>
  </si>
  <si>
    <r>
      <rPr>
        <b/>
        <sz val="11"/>
        <color theme="0" tint="-0.34998626667073579"/>
        <rFont val="Calibri"/>
        <family val="2"/>
      </rPr>
      <t xml:space="preserve">11/03: </t>
    </r>
    <r>
      <rPr>
        <sz val="11"/>
        <color theme="0" tint="-0.34998626667073579"/>
        <rFont val="Calibri"/>
        <family val="2"/>
      </rPr>
      <t xml:space="preserve">BSA retest in next QA cycle
</t>
    </r>
    <r>
      <rPr>
        <b/>
        <sz val="11"/>
        <color theme="0" tint="-0.34998626667073579"/>
        <rFont val="Calibri"/>
        <family val="2"/>
      </rPr>
      <t>11/19:</t>
    </r>
    <r>
      <rPr>
        <sz val="11"/>
        <color theme="0" tint="-0.34998626667073579"/>
        <rFont val="Calibri"/>
        <family val="2"/>
      </rPr>
      <t xml:space="preserve"> Tab out does not display validation message. 
</t>
    </r>
    <r>
      <rPr>
        <b/>
        <sz val="11"/>
        <color theme="0" tint="-0.34998626667073579"/>
        <rFont val="Calibri"/>
        <family val="2"/>
      </rPr>
      <t>11/24</t>
    </r>
    <r>
      <rPr>
        <sz val="11"/>
        <color theme="0" tint="-0.34998626667073579"/>
        <rFont val="Calibri"/>
        <family val="2"/>
      </rPr>
      <t>: leave as-is</t>
    </r>
  </si>
  <si>
    <t>111/4 SM - addressed w/ fluent validation 2,3</t>
  </si>
  <si>
    <t>No Character Limit on Event Code/ROC Code fields</t>
  </si>
  <si>
    <t xml:space="preserve">User enters 12+ characters then valdiation "Event code cannot exceed 12 characters" </t>
  </si>
  <si>
    <r>
      <t xml:space="preserve">1. Field should be updated to limit to 12 charcters
2. Fix format "Event </t>
    </r>
    <r>
      <rPr>
        <sz val="11"/>
        <color rgb="FFFF0000"/>
        <rFont val="Calibri"/>
        <family val="2"/>
      </rPr>
      <t>C</t>
    </r>
    <r>
      <rPr>
        <sz val="11"/>
        <rFont val="Calibri"/>
        <family val="2"/>
      </rPr>
      <t>ode cannot exceed 12 characters</t>
    </r>
    <r>
      <rPr>
        <sz val="11"/>
        <color rgb="FFFF0000"/>
        <rFont val="Calibri"/>
        <family val="2"/>
      </rPr>
      <t>.</t>
    </r>
    <r>
      <rPr>
        <sz val="11"/>
        <rFont val="Calibri"/>
        <family val="2"/>
      </rPr>
      <t xml:space="preserve">" 
3. Fix format "ROC </t>
    </r>
    <r>
      <rPr>
        <sz val="11"/>
        <color rgb="FFFF0000"/>
        <rFont val="Calibri"/>
        <family val="2"/>
      </rPr>
      <t>C</t>
    </r>
    <r>
      <rPr>
        <sz val="11"/>
        <rFont val="Calibri"/>
        <family val="2"/>
      </rPr>
      <t>ode cannot exceed 12 characters</t>
    </r>
    <r>
      <rPr>
        <sz val="11"/>
        <color rgb="FFFF0000"/>
        <rFont val="Calibri"/>
        <family val="2"/>
      </rPr>
      <t>.</t>
    </r>
    <r>
      <rPr>
        <sz val="11"/>
        <rFont val="Calibri"/>
        <family val="2"/>
      </rPr>
      <t>"</t>
    </r>
  </si>
  <si>
    <r>
      <rPr>
        <b/>
        <sz val="11"/>
        <color theme="0" tint="-0.34998626667073579"/>
        <rFont val="Calibri"/>
        <family val="2"/>
      </rPr>
      <t xml:space="preserve">11/03: </t>
    </r>
    <r>
      <rPr>
        <sz val="11"/>
        <color theme="0" tint="-0.34998626667073579"/>
        <rFont val="Calibri"/>
        <family val="2"/>
      </rPr>
      <t xml:space="preserve">BSA retest in next QA cycle
</t>
    </r>
    <r>
      <rPr>
        <b/>
        <sz val="11"/>
        <color theme="0" tint="-0.34998626667073579"/>
        <rFont val="Calibri"/>
        <family val="2"/>
      </rPr>
      <t>11/19:</t>
    </r>
    <r>
      <rPr>
        <sz val="11"/>
        <color theme="0" tint="-0.34998626667073579"/>
        <rFont val="Calibri"/>
        <family val="2"/>
      </rPr>
      <t xml:space="preserve"> Event Code and ROC format does not allow more than 12 characters. No validation message needed.</t>
    </r>
  </si>
  <si>
    <t>11/4 SM - addressed w/ fluent validation and edit template</t>
  </si>
  <si>
    <t>No Character Limit on Event Code/ROC Description fields</t>
  </si>
  <si>
    <t xml:space="preserve">User enters 255+ characters then valdiation "Description cannot exceed 255 characters" </t>
  </si>
  <si>
    <r>
      <rPr>
        <sz val="11"/>
        <color rgb="FF000000"/>
        <rFont val="Calibri"/>
        <family val="2"/>
      </rPr>
      <t>1. Field should be updated to limit to 255 characters
2. Fix format "Description cannot exceed 255 characters</t>
    </r>
    <r>
      <rPr>
        <sz val="11"/>
        <color rgb="FFFF0000"/>
        <rFont val="Calibri"/>
        <family val="2"/>
      </rPr>
      <t>.</t>
    </r>
    <r>
      <rPr>
        <sz val="11"/>
        <color rgb="FF000000"/>
        <rFont val="Calibri"/>
        <family val="2"/>
      </rPr>
      <t xml:space="preserve">" </t>
    </r>
  </si>
  <si>
    <r>
      <rPr>
        <b/>
        <sz val="11"/>
        <color theme="0" tint="-0.34998626667073579"/>
        <rFont val="Calibri"/>
        <family val="2"/>
      </rPr>
      <t xml:space="preserve">11/03: </t>
    </r>
    <r>
      <rPr>
        <sz val="11"/>
        <color theme="0" tint="-0.34998626667073579"/>
        <rFont val="Calibri"/>
        <family val="2"/>
      </rPr>
      <t xml:space="preserve">BSA retest in next QA cycle
</t>
    </r>
    <r>
      <rPr>
        <b/>
        <sz val="11"/>
        <color theme="0" tint="-0.34998626667073579"/>
        <rFont val="Calibri"/>
        <family val="2"/>
      </rPr>
      <t>11/19</t>
    </r>
    <r>
      <rPr>
        <sz val="11"/>
        <color theme="0" tint="-0.34998626667073579"/>
        <rFont val="Calibri"/>
        <family val="2"/>
      </rPr>
      <t>: Event Code description and ROC description format does not allow more than 255 characters. No validation message needed.</t>
    </r>
  </si>
  <si>
    <t>10/31 SM - will be addressed w/ fluent validation  and edit template</t>
  </si>
  <si>
    <t>Invalid Date</t>
  </si>
  <si>
    <t>Can enter letters into date field</t>
  </si>
  <si>
    <t>Should only be able to enter numbers in field</t>
  </si>
  <si>
    <t>Non-number values do not save but field shouldn't allow for non-number format</t>
  </si>
  <si>
    <r>
      <rPr>
        <b/>
        <sz val="11"/>
        <color theme="0" tint="-0.34998626667073579"/>
        <rFont val="Calibri"/>
        <family val="2"/>
      </rPr>
      <t>11/03</t>
    </r>
    <r>
      <rPr>
        <sz val="11"/>
        <color theme="0" tint="-0.34998626667073579"/>
        <rFont val="Calibri"/>
        <family val="2"/>
      </rPr>
      <t>: leave as-is; only occurs in month field per 10/31 meeting</t>
    </r>
  </si>
  <si>
    <t>10/31 SM - has been addressed w/ date mask</t>
  </si>
  <si>
    <t>Field format</t>
  </si>
  <si>
    <t>Must select from calendar to enter date
Current version allows to type in numbers "102725" and field is automatically formatted to 10/27/25</t>
  </si>
  <si>
    <t>Need to determine if there is a way where users can enter numbers and have the window format as MM/DD/YY instead of having users enter "/" between month, day, and year</t>
  </si>
  <si>
    <r>
      <rPr>
        <b/>
        <sz val="11"/>
        <color theme="0" tint="-0.34998626667073579"/>
        <rFont val="Calibri"/>
        <family val="2"/>
      </rPr>
      <t xml:space="preserve">11/03: </t>
    </r>
    <r>
      <rPr>
        <sz val="11"/>
        <color theme="0" tint="-0.34998626667073579"/>
        <rFont val="Calibri"/>
        <family val="2"/>
      </rPr>
      <t xml:space="preserve">BSA retest in next QA cycle and valdiate column width in web version
</t>
    </r>
    <r>
      <rPr>
        <b/>
        <sz val="11"/>
        <color theme="0" tint="-0.34998626667073579"/>
        <rFont val="Calibri"/>
        <family val="2"/>
      </rPr>
      <t>11/19:</t>
    </r>
    <r>
      <rPr>
        <sz val="11"/>
        <color theme="0" tint="-0.34998626667073579"/>
        <rFont val="Calibri"/>
        <family val="2"/>
      </rPr>
      <t xml:space="preserve"> User can type month, but Job Error Log defects 45-49 apply here as well.
</t>
    </r>
    <r>
      <rPr>
        <b/>
        <sz val="11"/>
        <color theme="0" tint="-0.34998626667073579"/>
        <rFont val="Calibri"/>
        <family val="2"/>
      </rPr>
      <t>11/24:</t>
    </r>
    <r>
      <rPr>
        <sz val="11"/>
        <color theme="0" tint="-0.34998626667073579"/>
        <rFont val="Calibri"/>
        <family val="2"/>
      </rPr>
      <t xml:space="preserve"> leave as-is</t>
    </r>
  </si>
  <si>
    <t>Pending Updates</t>
  </si>
  <si>
    <t>Border Color</t>
  </si>
  <si>
    <t>Updated field(s) show green border; Bail Schedule showed orange border</t>
  </si>
  <si>
    <t>Need consistency across windows</t>
  </si>
  <si>
    <r>
      <rPr>
        <b/>
        <sz val="11"/>
        <color theme="0" tint="-0.34998626667073579"/>
        <rFont val="Calibri"/>
        <family val="2"/>
      </rPr>
      <t>11/03:</t>
    </r>
    <r>
      <rPr>
        <sz val="11"/>
        <color theme="0" tint="-0.34998626667073579"/>
        <rFont val="Calibri"/>
        <family val="2"/>
      </rPr>
      <t xml:space="preserve"> tied with fluent validations</t>
    </r>
  </si>
  <si>
    <t>11/5 SM - now have grey background for edited records</t>
  </si>
  <si>
    <t>Adding Row</t>
  </si>
  <si>
    <t>Added row not visible</t>
  </si>
  <si>
    <t>When adding row, user has to do an additional step to scroll down to view new row</t>
  </si>
  <si>
    <t xml:space="preserve">Should display immediately after adding new row (no scrolling) </t>
  </si>
  <si>
    <r>
      <rPr>
        <b/>
        <sz val="11"/>
        <color theme="0" tint="-0.34998626667073579"/>
        <rFont val="Calibri"/>
        <family val="2"/>
      </rPr>
      <t>11/03:</t>
    </r>
    <r>
      <rPr>
        <sz val="11"/>
        <color theme="0" tint="-0.34998626667073579"/>
        <rFont val="Calibri"/>
        <family val="2"/>
      </rPr>
      <t xml:space="preserve"> ticket with SyncFusion
</t>
    </r>
    <r>
      <rPr>
        <b/>
        <sz val="11"/>
        <color theme="0" tint="-0.34998626667073579"/>
        <rFont val="Calibri"/>
        <family val="2"/>
      </rPr>
      <t>11/19:</t>
    </r>
    <r>
      <rPr>
        <sz val="11"/>
        <color theme="0" tint="-0.34998626667073579"/>
        <rFont val="Calibri"/>
        <family val="2"/>
      </rPr>
      <t xml:space="preserve"> Not tested. Pending SyncFusion deployment 11/25. Leaving in Reported status.
</t>
    </r>
    <r>
      <rPr>
        <b/>
        <sz val="11"/>
        <color theme="0" tint="-0.34998626667073579"/>
        <rFont val="Calibri"/>
        <family val="2"/>
      </rPr>
      <t>12/05:</t>
    </r>
    <r>
      <rPr>
        <sz val="11"/>
        <color theme="0" tint="-0.34998626667073579"/>
        <rFont val="Calibri"/>
        <family val="2"/>
      </rPr>
      <t xml:space="preserve"> New row added to top; issue no longer occurs</t>
    </r>
  </si>
  <si>
    <t>10/31 SM - SyncFusion to include in next build Nov 25
12/2 SM - rows are now added to the top</t>
  </si>
  <si>
    <t>Deleting New Row</t>
  </si>
  <si>
    <t>Delete no longer works on newly added rows; user has to use "Cancel" to remove row</t>
  </si>
  <si>
    <r>
      <rPr>
        <b/>
        <sz val="11"/>
        <color rgb="FFA6A6A6"/>
        <rFont val="Calibri"/>
      </rPr>
      <t xml:space="preserve">11/03: </t>
    </r>
    <r>
      <rPr>
        <sz val="11"/>
        <color rgb="FFA6A6A6"/>
        <rFont val="Calibri"/>
      </rPr>
      <t>devs to fix; Edit mode = Cancel only; exit Edit mode = Add Row, Edit, Delete options</t>
    </r>
  </si>
  <si>
    <t>10/31 SM - users only have Cancel in edit; Add, Edit, Delete outside of edit mode (context menu)</t>
  </si>
  <si>
    <t>Cannot add multiple empty rows</t>
  </si>
  <si>
    <t>Only one row can be added at a time; user has to save changes in 1 row then add for additional row; current window allows for multiple rows to be entered</t>
  </si>
  <si>
    <t>Should have way of adding multiple rows</t>
  </si>
  <si>
    <r>
      <rPr>
        <b/>
        <sz val="11"/>
        <color theme="0" tint="-0.34998626667073579"/>
        <rFont val="Calibri"/>
        <family val="2"/>
      </rPr>
      <t xml:space="preserve">11/03: </t>
    </r>
    <r>
      <rPr>
        <sz val="11"/>
        <color theme="0" tint="-0.34998626667073579"/>
        <rFont val="Calibri"/>
        <family val="2"/>
      </rPr>
      <t>separate discussion with stakeholders
- devs to update functionality (single click opens row in edit mode)</t>
    </r>
  </si>
  <si>
    <t>11/6 SM - single click on hold. Using double-click per meeting on 11/3</t>
  </si>
  <si>
    <t>No Sorting</t>
  </si>
  <si>
    <t>Should asc/desc sorting be added to the window? Current window does not have</t>
  </si>
  <si>
    <r>
      <rPr>
        <b/>
        <sz val="11"/>
        <color theme="0" tint="-0.34998626667073579"/>
        <rFont val="Calibri"/>
        <family val="2"/>
      </rPr>
      <t>11/03:</t>
    </r>
    <r>
      <rPr>
        <sz val="11"/>
        <color theme="0" tint="-0.34998626667073579"/>
        <rFont val="Calibri"/>
        <family val="2"/>
      </rPr>
      <t xml:space="preserve"> add sorting and filtering</t>
    </r>
  </si>
  <si>
    <t>11/4 SM - added sorting and filtering</t>
  </si>
  <si>
    <t>Page Up/Down Keys vs. Scrolling</t>
  </si>
  <si>
    <t>Page Up / Page Down vs. scroll in window</t>
  </si>
  <si>
    <r>
      <rPr>
        <b/>
        <sz val="11"/>
        <color theme="0" tint="-0.34998626667073579"/>
        <rFont val="Calibri"/>
        <family val="2"/>
      </rPr>
      <t xml:space="preserve">11/03: </t>
    </r>
    <r>
      <rPr>
        <sz val="11"/>
        <color theme="0" tint="-0.34998626667073579"/>
        <rFont val="Calibri"/>
        <family val="2"/>
      </rPr>
      <t xml:space="preserve">BSA retest in next QA cycle
</t>
    </r>
    <r>
      <rPr>
        <b/>
        <sz val="11"/>
        <color theme="0" tint="-0.34998626667073579"/>
        <rFont val="Calibri"/>
        <family val="2"/>
      </rPr>
      <t xml:space="preserve">11/19: </t>
    </r>
    <r>
      <rPr>
        <sz val="11"/>
        <color theme="0" tint="-0.34998626667073579"/>
        <rFont val="Calibri"/>
        <family val="2"/>
      </rPr>
      <t xml:space="preserve">Page Up/ Page Down works, but the scroll happens in 3 parts: scroll bar moves, page updates, highlight changes. For the scroll, but
</t>
    </r>
    <r>
      <rPr>
        <b/>
        <sz val="11"/>
        <color theme="0" tint="-0.34998626667073579"/>
        <rFont val="Calibri"/>
        <family val="2"/>
      </rPr>
      <t xml:space="preserve">11/24: </t>
    </r>
    <r>
      <rPr>
        <sz val="11"/>
        <color theme="0" tint="-0.34998626667073579"/>
        <rFont val="Calibri"/>
        <family val="2"/>
      </rPr>
      <t xml:space="preserve">lazy loading - Devs to remove virtualization to see if this resolves issue
</t>
    </r>
    <r>
      <rPr>
        <b/>
        <sz val="11"/>
        <color theme="0" tint="-0.34998626667073579"/>
        <rFont val="Calibri"/>
        <family val="2"/>
      </rPr>
      <t>12/05:</t>
    </r>
    <r>
      <rPr>
        <sz val="11"/>
        <color theme="0" tint="-0.34998626667073579"/>
        <rFont val="Calibri"/>
        <family val="2"/>
      </rPr>
      <t xml:space="preserve"> retest and pass</t>
    </r>
  </si>
  <si>
    <t>10/31 SM - addressed 
11/21 SM - is laggy because of amount of data being loaded
11/24 SM - removed virtualization</t>
  </si>
  <si>
    <t>Vision</t>
  </si>
  <si>
    <t>Shortcut Keys</t>
  </si>
  <si>
    <t>Shortcut keys not working in Vision NG window; work in current Vision window</t>
  </si>
  <si>
    <r>
      <rPr>
        <b/>
        <sz val="11"/>
        <color theme="0" tint="-0.34998626667073579"/>
        <rFont val="Calibri"/>
        <family val="2"/>
      </rPr>
      <t xml:space="preserve">11/03: </t>
    </r>
    <r>
      <rPr>
        <sz val="11"/>
        <color theme="0" tint="-0.34998626667073579"/>
        <rFont val="Calibri"/>
        <family val="2"/>
      </rPr>
      <t xml:space="preserve">BSA retest in next QA cycle
</t>
    </r>
    <r>
      <rPr>
        <b/>
        <sz val="11"/>
        <color theme="0" tint="-0.34998626667073579"/>
        <rFont val="Calibri"/>
        <family val="2"/>
      </rPr>
      <t>11/19:</t>
    </r>
    <r>
      <rPr>
        <sz val="11"/>
        <color theme="0" tint="-0.34998626667073579"/>
        <rFont val="Calibri"/>
        <family val="2"/>
      </rPr>
      <t xml:space="preserve"> Vision shortkeys Shift F7, Shift F6, Ctrl S, etc do not work. Are we including vision shortkeys in blazor windows?
</t>
    </r>
    <r>
      <rPr>
        <b/>
        <sz val="11"/>
        <color theme="0" tint="-0.34998626667073579"/>
        <rFont val="Calibri"/>
        <family val="2"/>
      </rPr>
      <t>11/24:</t>
    </r>
    <r>
      <rPr>
        <sz val="11"/>
        <color theme="0" tint="-0.34998626667073579"/>
        <rFont val="Calibri"/>
        <family val="2"/>
      </rPr>
      <t xml:space="preserve"> BSA retest</t>
    </r>
    <r>
      <rPr>
        <sz val="11"/>
        <color rgb="FF000000"/>
        <rFont val="Calibri"/>
        <family val="2"/>
      </rPr>
      <t xml:space="preserve">
</t>
    </r>
    <r>
      <rPr>
        <b/>
        <sz val="11"/>
        <color rgb="FF000000"/>
        <rFont val="Calibri"/>
        <family val="2"/>
      </rPr>
      <t>12/05</t>
    </r>
    <r>
      <rPr>
        <sz val="11"/>
        <color rgb="FF000000"/>
        <rFont val="Calibri"/>
        <family val="2"/>
      </rPr>
      <t>: F3, F6 (Add) work; F7 does not</t>
    </r>
  </si>
  <si>
    <t>10/31 SM - addressed 
11/24 SM - vision shortcut keys shift+F6/F7, ctrl+s, f3, have been added
12/17 SM - F3, SHIFT+F6, SHIFT+F7, F7, F8, F10, F11, Page Up, Page down, Ctrl+S, SHIFT+CTRL+F all work for both event code and roc code in vision/visionNG</t>
  </si>
  <si>
    <t>Vision level "X" Close Button</t>
  </si>
  <si>
    <t>When used, only closes Blazor window rather than entire application</t>
  </si>
  <si>
    <t>10/31 SM - addressed via vision update</t>
  </si>
  <si>
    <t>Profile Access</t>
  </si>
  <si>
    <t>All profiles can edit window</t>
  </si>
  <si>
    <t>Users in PROFIL/EVENT_CODES should only be able to add/edit/delete in window. All other profiles are read only</t>
  </si>
  <si>
    <r>
      <rPr>
        <b/>
        <sz val="11"/>
        <color theme="0" tint="-0.34998626667073579"/>
        <rFont val="Calibri"/>
        <family val="2"/>
      </rPr>
      <t xml:space="preserve">11/03: </t>
    </r>
    <r>
      <rPr>
        <sz val="11"/>
        <color theme="0" tint="-0.34998626667073579"/>
        <rFont val="Calibri"/>
        <family val="2"/>
      </rPr>
      <t>devs to fix</t>
    </r>
  </si>
  <si>
    <t>11/5 SM - added read only for Profiles</t>
  </si>
  <si>
    <t>Adding row with no search</t>
  </si>
  <si>
    <t>If no search fields are entered, you can add a row. You are not able to save the row but it can be added.</t>
  </si>
  <si>
    <t>Rows should only be added if event type and agency are selected.</t>
  </si>
  <si>
    <r>
      <rPr>
        <b/>
        <sz val="11"/>
        <color theme="1"/>
        <rFont val="Calibri"/>
        <family val="2"/>
      </rPr>
      <t xml:space="preserve">12/05: </t>
    </r>
    <r>
      <rPr>
        <sz val="11"/>
        <color theme="1"/>
        <rFont val="Calibri"/>
        <family val="2"/>
      </rPr>
      <t>Retest and pass</t>
    </r>
  </si>
  <si>
    <t>11/21 SM - has been addressed. rows are only added when user has selected event type and owner agency</t>
  </si>
  <si>
    <t>Dropdown</t>
  </si>
  <si>
    <t>1. Select option in Event Type
2. Select dropdown option in Owner Agency
3. Click Enter key multiple times to modify the selected option
4. Select Retrieve - latest dropdown freezes and remains as you are trying to use the window</t>
  </si>
  <si>
    <t>This scenario is unrealistic but not sure if it should be addressed</t>
  </si>
  <si>
    <r>
      <rPr>
        <b/>
        <sz val="11"/>
        <color theme="0" tint="-0.34998626667073579"/>
        <rFont val="Calibri"/>
        <family val="2"/>
      </rPr>
      <t>11/24:</t>
    </r>
    <r>
      <rPr>
        <sz val="11"/>
        <color theme="0" tint="-0.34998626667073579"/>
        <rFont val="Calibri"/>
        <family val="2"/>
      </rPr>
      <t xml:space="preserve"> leave as is</t>
    </r>
  </si>
  <si>
    <t>Invalid</t>
  </si>
  <si>
    <t>Column header and data alignment</t>
  </si>
  <si>
    <t>Update column header so that "Invalid" column title is centered above data values.</t>
  </si>
  <si>
    <t>12/15: leave as-is</t>
  </si>
  <si>
    <t>Both</t>
  </si>
  <si>
    <t>General</t>
  </si>
  <si>
    <t>Updates from multiple VisionNG Tabs</t>
  </si>
  <si>
    <t>1. User adds new row in TAB 1 with unique Error Nbr.
2. User adds new row in TAB 2 with same Error Nbr as step 1.
3. User returs to TAB 1 and saves - row successfully saves.
4. User returns to TAB 2 and attempts to save - error message correctly appears, no fluent validations
Note: also occurs when test scenario against Vision app/web</t>
  </si>
  <si>
    <t>Since window wasn't refreshed, fluent validations appear to be done at the window level rather than against the database. Adding as item for discussion to see if this needs to be resolved.</t>
  </si>
  <si>
    <r>
      <rPr>
        <b/>
        <sz val="11"/>
        <color theme="1"/>
        <rFont val="Calibri"/>
        <family val="2"/>
      </rPr>
      <t>12/15:</t>
    </r>
    <r>
      <rPr>
        <sz val="11"/>
        <color theme="1"/>
        <rFont val="Calibri"/>
        <family val="2"/>
      </rPr>
      <t xml:space="preserve"> devs to fix</t>
    </r>
  </si>
  <si>
    <t>12/18 SM - concurrency issue has been resolved.</t>
  </si>
  <si>
    <t>Invalid Date (Event and ROC Code sections)</t>
  </si>
  <si>
    <t>Future Date Range</t>
  </si>
  <si>
    <t>1. Enter "01/01/2125" then click out of field
2. Date automatically updates to 12/31/2099</t>
  </si>
  <si>
    <t>Current Vision app window has 2-digit year format so cannot create in current window.
Not sure if we should have invalid dates for "Invalid" field as they can be either past or future dates.</t>
  </si>
  <si>
    <r>
      <t xml:space="preserve">12/15: </t>
    </r>
    <r>
      <rPr>
        <sz val="11"/>
        <color theme="0" tint="-0.34998626667073579"/>
        <rFont val="Calibri"/>
        <family val="2"/>
      </rPr>
      <t>devs to look into removing max date</t>
    </r>
    <r>
      <rPr>
        <b/>
        <sz val="11"/>
        <color theme="0" tint="-0.34998626667073579"/>
        <rFont val="Calibri"/>
        <family val="2"/>
      </rPr>
      <t xml:space="preserve">
01/14: </t>
    </r>
    <r>
      <rPr>
        <sz val="11"/>
        <color theme="0" tint="-0.34998626667073579"/>
        <rFont val="Calibri"/>
        <family val="2"/>
      </rPr>
      <t>issue still occurring on subsequent updates when a date exists</t>
    </r>
    <r>
      <rPr>
        <b/>
        <sz val="11"/>
        <color theme="0" tint="-0.34998626667073579"/>
        <rFont val="Calibri"/>
        <family val="2"/>
      </rPr>
      <t xml:space="preserve">
01/23: </t>
    </r>
    <r>
      <rPr>
        <sz val="11"/>
        <color theme="0" tint="-0.34998626667073579"/>
        <rFont val="Calibri"/>
        <family val="2"/>
      </rPr>
      <t>issue resolved for clicking out of field</t>
    </r>
  </si>
  <si>
    <t>12/17 SM - Syncfusion has a default max and minimum for the date picker. I need to manually specify  the max date range. See image to the right.
01/21 SM - issue has been addressed. Maximum date is 12/31/2099 and Minimum is 01/01/1900</t>
  </si>
  <si>
    <t>1. Enter "01/01/2125" then use "Enter" on keyboard
2. Date does not automatically update and user can successfully save date in #1
Note: If user goes into row to edit, the date auto updates to "12/31/2099"</t>
  </si>
  <si>
    <t>Conflicting functionality between ID 26, 27.</t>
  </si>
  <si>
    <r>
      <t xml:space="preserve">12/15: </t>
    </r>
    <r>
      <rPr>
        <sz val="11"/>
        <color theme="0" tint="-0.34998626667073579"/>
        <rFont val="Calibri"/>
        <family val="2"/>
      </rPr>
      <t>devs to look into removing max date</t>
    </r>
    <r>
      <rPr>
        <b/>
        <sz val="11"/>
        <color theme="0" tint="-0.34998626667073579"/>
        <rFont val="Calibri"/>
        <family val="2"/>
      </rPr>
      <t xml:space="preserve">
01/14: </t>
    </r>
    <r>
      <rPr>
        <sz val="11"/>
        <color theme="0" tint="-0.34998626667073579"/>
        <rFont val="Calibri"/>
        <family val="2"/>
      </rPr>
      <t>issue still occurring on subsequent updates when a date exists</t>
    </r>
    <r>
      <rPr>
        <b/>
        <sz val="11"/>
        <color theme="0" tint="-0.34998626667073579"/>
        <rFont val="Calibri"/>
        <family val="2"/>
      </rPr>
      <t xml:space="preserve">
01/23:</t>
    </r>
    <r>
      <rPr>
        <sz val="11"/>
        <color theme="0" tint="-0.34998626667073579"/>
        <rFont val="Calibri"/>
        <family val="2"/>
      </rPr>
      <t xml:space="preserve"> see ID 36</t>
    </r>
  </si>
  <si>
    <t>Highlighting Field</t>
  </si>
  <si>
    <t>1. User highlights date
2. User re-highlights date and date digits end up in Description field</t>
  </si>
  <si>
    <t>Adding as item to see if there can be anything done</t>
  </si>
  <si>
    <r>
      <rPr>
        <b/>
        <sz val="11"/>
        <color theme="1"/>
        <rFont val="Calibri"/>
        <family val="2"/>
      </rPr>
      <t>12/15:</t>
    </r>
    <r>
      <rPr>
        <sz val="11"/>
        <color theme="1"/>
        <rFont val="Calibri"/>
        <family val="2"/>
      </rPr>
      <t xml:space="preserve"> leave as-is</t>
    </r>
  </si>
  <si>
    <t>Regression</t>
  </si>
  <si>
    <t>F3 Refresh</t>
  </si>
  <si>
    <t>Short key does not work unless user clicks again within window.</t>
  </si>
  <si>
    <t>12/24: Leave as is, may be JS fix</t>
  </si>
  <si>
    <t>12/30 SM - added key down method at window level. This may address the issue.</t>
  </si>
  <si>
    <t>F7 Delete (new row)</t>
  </si>
  <si>
    <t>Short key only works for existing row, should this work for new row</t>
  </si>
  <si>
    <t>User can cancel to delete new row</t>
  </si>
  <si>
    <t>12/24: Leave as is</t>
  </si>
  <si>
    <t>1. apply column filter
2. F3 refresh - error message appears:
"Unhandled exception during interop call"</t>
  </si>
  <si>
    <t>Column filters will refresh in this window</t>
  </si>
  <si>
    <r>
      <rPr>
        <b/>
        <sz val="11"/>
        <color theme="0" tint="-0.34998626667073579"/>
        <rFont val="Calibri"/>
        <family val="2"/>
      </rPr>
      <t>01/14:</t>
    </r>
    <r>
      <rPr>
        <sz val="11"/>
        <color theme="0" tint="-0.34998626667073579"/>
        <rFont val="Calibri"/>
        <family val="2"/>
      </rPr>
      <t xml:space="preserve"> retest and pass - issue no longer occurring</t>
    </r>
  </si>
  <si>
    <t>12/30 SM - rendering issue has been addressed</t>
  </si>
  <si>
    <t xml:space="preserve">F3 Refresh
Ctrl + S </t>
  </si>
  <si>
    <t>Short key does not work if user deletes last row and attempts to refresh as I believe key down method (ID #45) doesn't work for this scenario</t>
  </si>
  <si>
    <t>Workaround is user clicks on window to refocus</t>
  </si>
  <si>
    <t>01/21 SM - reset focus back to the grid on delete. Works for CTRL+S and F3</t>
  </si>
  <si>
    <t>Success save message</t>
  </si>
  <si>
    <r>
      <t>Saved</t>
    </r>
    <r>
      <rPr>
        <sz val="11"/>
        <color rgb="FFFF0000"/>
        <rFont val="Calibri"/>
        <family val="2"/>
      </rPr>
      <t xml:space="preserve"> S</t>
    </r>
    <r>
      <rPr>
        <sz val="11"/>
        <color theme="1"/>
        <rFont val="Calibri"/>
        <family val="2"/>
      </rPr>
      <t>uccessfully</t>
    </r>
  </si>
  <si>
    <r>
      <t>Saved successfully</t>
    </r>
    <r>
      <rPr>
        <sz val="11"/>
        <color rgb="FFFF0000"/>
        <rFont val="Calibri"/>
        <family val="2"/>
      </rPr>
      <t>.</t>
    </r>
  </si>
  <si>
    <r>
      <rPr>
        <b/>
        <sz val="11"/>
        <color theme="0" tint="-0.34998626667073579"/>
        <rFont val="Calibri"/>
        <family val="2"/>
      </rPr>
      <t xml:space="preserve">01/15: </t>
    </r>
    <r>
      <rPr>
        <sz val="11"/>
        <color theme="0" tint="-0.34998626667073579"/>
        <rFont val="Calibri"/>
        <family val="2"/>
      </rPr>
      <t xml:space="preserve">devs to update save message; message format to be updated to toast
</t>
    </r>
    <r>
      <rPr>
        <b/>
        <sz val="11"/>
        <color theme="0" tint="-0.34998626667073579"/>
        <rFont val="Calibri"/>
        <family val="2"/>
      </rPr>
      <t xml:space="preserve">01/23: </t>
    </r>
    <r>
      <rPr>
        <sz val="11"/>
        <color theme="0" tint="-0.34998626667073579"/>
        <rFont val="Calibri"/>
        <family val="2"/>
      </rPr>
      <t xml:space="preserve">lowercase s in successfully
</t>
    </r>
    <r>
      <rPr>
        <b/>
        <sz val="11"/>
        <color theme="0" tint="-0.34998626667073579"/>
        <rFont val="Calibri"/>
        <family val="2"/>
      </rPr>
      <t xml:space="preserve">01/23: </t>
    </r>
    <r>
      <rPr>
        <sz val="11"/>
        <color theme="0" tint="-0.34998626667073579"/>
        <rFont val="Calibri"/>
        <family val="2"/>
      </rPr>
      <t>fixed in afternoon, retest and passed</t>
    </r>
  </si>
  <si>
    <t>01/27 SM - save message converted to a toast.</t>
  </si>
  <si>
    <t>Refresh</t>
  </si>
  <si>
    <t>Pending Changes: The Data which is modified is not saved
Yes/No/Cancel buttons Missing question about saving data</t>
  </si>
  <si>
    <t>Update to: Pending Changes
You have unsaved changes. Do you want to save before you continue?</t>
  </si>
  <si>
    <r>
      <rPr>
        <b/>
        <sz val="11"/>
        <color theme="0" tint="-0.34998626667073579"/>
        <rFont val="Calibri"/>
        <family val="2"/>
      </rPr>
      <t xml:space="preserve">01/15: </t>
    </r>
    <r>
      <rPr>
        <sz val="11"/>
        <color theme="0" tint="-0.34998626667073579"/>
        <rFont val="Calibri"/>
        <family val="2"/>
      </rPr>
      <t>Refresh/Pending Changes message to be updated to be generic enough to cover both scenarios.</t>
    </r>
  </si>
  <si>
    <t xml:space="preserve">01/27 SM - pending changes message has been updated to "You have unsaved changes. Do you want to save before you continue?" As provided by Chris. </t>
  </si>
  <si>
    <t>1. Enter "01/01/2125" then use "Enter" on keyboard
2. Date does not automatically update and user can successfully save date in #1</t>
  </si>
  <si>
    <t>This occurs when the invalid date is subsequently updated; scenario on first attempt automatically updates to max dat 12/31/2099</t>
  </si>
  <si>
    <t>01/26: fix implemented to use FluentValidation on date field. Cannot enter 01/01/2125 and date resets to max date; same occurs for min date</t>
  </si>
  <si>
    <t>Edit Mode on Multiple</t>
  </si>
  <si>
    <t>1. Open window with no filters applied
2. Open existing row in edit mode and make changes
2. Apply sorting filter on a column
3. Open 2nd row in edit mode</t>
  </si>
  <si>
    <t>The following occur:
1. User is able to edit both rows
2. However, upon exiting edit mode, updates appear to only apply to one row.
Is there a way to disable multiple edits as the updated data is not correct?</t>
  </si>
  <si>
    <t>1/26 SM - issue has been addressed. User's changes are committed to the grid when they try to filter mitigating multiple edit rows.</t>
  </si>
  <si>
    <t>F6 Shortcut to add new row when no data exists</t>
  </si>
  <si>
    <t>1. Event Code with no ROCs selected
2. User clicks in ROC Codes section, Shift + F6 to add row
3. Added row appears in Event Codes section</t>
  </si>
  <si>
    <t>Is there a way to focus on ROC section when user clicks so shortcut key works?</t>
  </si>
  <si>
    <t xml:space="preserve">1/26 SM issue has been addressed. User can now click on empty ROC grid and use shift+F6 </t>
  </si>
  <si>
    <t>PB Only</t>
  </si>
  <si>
    <t>Black Border around data sections</t>
  </si>
  <si>
    <t>User clicks out of window then back in NG screen &gt; Black border appears around window</t>
  </si>
  <si>
    <t>1/26 SM - issue has been addressed. Black outline removed.</t>
  </si>
  <si>
    <t>Window grid disappears if user clicks out of Vision application</t>
  </si>
  <si>
    <t>User clicks out of window - data grid goes missing
User then clicks back in NG screen &gt; data grid reappears</t>
  </si>
  <si>
    <t>01/26: fixed in QA2029y</t>
  </si>
  <si>
    <t>Latency for saving data</t>
  </si>
  <si>
    <t xml:space="preserve">Transparent loading wheel doesn't display </t>
  </si>
  <si>
    <r>
      <rPr>
        <b/>
        <sz val="11"/>
        <color theme="0" tint="-0.34998626667073579"/>
        <rFont val="Calibri"/>
        <family val="2"/>
      </rPr>
      <t xml:space="preserve">01/30: </t>
    </r>
    <r>
      <rPr>
        <sz val="11"/>
        <color theme="0" tint="-0.34998626667073579"/>
        <rFont val="Calibri"/>
        <family val="2"/>
      </rPr>
      <t>waiting for update for 65% opacity to retest</t>
    </r>
  </si>
  <si>
    <t>Filter Icon Color</t>
  </si>
  <si>
    <t>Filter icon should be red when applied; color to be removed when filter removed</t>
  </si>
  <si>
    <t>ROC Filter box</t>
  </si>
  <si>
    <t>OK/Cancel buttons cut off</t>
  </si>
  <si>
    <t>Filter applied that excludes highligted row</t>
  </si>
  <si>
    <t>1. Highlight row with child records (e.g., ARGN)
2. Remove ARGN from Event Codes by applying filter
3. Apply filter - no parent rows are highlighted and ARGN child records still remain in view</t>
  </si>
  <si>
    <t>If filter(s) are applied, refocus highlight in parent data so that first row is highlighted and correct child record(s) display</t>
  </si>
  <si>
    <t>Scenario</t>
  </si>
  <si>
    <t>Column Labels</t>
  </si>
  <si>
    <t>QA #</t>
  </si>
  <si>
    <t>HH:MM</t>
  </si>
  <si>
    <t>Row Labels</t>
  </si>
  <si>
    <t>Grand Total</t>
  </si>
  <si>
    <t>Count of Bug Type</t>
  </si>
  <si>
    <t>Count of Status</t>
  </si>
  <si>
    <t>2/3/2026 QA Completed</t>
  </si>
  <si>
    <t>1. Event Codes opened</t>
  </si>
  <si>
    <t>Error Number</t>
  </si>
  <si>
    <t>Description</t>
  </si>
  <si>
    <t>MU01</t>
  </si>
  <si>
    <t>ROC 1 Test</t>
  </si>
  <si>
    <t>MU02</t>
  </si>
  <si>
    <t>ROC 2 Test</t>
  </si>
  <si>
    <t>2. User opens MU01 in Edit Mode and updates.</t>
  </si>
  <si>
    <t>Msg Rsp Fmt</t>
  </si>
  <si>
    <t>MU01A</t>
  </si>
  <si>
    <t>ROC 1 Test - Update 1</t>
  </si>
  <si>
    <t>3. While MU01 is still in Edit Mode, filter on ROC column is applied sorting ROC asc. Updates made in Step 2 remain.</t>
  </si>
  <si>
    <t>4. User opens MU02 in Edit Mode and row</t>
  </si>
  <si>
    <t>MU02A</t>
  </si>
  <si>
    <t>ROC 2 Test - Update 2</t>
  </si>
  <si>
    <t>5. User exits edit mode. MU01 changes abandoned</t>
  </si>
  <si>
    <t>Reported</t>
  </si>
  <si>
    <t>Fail</t>
  </si>
  <si>
    <t>Retest In Progress</t>
  </si>
  <si>
    <t>Return to Dev</t>
  </si>
  <si>
    <t>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</si>
</sst>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1"/>
      <color theme="1"/>
      <name val="Aptos Narrow"/>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font>
    <font>
      <sz val="11"/>
      <name val="Calibri"/>
      <family val="2"/>
    </font>
    <font>
      <b/>
      <sz val="11"/>
      <name val="Calibri"/>
      <family val="2"/>
    </font>
    <font>
      <sz val="12"/>
      <color theme="1"/>
      <name val="Calibri"/>
      <family val="2"/>
    </font>
    <font>
      <b/>
      <sz val="12"/>
      <color theme="0"/>
      <name val="Calibri"/>
      <family val="2"/>
    </font>
    <font>
      <b/>
      <sz val="12"/>
      <color theme="1"/>
      <name val="Calibri"/>
      <family val="2"/>
    </font>
    <font>
      <sz val="11"/>
      <color rgb="FFFF0000"/>
      <name val="Calibri"/>
      <family val="2"/>
    </font>
    <font>
      <sz val="11"/>
      <color rgb="FF000000"/>
      <name val="Calibri"/>
      <family val="2"/>
    </font>
    <font>
      <b/>
      <sz val="11"/>
      <color rgb="FF000000"/>
      <name val="Calibri"/>
      <family val="2"/>
    </font>
    <font>
      <sz val="11"/>
      <color theme="0" tint="-0.34998626667073579"/>
      <name val="Calibri"/>
      <family val="2"/>
    </font>
    <font>
      <b/>
      <sz val="11"/>
      <color theme="0" tint="-0.34998626667073579"/>
      <name val="Calibri"/>
      <family val="2"/>
    </font>
    <font>
      <b/>
      <sz val="11"/>
      <color theme="1"/>
      <name val="Calibri"/>
      <family val="2"/>
    </font>
    <font>
      <b/>
      <sz val="11"/>
      <color theme="0"/>
      <name val="Calibri"/>
      <family val="2"/>
    </font>
    <font>
      <sz val="12"/>
      <color theme="0"/>
      <name val="Calibri"/>
      <family val="2"/>
    </font>
    <font>
      <sz val="11"/>
      <color rgb="FF9C5700"/>
      <name val="Calibri"/>
      <family val="2"/>
    </font>
    <font>
      <u/>
      <sz val="11"/>
      <color theme="10"/>
      <name val="Aptos Narrow"/>
      <family val="2"/>
      <scheme val="minor"/>
    </font>
    <font>
      <sz val="11"/>
      <color theme="1"/>
      <name val="Arial"/>
      <family val="2"/>
    </font>
    <font>
      <b/>
      <sz val="11"/>
      <color theme="1"/>
      <name val="Arial"/>
      <family val="2"/>
    </font>
    <font>
      <sz val="11"/>
      <color rgb="FF9C5700"/>
      <name val="Arial"/>
      <family val="2"/>
    </font>
    <font>
      <u/>
      <sz val="11"/>
      <color theme="10"/>
      <name val="Calibri"/>
      <family val="2"/>
    </font>
    <font>
      <sz val="11"/>
      <color theme="0"/>
      <name val="Calibri"/>
      <family val="2"/>
    </font>
    <font>
      <b/>
      <sz val="11"/>
      <color rgb="FFA6A6A6"/>
      <name val="Calibri"/>
    </font>
    <font>
      <sz val="11"/>
      <color rgb="FFA6A6A6"/>
      <name val="Calibri"/>
    </font>
  </fonts>
  <fills count="6">
    <fill>
      <patternFill patternType="none"/>
    </fill>
    <fill>
      <patternFill patternType="gray125"/>
    </fill>
    <fill>
      <patternFill patternType="solid">
        <fgColor theme="4"/>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EB9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1" fillId="5" borderId="0" applyNumberFormat="0" applyBorder="0" applyAlignment="0" applyProtection="0"/>
    <xf numFmtId="0" fontId="22" fillId="0" borderId="0" applyNumberFormat="0" applyFill="0" applyBorder="0" applyAlignment="0" applyProtection="0"/>
  </cellStyleXfs>
  <cellXfs count="75">
    <xf numFmtId="0" fontId="0" fillId="0" borderId="0" xfId="0"/>
    <xf numFmtId="0" fontId="7" fillId="0" borderId="0" xfId="0" applyFont="1"/>
    <xf numFmtId="0" fontId="7" fillId="0" borderId="0" xfId="0" applyFont="1" applyAlignment="1">
      <alignment horizontal="left" vertical="top" wrapText="1"/>
    </xf>
    <xf numFmtId="0" fontId="7" fillId="0" borderId="0" xfId="0" applyFont="1" applyAlignment="1">
      <alignment vertical="top" wrapText="1"/>
    </xf>
    <xf numFmtId="0" fontId="7" fillId="0" borderId="0" xfId="0" applyFont="1" applyAlignment="1">
      <alignment vertical="top"/>
    </xf>
    <xf numFmtId="164" fontId="7" fillId="0" borderId="0" xfId="0" applyNumberFormat="1" applyFont="1" applyAlignment="1">
      <alignment horizontal="center" vertical="top"/>
    </xf>
    <xf numFmtId="0" fontId="10" fillId="0" borderId="0" xfId="0" applyFont="1"/>
    <xf numFmtId="0" fontId="12" fillId="4" borderId="1" xfId="0" applyFont="1" applyFill="1" applyBorder="1" applyAlignment="1">
      <alignment horizontal="center"/>
    </xf>
    <xf numFmtId="0" fontId="12" fillId="4" borderId="2" xfId="0" applyFont="1" applyFill="1" applyBorder="1" applyAlignment="1">
      <alignment horizontal="center"/>
    </xf>
    <xf numFmtId="0" fontId="11" fillId="2" borderId="1" xfId="0" applyFont="1" applyFill="1" applyBorder="1" applyAlignment="1">
      <alignment horizontal="center"/>
    </xf>
    <xf numFmtId="20" fontId="11" fillId="2" borderId="2" xfId="0" applyNumberFormat="1" applyFont="1" applyFill="1" applyBorder="1" applyAlignment="1">
      <alignment horizontal="center"/>
    </xf>
    <xf numFmtId="0" fontId="6" fillId="0" borderId="0" xfId="0" applyFont="1"/>
    <xf numFmtId="0" fontId="0" fillId="0" borderId="0" xfId="0" pivotButton="1"/>
    <xf numFmtId="0" fontId="0" fillId="0" borderId="0" xfId="0" applyNumberFormat="1"/>
    <xf numFmtId="0" fontId="0" fillId="0" borderId="0" xfId="0" applyAlignment="1">
      <alignment horizontal="left"/>
    </xf>
    <xf numFmtId="14" fontId="20" fillId="2" borderId="1" xfId="0" applyNumberFormat="1" applyFont="1" applyFill="1" applyBorder="1" applyAlignment="1">
      <alignment horizontal="left"/>
    </xf>
    <xf numFmtId="0" fontId="20" fillId="2" borderId="1" xfId="0" applyNumberFormat="1" applyFont="1" applyFill="1" applyBorder="1"/>
    <xf numFmtId="0" fontId="19" fillId="2" borderId="1" xfId="0" applyFont="1" applyFill="1" applyBorder="1" applyAlignment="1">
      <alignment horizontal="center"/>
    </xf>
    <xf numFmtId="20" fontId="19" fillId="2" borderId="1" xfId="0" applyNumberFormat="1" applyFont="1" applyFill="1" applyBorder="1" applyAlignment="1">
      <alignment horizont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6" fillId="0" borderId="1" xfId="0" applyFont="1" applyBorder="1" applyAlignment="1">
      <alignment vertical="top" wrapText="1"/>
    </xf>
    <xf numFmtId="0" fontId="8" fillId="0" borderId="1" xfId="0" applyFont="1" applyFill="1" applyBorder="1" applyAlignment="1">
      <alignment horizontal="left" vertical="top" wrapText="1"/>
    </xf>
    <xf numFmtId="0" fontId="16" fillId="0" borderId="1" xfId="0" applyFont="1" applyFill="1" applyBorder="1" applyAlignment="1">
      <alignment vertical="top" wrapText="1"/>
    </xf>
    <xf numFmtId="0" fontId="14" fillId="0" borderId="1" xfId="0" applyFont="1" applyBorder="1" applyAlignment="1">
      <alignment vertical="top" wrapText="1"/>
    </xf>
    <xf numFmtId="0" fontId="8" fillId="0" borderId="1" xfId="0" applyFont="1" applyBorder="1" applyAlignment="1">
      <alignment horizontal="left" vertical="top" wrapText="1"/>
    </xf>
    <xf numFmtId="0" fontId="17" fillId="0" borderId="1" xfId="0" applyFont="1" applyBorder="1" applyAlignment="1">
      <alignment vertical="top" wrapText="1"/>
    </xf>
    <xf numFmtId="0" fontId="14" fillId="0" borderId="1" xfId="0" applyFont="1" applyBorder="1" applyAlignment="1">
      <alignment horizontal="left" vertical="top" wrapText="1"/>
    </xf>
    <xf numFmtId="0" fontId="16" fillId="0" borderId="1" xfId="0" applyFont="1" applyBorder="1" applyAlignment="1">
      <alignment horizontal="left" vertical="top" wrapText="1"/>
    </xf>
    <xf numFmtId="164" fontId="8" fillId="0" borderId="1" xfId="0" applyNumberFormat="1" applyFont="1" applyBorder="1" applyAlignment="1">
      <alignment horizontal="center" vertical="top" wrapText="1"/>
    </xf>
    <xf numFmtId="0" fontId="8" fillId="0" borderId="1" xfId="0" applyFont="1" applyBorder="1" applyAlignment="1">
      <alignment vertical="top" wrapText="1"/>
    </xf>
    <xf numFmtId="0" fontId="5" fillId="0" borderId="0" xfId="0" applyFont="1" applyAlignment="1">
      <alignment vertical="top"/>
    </xf>
    <xf numFmtId="0" fontId="0" fillId="0" borderId="1" xfId="0" applyBorder="1" applyAlignment="1">
      <alignment horizontal="left" vertical="top" wrapText="1"/>
    </xf>
    <xf numFmtId="0" fontId="23" fillId="0" borderId="0" xfId="0" applyFont="1"/>
    <xf numFmtId="0" fontId="24" fillId="0" borderId="0" xfId="0" applyFont="1"/>
    <xf numFmtId="0" fontId="25" fillId="5" borderId="0" xfId="1" applyFont="1"/>
    <xf numFmtId="0" fontId="4" fillId="0" borderId="0" xfId="0" applyFont="1"/>
    <xf numFmtId="0" fontId="26" fillId="0" borderId="0" xfId="2" applyFont="1" applyFill="1" applyAlignment="1">
      <alignment vertical="top"/>
    </xf>
    <xf numFmtId="0" fontId="4" fillId="0" borderId="0" xfId="0" applyFont="1" applyAlignment="1">
      <alignment vertical="top"/>
    </xf>
    <xf numFmtId="0" fontId="3" fillId="0" borderId="0" xfId="0" applyFont="1" applyAlignment="1">
      <alignment vertical="top"/>
    </xf>
    <xf numFmtId="0" fontId="2" fillId="0" borderId="0" xfId="0" applyFont="1" applyAlignment="1">
      <alignment vertical="top"/>
    </xf>
    <xf numFmtId="0" fontId="0" fillId="0" borderId="1" xfId="0" applyBorder="1"/>
    <xf numFmtId="0" fontId="10" fillId="0" borderId="1" xfId="0" pivotButton="1" applyFont="1" applyBorder="1"/>
    <xf numFmtId="0" fontId="10" fillId="0" borderId="1" xfId="0" applyFont="1" applyBorder="1"/>
    <xf numFmtId="14" fontId="11" fillId="2" borderId="1" xfId="0" applyNumberFormat="1" applyFont="1" applyFill="1" applyBorder="1" applyAlignment="1">
      <alignment horizontal="left"/>
    </xf>
    <xf numFmtId="0" fontId="11" fillId="2" borderId="1" xfId="0" applyNumberFormat="1" applyFont="1" applyFill="1" applyBorder="1"/>
    <xf numFmtId="0" fontId="10" fillId="0" borderId="1" xfId="0" applyFont="1" applyBorder="1" applyAlignment="1">
      <alignment horizontal="left" indent="1"/>
    </xf>
    <xf numFmtId="0" fontId="10" fillId="0" borderId="1" xfId="0" applyNumberFormat="1" applyFont="1" applyBorder="1"/>
    <xf numFmtId="0" fontId="10" fillId="0" borderId="1" xfId="0" applyFont="1" applyBorder="1" applyAlignment="1">
      <alignment horizontal="left" indent="2"/>
    </xf>
    <xf numFmtId="0" fontId="10" fillId="0" borderId="1" xfId="0" applyFont="1" applyBorder="1" applyAlignment="1">
      <alignment horizontal="left"/>
    </xf>
    <xf numFmtId="0" fontId="27" fillId="2" borderId="0" xfId="0" applyFont="1" applyFill="1"/>
    <xf numFmtId="20" fontId="11" fillId="2" borderId="1" xfId="0" applyNumberFormat="1" applyFont="1" applyFill="1" applyBorder="1" applyAlignment="1">
      <alignment horizontal="center"/>
    </xf>
    <xf numFmtId="0" fontId="11" fillId="2" borderId="0" xfId="0" applyFont="1" applyFill="1"/>
    <xf numFmtId="0" fontId="29" fillId="0" borderId="1" xfId="0" applyFont="1" applyBorder="1" applyAlignment="1">
      <alignment vertical="top" wrapText="1"/>
    </xf>
    <xf numFmtId="0" fontId="1" fillId="0" borderId="1" xfId="0" applyFont="1" applyBorder="1" applyAlignment="1">
      <alignment horizontal="center" vertical="top" wrapText="1"/>
    </xf>
    <xf numFmtId="164" fontId="1" fillId="0" borderId="1" xfId="0" applyNumberFormat="1" applyFont="1" applyBorder="1" applyAlignment="1">
      <alignment horizontal="center" vertical="top"/>
    </xf>
    <xf numFmtId="0" fontId="1" fillId="0" borderId="1" xfId="0" applyFont="1" applyBorder="1" applyAlignment="1">
      <alignment horizontal="left" vertical="top" wrapText="1"/>
    </xf>
    <xf numFmtId="164" fontId="1" fillId="0" borderId="1" xfId="0" applyNumberFormat="1" applyFont="1" applyFill="1" applyBorder="1" applyAlignment="1">
      <alignment horizontal="center" vertical="top" wrapText="1"/>
    </xf>
    <xf numFmtId="0" fontId="1" fillId="0" borderId="1" xfId="0" applyFont="1" applyBorder="1" applyAlignment="1">
      <alignment vertical="top" wrapText="1"/>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wrapText="1"/>
    </xf>
    <xf numFmtId="0" fontId="1" fillId="0" borderId="1" xfId="0" applyFont="1" applyFill="1" applyBorder="1" applyAlignment="1">
      <alignment vertical="top" wrapText="1"/>
    </xf>
    <xf numFmtId="164" fontId="1" fillId="0" borderId="1" xfId="0" applyNumberFormat="1" applyFont="1" applyBorder="1" applyAlignment="1">
      <alignment horizontal="center" vertical="top" wrapText="1"/>
    </xf>
    <xf numFmtId="0" fontId="1" fillId="0" borderId="1" xfId="0" applyFont="1" applyBorder="1" applyAlignment="1">
      <alignment vertical="top"/>
    </xf>
    <xf numFmtId="0" fontId="1" fillId="0" borderId="1" xfId="0" applyFont="1" applyBorder="1" applyAlignment="1">
      <alignment horizontal="center" vertical="top"/>
    </xf>
    <xf numFmtId="0" fontId="1" fillId="0" borderId="1" xfId="0" quotePrefix="1" applyFont="1" applyBorder="1" applyAlignment="1">
      <alignment vertical="top" wrapText="1"/>
    </xf>
    <xf numFmtId="14" fontId="1" fillId="0" borderId="1" xfId="0" applyNumberFormat="1" applyFont="1" applyBorder="1" applyAlignment="1">
      <alignment horizontal="center" vertical="top" wrapText="1"/>
    </xf>
    <xf numFmtId="14" fontId="1" fillId="0" borderId="1" xfId="0" applyNumberFormat="1" applyFont="1" applyBorder="1" applyAlignment="1">
      <alignment horizontal="center" vertical="top"/>
    </xf>
    <xf numFmtId="164" fontId="1" fillId="0" borderId="1" xfId="0" applyNumberFormat="1" applyFont="1" applyFill="1" applyBorder="1" applyAlignment="1">
      <alignment horizontal="center" vertical="top"/>
    </xf>
    <xf numFmtId="0" fontId="1" fillId="0" borderId="1" xfId="0" applyFont="1" applyBorder="1"/>
    <xf numFmtId="0" fontId="1" fillId="0" borderId="0" xfId="0" applyFont="1"/>
    <xf numFmtId="20" fontId="1" fillId="0" borderId="0" xfId="0" applyNumberFormat="1" applyFont="1"/>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Fill="1" applyAlignment="1">
      <alignment horizontal="left" vertical="top" wrapText="1"/>
    </xf>
  </cellXfs>
  <cellStyles count="3">
    <cellStyle name="Hyperlink" xfId="2" builtinId="8"/>
    <cellStyle name="Neutral" xfId="1" builtinId="28"/>
    <cellStyle name="Normal" xfId="0" builtinId="0"/>
  </cellStyles>
  <dxfs count="118">
    <dxf>
      <fill>
        <patternFill>
          <bgColor theme="9" tint="0.79998168889431442"/>
        </patternFill>
      </fill>
    </dxf>
    <dxf>
      <fill>
        <patternFill>
          <bgColor theme="5" tint="0.79998168889431442"/>
        </patternFill>
      </fill>
    </dxf>
    <dxf>
      <fill>
        <patternFill>
          <bgColor theme="7" tint="0.79998168889431442"/>
        </patternFill>
      </fill>
    </dxf>
    <dxf>
      <fill>
        <patternFill>
          <bgColor theme="9" tint="0.79998168889431442"/>
        </patternFill>
      </fill>
    </dxf>
    <dxf>
      <fill>
        <patternFill>
          <bgColor theme="5" tint="0.79998168889431442"/>
        </patternFill>
      </fill>
    </dxf>
    <dxf>
      <fill>
        <patternFill>
          <bgColor theme="7" tint="0.79998168889431442"/>
        </patternFill>
      </fill>
    </dxf>
    <dxf>
      <font>
        <color rgb="FFFF0000"/>
      </font>
    </dxf>
    <dxf>
      <font>
        <color theme="0" tint="-0.34998626667073579"/>
      </font>
    </dxf>
    <dxf>
      <font>
        <color rgb="FF0070C0"/>
      </font>
    </dxf>
    <dxf>
      <font>
        <color rgb="FF00B050"/>
      </font>
    </dxf>
    <dxf>
      <font>
        <color theme="0" tint="-0.34998626667073579"/>
      </font>
    </dxf>
    <dxf>
      <font>
        <color rgb="FFFF0000"/>
      </font>
    </dxf>
    <dxf>
      <font>
        <color rgb="FF0070C0"/>
      </font>
    </dxf>
    <dxf>
      <font>
        <color rgb="FF00B050"/>
      </font>
    </dxf>
    <dxf>
      <font>
        <color theme="0" tint="-0.34998626667073579"/>
      </font>
    </dxf>
    <dxf>
      <font>
        <color theme="0" tint="-0.34998626667073579"/>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color theme="0"/>
      </font>
    </dxf>
    <dxf>
      <fill>
        <patternFill patternType="solid">
          <bgColor theme="4"/>
        </patternFill>
      </fill>
    </dxf>
    <dxf>
      <font>
        <b/>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ont>
        <color theme="0"/>
      </font>
    </dxf>
    <dxf>
      <font>
        <color theme="0"/>
      </font>
    </dxf>
    <dxf>
      <fill>
        <patternFill patternType="solid">
          <bgColor theme="4"/>
        </patternFill>
      </fill>
    </dxf>
    <dxf>
      <fill>
        <patternFill patternType="solid">
          <bgColor theme="4"/>
        </patternFill>
      </fill>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
      <fill>
        <patternFill patternType="solid">
          <bgColor theme="4"/>
        </patternFill>
      </fill>
    </dxf>
    <dxf>
      <fill>
        <patternFill patternType="solid">
          <bgColor theme="4"/>
        </patternFill>
      </fill>
    </dxf>
    <dxf>
      <font>
        <color theme="0"/>
      </font>
    </dxf>
    <dxf>
      <font>
        <color theme="0"/>
      </font>
    </dxf>
  </dxfs>
  <tableStyles count="0" defaultTableStyle="TableStyleMedium2" defaultPivotStyle="PivotStyleLight16"/>
  <colors>
    <mruColors>
      <color rgb="FFEF8C4F"/>
      <color rgb="FFFF660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295275</xdr:colOff>
      <xdr:row>0</xdr:row>
      <xdr:rowOff>371475</xdr:rowOff>
    </xdr:from>
    <xdr:to>
      <xdr:col>21</xdr:col>
      <xdr:colOff>600076</xdr:colOff>
      <xdr:row>4</xdr:row>
      <xdr:rowOff>228600</xdr:rowOff>
    </xdr:to>
    <xdr:pic>
      <xdr:nvPicPr>
        <xdr:cNvPr id="5" name="Picture 1">
          <a:extLst>
            <a:ext uri="{FF2B5EF4-FFF2-40B4-BE49-F238E27FC236}">
              <a16:creationId xmlns:a16="http://schemas.microsoft.com/office/drawing/2014/main" id="{A600B79E-05D1-694D-0F1D-680BDA8EF91D}"/>
            </a:ext>
          </a:extLst>
        </xdr:cNvPr>
        <xdr:cNvPicPr>
          <a:picLocks noChangeAspect="1"/>
        </xdr:cNvPicPr>
      </xdr:nvPicPr>
      <xdr:blipFill>
        <a:blip xmlns:r="http://schemas.openxmlformats.org/officeDocument/2006/relationships" r:embed="rId1"/>
        <a:stretch>
          <a:fillRect/>
        </a:stretch>
      </xdr:blipFill>
      <xdr:spPr>
        <a:xfrm>
          <a:off x="23669625" y="371475"/>
          <a:ext cx="4572001" cy="1571625"/>
        </a:xfrm>
        <a:prstGeom prst="rect">
          <a:avLst/>
        </a:prstGeom>
      </xdr:spPr>
    </xdr:pic>
    <xdr:clientData/>
  </xdr:twoCellAnchor>
  <xdr:twoCellAnchor editAs="oneCell">
    <xdr:from>
      <xdr:col>22</xdr:col>
      <xdr:colOff>438150</xdr:colOff>
      <xdr:row>0</xdr:row>
      <xdr:rowOff>371475</xdr:rowOff>
    </xdr:from>
    <xdr:to>
      <xdr:col>30</xdr:col>
      <xdr:colOff>123825</xdr:colOff>
      <xdr:row>4</xdr:row>
      <xdr:rowOff>257175</xdr:rowOff>
    </xdr:to>
    <xdr:pic>
      <xdr:nvPicPr>
        <xdr:cNvPr id="4" name="Picture 2">
          <a:extLst>
            <a:ext uri="{FF2B5EF4-FFF2-40B4-BE49-F238E27FC236}">
              <a16:creationId xmlns:a16="http://schemas.microsoft.com/office/drawing/2014/main" id="{5D80FC47-6C3D-C8D8-75AF-E73A981C1156}"/>
            </a:ext>
            <a:ext uri="{147F2762-F138-4A5C-976F-8EAC2B608ADB}">
              <a16:predDERef xmlns:a16="http://schemas.microsoft.com/office/drawing/2014/main" pred="{A600B79E-05D1-694D-0F1D-680BDA8EF91D}"/>
            </a:ext>
          </a:extLst>
        </xdr:cNvPr>
        <xdr:cNvPicPr>
          <a:picLocks noChangeAspect="1"/>
        </xdr:cNvPicPr>
      </xdr:nvPicPr>
      <xdr:blipFill>
        <a:blip xmlns:r="http://schemas.openxmlformats.org/officeDocument/2006/relationships" r:embed="rId2"/>
        <a:stretch>
          <a:fillRect/>
        </a:stretch>
      </xdr:blipFill>
      <xdr:spPr>
        <a:xfrm>
          <a:off x="28689300" y="371475"/>
          <a:ext cx="4562475" cy="16002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lanie Uyehara" refreshedDate="46055.465021643518" createdVersion="8" refreshedVersion="8" minRefreshableVersion="3" recordCount="48" xr:uid="{68F4A520-9D80-422F-A9F1-5E994CDFB6B8}">
  <cacheSource type="worksheet">
    <worksheetSource ref="B1:F1048576" sheet="DEFECTS"/>
  </cacheSource>
  <cacheFields count="7">
    <cacheField name="Date Tested" numFmtId="0">
      <sharedItems containsNonDate="0" containsDate="1" containsString="0" containsBlank="1" minDate="2025-10-27T00:00:00" maxDate="2026-12-24T00:00:00" count="11">
        <d v="2025-10-27T00:00:00"/>
        <d v="2025-11-19T00:00:00"/>
        <d v="2025-12-05T00:00:00"/>
        <d v="2025-12-23T00:00:00"/>
        <d v="2026-01-14T00:00:00"/>
        <d v="2026-01-23T00:00:00"/>
        <d v="2026-01-27T00:00:00"/>
        <d v="2026-01-29T00:00:00"/>
        <m/>
        <d v="2026-12-23T00:00:00" u="1"/>
        <d v="2025-12-24T00:00:00" u="1"/>
      </sharedItems>
      <fieldGroup par="6"/>
    </cacheField>
    <cacheField name="Interface" numFmtId="0">
      <sharedItems containsBlank="1"/>
    </cacheField>
    <cacheField name="Scenario Type" numFmtId="0">
      <sharedItems containsBlank="1" count="3">
        <s v="Functionality"/>
        <s v="UI"/>
        <m/>
      </sharedItems>
    </cacheField>
    <cacheField name="Bug Type" numFmtId="0">
      <sharedItems containsBlank="1" count="4">
        <s v="Major"/>
        <s v="Minor"/>
        <s v="Regression"/>
        <m/>
      </sharedItems>
    </cacheField>
    <cacheField name="Status" numFmtId="0">
      <sharedItems containsBlank="1" count="7">
        <s v="Resolved"/>
        <s v="No Action"/>
        <m/>
        <s v="New" u="1"/>
        <s v="Reported" u="1"/>
        <s v="Return to Dev" u="1"/>
        <s v="Retest In Progress" u="1"/>
      </sharedItems>
    </cacheField>
    <cacheField name="Days (Date Tested)" numFmtId="0" databaseField="0">
      <fieldGroup base="0">
        <rangePr groupBy="days" startDate="2025-10-27T00:00:00" endDate="2026-01-30T00:00:00"/>
        <groupItems count="368">
          <s v="&lt;10/27/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30/2026"/>
        </groupItems>
      </fieldGroup>
    </cacheField>
    <cacheField name="Months (Date Tested)" numFmtId="0" databaseField="0">
      <fieldGroup base="0">
        <rangePr groupBy="months" startDate="2025-10-27T00:00:00" endDate="2026-01-30T00:00:00"/>
        <groupItems count="14">
          <s v="&lt;10/27/2025"/>
          <s v="Jan"/>
          <s v="Feb"/>
          <s v="Mar"/>
          <s v="Apr"/>
          <s v="May"/>
          <s v="Jun"/>
          <s v="Jul"/>
          <s v="Aug"/>
          <s v="Sep"/>
          <s v="Oct"/>
          <s v="Nov"/>
          <s v="Dec"/>
          <s v="&gt;1/30/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m/>
    <x v="0"/>
    <x v="0"/>
    <x v="0"/>
  </r>
  <r>
    <x v="0"/>
    <m/>
    <x v="0"/>
    <x v="0"/>
    <x v="0"/>
  </r>
  <r>
    <x v="0"/>
    <m/>
    <x v="1"/>
    <x v="1"/>
    <x v="0"/>
  </r>
  <r>
    <x v="0"/>
    <m/>
    <x v="1"/>
    <x v="1"/>
    <x v="1"/>
  </r>
  <r>
    <x v="0"/>
    <m/>
    <x v="1"/>
    <x v="1"/>
    <x v="0"/>
  </r>
  <r>
    <x v="0"/>
    <m/>
    <x v="0"/>
    <x v="0"/>
    <x v="0"/>
  </r>
  <r>
    <x v="0"/>
    <m/>
    <x v="1"/>
    <x v="1"/>
    <x v="0"/>
  </r>
  <r>
    <x v="0"/>
    <m/>
    <x v="1"/>
    <x v="1"/>
    <x v="0"/>
  </r>
  <r>
    <x v="0"/>
    <m/>
    <x v="0"/>
    <x v="0"/>
    <x v="0"/>
  </r>
  <r>
    <x v="0"/>
    <m/>
    <x v="0"/>
    <x v="0"/>
    <x v="0"/>
  </r>
  <r>
    <x v="0"/>
    <m/>
    <x v="0"/>
    <x v="0"/>
    <x v="0"/>
  </r>
  <r>
    <x v="0"/>
    <m/>
    <x v="0"/>
    <x v="0"/>
    <x v="1"/>
  </r>
  <r>
    <x v="0"/>
    <m/>
    <x v="0"/>
    <x v="0"/>
    <x v="0"/>
  </r>
  <r>
    <x v="0"/>
    <m/>
    <x v="1"/>
    <x v="1"/>
    <x v="0"/>
  </r>
  <r>
    <x v="0"/>
    <m/>
    <x v="1"/>
    <x v="0"/>
    <x v="0"/>
  </r>
  <r>
    <x v="0"/>
    <m/>
    <x v="0"/>
    <x v="0"/>
    <x v="0"/>
  </r>
  <r>
    <x v="0"/>
    <m/>
    <x v="0"/>
    <x v="0"/>
    <x v="0"/>
  </r>
  <r>
    <x v="0"/>
    <m/>
    <x v="0"/>
    <x v="1"/>
    <x v="0"/>
  </r>
  <r>
    <x v="0"/>
    <m/>
    <x v="0"/>
    <x v="0"/>
    <x v="0"/>
  </r>
  <r>
    <x v="0"/>
    <s v="Vision"/>
    <x v="0"/>
    <x v="0"/>
    <x v="0"/>
  </r>
  <r>
    <x v="0"/>
    <m/>
    <x v="0"/>
    <x v="0"/>
    <x v="0"/>
  </r>
  <r>
    <x v="0"/>
    <m/>
    <x v="0"/>
    <x v="0"/>
    <x v="0"/>
  </r>
  <r>
    <x v="1"/>
    <m/>
    <x v="0"/>
    <x v="1"/>
    <x v="0"/>
  </r>
  <r>
    <x v="1"/>
    <m/>
    <x v="1"/>
    <x v="0"/>
    <x v="1"/>
  </r>
  <r>
    <x v="2"/>
    <m/>
    <x v="1"/>
    <x v="1"/>
    <x v="1"/>
  </r>
  <r>
    <x v="2"/>
    <s v="Both"/>
    <x v="0"/>
    <x v="1"/>
    <x v="0"/>
  </r>
  <r>
    <x v="2"/>
    <s v="Both"/>
    <x v="0"/>
    <x v="0"/>
    <x v="0"/>
  </r>
  <r>
    <x v="2"/>
    <s v="Both"/>
    <x v="0"/>
    <x v="0"/>
    <x v="0"/>
  </r>
  <r>
    <x v="2"/>
    <s v="Both"/>
    <x v="0"/>
    <x v="1"/>
    <x v="1"/>
  </r>
  <r>
    <x v="3"/>
    <s v="Both"/>
    <x v="0"/>
    <x v="2"/>
    <x v="0"/>
  </r>
  <r>
    <x v="3"/>
    <s v="Both"/>
    <x v="0"/>
    <x v="0"/>
    <x v="1"/>
  </r>
  <r>
    <x v="3"/>
    <s v="Both"/>
    <x v="0"/>
    <x v="1"/>
    <x v="0"/>
  </r>
  <r>
    <x v="4"/>
    <s v="Both"/>
    <x v="0"/>
    <x v="2"/>
    <x v="0"/>
  </r>
  <r>
    <x v="4"/>
    <s v="Both"/>
    <x v="1"/>
    <x v="1"/>
    <x v="0"/>
  </r>
  <r>
    <x v="4"/>
    <s v="Both"/>
    <x v="1"/>
    <x v="1"/>
    <x v="0"/>
  </r>
  <r>
    <x v="5"/>
    <s v="Both"/>
    <x v="0"/>
    <x v="0"/>
    <x v="0"/>
  </r>
  <r>
    <x v="5"/>
    <s v="Both"/>
    <x v="1"/>
    <x v="0"/>
    <x v="0"/>
  </r>
  <r>
    <x v="5"/>
    <s v="Both"/>
    <x v="0"/>
    <x v="1"/>
    <x v="0"/>
  </r>
  <r>
    <x v="5"/>
    <s v="PB Only"/>
    <x v="1"/>
    <x v="1"/>
    <x v="0"/>
  </r>
  <r>
    <x v="6"/>
    <s v="PB Only"/>
    <x v="1"/>
    <x v="0"/>
    <x v="0"/>
  </r>
  <r>
    <x v="6"/>
    <s v="Both"/>
    <x v="0"/>
    <x v="0"/>
    <x v="0"/>
  </r>
  <r>
    <x v="6"/>
    <s v="Both"/>
    <x v="1"/>
    <x v="1"/>
    <x v="0"/>
  </r>
  <r>
    <x v="7"/>
    <s v="Both"/>
    <x v="0"/>
    <x v="1"/>
    <x v="0"/>
  </r>
  <r>
    <x v="7"/>
    <s v="Both"/>
    <x v="0"/>
    <x v="0"/>
    <x v="0"/>
  </r>
  <r>
    <x v="8"/>
    <m/>
    <x v="2"/>
    <x v="3"/>
    <x v="2"/>
  </r>
  <r>
    <x v="8"/>
    <m/>
    <x v="2"/>
    <x v="3"/>
    <x v="2"/>
  </r>
  <r>
    <x v="8"/>
    <m/>
    <x v="2"/>
    <x v="3"/>
    <x v="2"/>
  </r>
  <r>
    <x v="8"/>
    <m/>
    <x v="2"/>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FB0B02-A91E-4CF2-9BAD-F11DB302B7CB}" name="PivotTable3" cacheId="1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7" firstHeaderRow="1" firstDataRow="1" firstDataCol="1"/>
  <pivotFields count="7">
    <pivotField showAll="0">
      <items count="12">
        <item x="0"/>
        <item x="1"/>
        <item x="2"/>
        <item x="8"/>
        <item x="3"/>
        <item m="1" x="10"/>
        <item x="4"/>
        <item m="1" x="9"/>
        <item x="5"/>
        <item x="6"/>
        <item x="7"/>
        <item t="default"/>
      </items>
    </pivotField>
    <pivotField showAll="0"/>
    <pivotField showAll="0"/>
    <pivotField axis="axisRow" dataField="1" showAll="0">
      <items count="5">
        <item x="0"/>
        <item x="1"/>
        <item h="1" x="3"/>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4">
    <i>
      <x/>
    </i>
    <i>
      <x v="1"/>
    </i>
    <i>
      <x v="3"/>
    </i>
    <i t="grand">
      <x/>
    </i>
  </rowItems>
  <colItems count="1">
    <i/>
  </colItems>
  <dataFields count="1">
    <dataField name="Count of Bug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B7D9E4-9330-40FD-AC74-60098D39F609}" name="PivotTable1" cacheId="1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F48" firstHeaderRow="1" firstDataRow="2" firstDataCol="1"/>
  <pivotFields count="7">
    <pivotField axis="axisRow" showAll="0">
      <items count="12">
        <item x="0"/>
        <item x="1"/>
        <item x="8"/>
        <item x="2"/>
        <item x="3"/>
        <item m="1" x="10"/>
        <item x="4"/>
        <item m="1" x="9"/>
        <item x="5"/>
        <item x="6"/>
        <item x="7"/>
        <item t="default"/>
      </items>
    </pivotField>
    <pivotField showAll="0"/>
    <pivotField axis="axisRow" dataField="1" showAll="0">
      <items count="4">
        <item x="0"/>
        <item x="1"/>
        <item h="1" x="2"/>
        <item t="default"/>
      </items>
    </pivotField>
    <pivotField axis="axisRow" showAll="0">
      <items count="5">
        <item x="0"/>
        <item x="1"/>
        <item h="1" x="3"/>
        <item x="2"/>
        <item t="default"/>
      </items>
    </pivotField>
    <pivotField axis="axisCol" showAll="0">
      <items count="8">
        <item m="1" x="3"/>
        <item x="1"/>
        <item m="1" x="4"/>
        <item x="0"/>
        <item m="1" x="5"/>
        <item h="1" x="2"/>
        <item m="1"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3">
    <field x="0"/>
    <field x="2"/>
    <field x="3"/>
  </rowFields>
  <rowItems count="46">
    <i>
      <x/>
    </i>
    <i r="1">
      <x/>
    </i>
    <i r="2">
      <x/>
    </i>
    <i r="2">
      <x v="1"/>
    </i>
    <i r="1">
      <x v="1"/>
    </i>
    <i r="2">
      <x/>
    </i>
    <i r="2">
      <x v="1"/>
    </i>
    <i>
      <x v="1"/>
    </i>
    <i r="1">
      <x/>
    </i>
    <i r="2">
      <x v="1"/>
    </i>
    <i r="1">
      <x v="1"/>
    </i>
    <i r="2">
      <x/>
    </i>
    <i>
      <x v="3"/>
    </i>
    <i r="1">
      <x/>
    </i>
    <i r="2">
      <x/>
    </i>
    <i r="2">
      <x v="1"/>
    </i>
    <i r="1">
      <x v="1"/>
    </i>
    <i r="2">
      <x v="1"/>
    </i>
    <i>
      <x v="4"/>
    </i>
    <i r="1">
      <x/>
    </i>
    <i r="2">
      <x/>
    </i>
    <i r="2">
      <x v="1"/>
    </i>
    <i r="2">
      <x v="3"/>
    </i>
    <i>
      <x v="6"/>
    </i>
    <i r="1">
      <x/>
    </i>
    <i r="2">
      <x v="3"/>
    </i>
    <i r="1">
      <x v="1"/>
    </i>
    <i r="2">
      <x v="1"/>
    </i>
    <i>
      <x v="8"/>
    </i>
    <i r="1">
      <x/>
    </i>
    <i r="2">
      <x/>
    </i>
    <i r="2">
      <x v="1"/>
    </i>
    <i r="1">
      <x v="1"/>
    </i>
    <i r="2">
      <x/>
    </i>
    <i r="2">
      <x v="1"/>
    </i>
    <i>
      <x v="9"/>
    </i>
    <i r="1">
      <x/>
    </i>
    <i r="2">
      <x/>
    </i>
    <i r="1">
      <x v="1"/>
    </i>
    <i r="2">
      <x/>
    </i>
    <i r="2">
      <x v="1"/>
    </i>
    <i>
      <x v="10"/>
    </i>
    <i r="1">
      <x/>
    </i>
    <i r="2">
      <x/>
    </i>
    <i r="2">
      <x v="1"/>
    </i>
    <i t="grand">
      <x/>
    </i>
  </rowItems>
  <colFields count="1">
    <field x="4"/>
  </colFields>
  <colItems count="3">
    <i>
      <x v="1"/>
    </i>
    <i>
      <x v="3"/>
    </i>
    <i t="grand">
      <x/>
    </i>
  </colItems>
  <dataFields count="1">
    <dataField name="Scenario" fld="2" subtotal="count" baseField="0" baseItem="0"/>
  </dataFields>
  <formats count="102">
    <format dxfId="16">
      <pivotArea type="all" dataOnly="0" outline="0" fieldPosition="0"/>
    </format>
    <format dxfId="17">
      <pivotArea outline="0" collapsedLevelsAreSubtotals="1" fieldPosition="0"/>
    </format>
    <format dxfId="18">
      <pivotArea type="origin" dataOnly="0" labelOnly="1" outline="0" fieldPosition="0"/>
    </format>
    <format dxfId="19">
      <pivotArea field="4" type="button" dataOnly="0" labelOnly="1" outline="0" axis="axisCol" fieldPosition="0"/>
    </format>
    <format dxfId="20">
      <pivotArea type="topRight" dataOnly="0" labelOnly="1" outline="0" fieldPosition="0"/>
    </format>
    <format dxfId="21">
      <pivotArea field="0" type="button" dataOnly="0" labelOnly="1" outline="0" axis="axisRow" fieldPosition="0"/>
    </format>
    <format dxfId="22">
      <pivotArea dataOnly="0" labelOnly="1" fieldPosition="0">
        <references count="1">
          <reference field="0" count="2">
            <x v="0"/>
            <x v="1"/>
          </reference>
        </references>
      </pivotArea>
    </format>
    <format dxfId="23">
      <pivotArea dataOnly="0" labelOnly="1" grandRow="1" outline="0" fieldPosition="0"/>
    </format>
    <format dxfId="24">
      <pivotArea dataOnly="0" labelOnly="1" fieldPosition="0">
        <references count="2">
          <reference field="0" count="1" selected="0">
            <x v="0"/>
          </reference>
          <reference field="2" count="0"/>
        </references>
      </pivotArea>
    </format>
    <format dxfId="25">
      <pivotArea dataOnly="0" labelOnly="1" fieldPosition="0">
        <references count="2">
          <reference field="0" count="1" selected="0">
            <x v="1"/>
          </reference>
          <reference field="2" count="0"/>
        </references>
      </pivotArea>
    </format>
    <format dxfId="26">
      <pivotArea dataOnly="0" labelOnly="1" fieldPosition="0">
        <references count="3">
          <reference field="0" count="1" selected="0">
            <x v="0"/>
          </reference>
          <reference field="2" count="1" selected="0">
            <x v="0"/>
          </reference>
          <reference field="3" count="0"/>
        </references>
      </pivotArea>
    </format>
    <format dxfId="27">
      <pivotArea dataOnly="0" labelOnly="1" fieldPosition="0">
        <references count="3">
          <reference field="0" count="1" selected="0">
            <x v="0"/>
          </reference>
          <reference field="2" count="1" selected="0">
            <x v="1"/>
          </reference>
          <reference field="3" count="0"/>
        </references>
      </pivotArea>
    </format>
    <format dxfId="28">
      <pivotArea dataOnly="0" labelOnly="1" fieldPosition="0">
        <references count="3">
          <reference field="0" count="1" selected="0">
            <x v="1"/>
          </reference>
          <reference field="2" count="1" selected="0">
            <x v="0"/>
          </reference>
          <reference field="3" count="1">
            <x v="1"/>
          </reference>
        </references>
      </pivotArea>
    </format>
    <format dxfId="29">
      <pivotArea dataOnly="0" labelOnly="1" fieldPosition="0">
        <references count="3">
          <reference field="0" count="1" selected="0">
            <x v="1"/>
          </reference>
          <reference field="2" count="1" selected="0">
            <x v="1"/>
          </reference>
          <reference field="3" count="1">
            <x v="0"/>
          </reference>
        </references>
      </pivotArea>
    </format>
    <format dxfId="30">
      <pivotArea dataOnly="0" labelOnly="1" fieldPosition="0">
        <references count="1">
          <reference field="4" count="0"/>
        </references>
      </pivotArea>
    </format>
    <format dxfId="31">
      <pivotArea dataOnly="0" labelOnly="1" grandCol="1" outline="0" fieldPosition="0"/>
    </format>
    <format dxfId="32">
      <pivotArea dataOnly="0" fieldPosition="0">
        <references count="1">
          <reference field="0" count="2">
            <x v="0"/>
            <x v="1"/>
          </reference>
        </references>
      </pivotArea>
    </format>
    <format dxfId="33">
      <pivotArea dataOnly="0" fieldPosition="0">
        <references count="1">
          <reference field="0" count="2">
            <x v="0"/>
            <x v="1"/>
          </reference>
        </references>
      </pivotArea>
    </format>
    <format dxfId="34">
      <pivotArea dataOnly="0" fieldPosition="0">
        <references count="1">
          <reference field="0" count="2">
            <x v="0"/>
            <x v="1"/>
          </reference>
        </references>
      </pivotArea>
    </format>
    <format dxfId="35">
      <pivotArea outline="0" collapsedLevelsAreSubtotals="1" fieldPosition="0"/>
    </format>
    <format dxfId="36">
      <pivotArea field="0" type="button" dataOnly="0" labelOnly="1" outline="0" axis="axisRow" fieldPosition="0"/>
    </format>
    <format dxfId="37">
      <pivotArea dataOnly="0" labelOnly="1" fieldPosition="0">
        <references count="1">
          <reference field="0" count="2">
            <x v="0"/>
            <x v="1"/>
          </reference>
        </references>
      </pivotArea>
    </format>
    <format dxfId="38">
      <pivotArea dataOnly="0" labelOnly="1" grandRow="1" outline="0" fieldPosition="0"/>
    </format>
    <format dxfId="39">
      <pivotArea dataOnly="0" labelOnly="1" fieldPosition="0">
        <references count="2">
          <reference field="0" count="1" selected="0">
            <x v="0"/>
          </reference>
          <reference field="2" count="0"/>
        </references>
      </pivotArea>
    </format>
    <format dxfId="40">
      <pivotArea dataOnly="0" labelOnly="1" fieldPosition="0">
        <references count="2">
          <reference field="0" count="1" selected="0">
            <x v="1"/>
          </reference>
          <reference field="2" count="0"/>
        </references>
      </pivotArea>
    </format>
    <format dxfId="41">
      <pivotArea dataOnly="0" labelOnly="1" fieldPosition="0">
        <references count="3">
          <reference field="0" count="1" selected="0">
            <x v="0"/>
          </reference>
          <reference field="2" count="1" selected="0">
            <x v="0"/>
          </reference>
          <reference field="3" count="0"/>
        </references>
      </pivotArea>
    </format>
    <format dxfId="42">
      <pivotArea dataOnly="0" labelOnly="1" fieldPosition="0">
        <references count="3">
          <reference field="0" count="1" selected="0">
            <x v="0"/>
          </reference>
          <reference field="2" count="1" selected="0">
            <x v="1"/>
          </reference>
          <reference field="3" count="0"/>
        </references>
      </pivotArea>
    </format>
    <format dxfId="43">
      <pivotArea dataOnly="0" labelOnly="1" fieldPosition="0">
        <references count="3">
          <reference field="0" count="1" selected="0">
            <x v="1"/>
          </reference>
          <reference field="2" count="1" selected="0">
            <x v="0"/>
          </reference>
          <reference field="3" count="1">
            <x v="1"/>
          </reference>
        </references>
      </pivotArea>
    </format>
    <format dxfId="44">
      <pivotArea dataOnly="0" labelOnly="1" fieldPosition="0">
        <references count="3">
          <reference field="0" count="1" selected="0">
            <x v="1"/>
          </reference>
          <reference field="2" count="1" selected="0">
            <x v="1"/>
          </reference>
          <reference field="3" count="1">
            <x v="0"/>
          </reference>
        </references>
      </pivotArea>
    </format>
    <format dxfId="45">
      <pivotArea dataOnly="0" labelOnly="1" fieldPosition="0">
        <references count="1">
          <reference field="4" count="0"/>
        </references>
      </pivotArea>
    </format>
    <format dxfId="46">
      <pivotArea dataOnly="0" labelOnly="1" grandCol="1" outline="0" fieldPosition="0"/>
    </format>
    <format dxfId="47">
      <pivotArea outline="0" collapsedLevelsAreSubtotals="1" fieldPosition="0"/>
    </format>
    <format dxfId="48">
      <pivotArea field="0" type="button" dataOnly="0" labelOnly="1" outline="0" axis="axisRow" fieldPosition="0"/>
    </format>
    <format dxfId="49">
      <pivotArea dataOnly="0" labelOnly="1" fieldPosition="0">
        <references count="1">
          <reference field="0" count="2">
            <x v="0"/>
            <x v="1"/>
          </reference>
        </references>
      </pivotArea>
    </format>
    <format dxfId="50">
      <pivotArea dataOnly="0" labelOnly="1" grandRow="1" outline="0" fieldPosition="0"/>
    </format>
    <format dxfId="51">
      <pivotArea dataOnly="0" labelOnly="1" fieldPosition="0">
        <references count="2">
          <reference field="0" count="1" selected="0">
            <x v="0"/>
          </reference>
          <reference field="2" count="0"/>
        </references>
      </pivotArea>
    </format>
    <format dxfId="52">
      <pivotArea dataOnly="0" labelOnly="1" fieldPosition="0">
        <references count="2">
          <reference field="0" count="1" selected="0">
            <x v="1"/>
          </reference>
          <reference field="2" count="0"/>
        </references>
      </pivotArea>
    </format>
    <format dxfId="53">
      <pivotArea dataOnly="0" labelOnly="1" fieldPosition="0">
        <references count="3">
          <reference field="0" count="1" selected="0">
            <x v="0"/>
          </reference>
          <reference field="2" count="1" selected="0">
            <x v="0"/>
          </reference>
          <reference field="3" count="0"/>
        </references>
      </pivotArea>
    </format>
    <format dxfId="54">
      <pivotArea dataOnly="0" labelOnly="1" fieldPosition="0">
        <references count="3">
          <reference field="0" count="1" selected="0">
            <x v="0"/>
          </reference>
          <reference field="2" count="1" selected="0">
            <x v="1"/>
          </reference>
          <reference field="3" count="0"/>
        </references>
      </pivotArea>
    </format>
    <format dxfId="55">
      <pivotArea dataOnly="0" labelOnly="1" fieldPosition="0">
        <references count="3">
          <reference field="0" count="1" selected="0">
            <x v="1"/>
          </reference>
          <reference field="2" count="1" selected="0">
            <x v="0"/>
          </reference>
          <reference field="3" count="1">
            <x v="1"/>
          </reference>
        </references>
      </pivotArea>
    </format>
    <format dxfId="56">
      <pivotArea dataOnly="0" labelOnly="1" fieldPosition="0">
        <references count="3">
          <reference field="0" count="1" selected="0">
            <x v="1"/>
          </reference>
          <reference field="2" count="1" selected="0">
            <x v="1"/>
          </reference>
          <reference field="3" count="1">
            <x v="0"/>
          </reference>
        </references>
      </pivotArea>
    </format>
    <format dxfId="57">
      <pivotArea dataOnly="0" labelOnly="1" fieldPosition="0">
        <references count="1">
          <reference field="4" count="0"/>
        </references>
      </pivotArea>
    </format>
    <format dxfId="58">
      <pivotArea dataOnly="0" labelOnly="1" grandCol="1" outline="0" fieldPosition="0"/>
    </format>
    <format dxfId="59">
      <pivotArea type="all" dataOnly="0" outline="0" fieldPosition="0"/>
    </format>
    <format dxfId="60">
      <pivotArea outline="0" collapsedLevelsAreSubtotals="1" fieldPosition="0"/>
    </format>
    <format dxfId="61">
      <pivotArea type="origin" dataOnly="0" labelOnly="1" outline="0" fieldPosition="0"/>
    </format>
    <format dxfId="62">
      <pivotArea field="4" type="button" dataOnly="0" labelOnly="1" outline="0" axis="axisCol" fieldPosition="0"/>
    </format>
    <format dxfId="63">
      <pivotArea type="topRight" dataOnly="0" labelOnly="1" outline="0" fieldPosition="0"/>
    </format>
    <format dxfId="64">
      <pivotArea field="0" type="button" dataOnly="0" labelOnly="1" outline="0" axis="axisRow" fieldPosition="0"/>
    </format>
    <format dxfId="65">
      <pivotArea dataOnly="0" labelOnly="1" fieldPosition="0">
        <references count="1">
          <reference field="0" count="2">
            <x v="0"/>
            <x v="1"/>
          </reference>
        </references>
      </pivotArea>
    </format>
    <format dxfId="66">
      <pivotArea dataOnly="0" labelOnly="1" grandRow="1" outline="0" fieldPosition="0"/>
    </format>
    <format dxfId="67">
      <pivotArea dataOnly="0" labelOnly="1" fieldPosition="0">
        <references count="2">
          <reference field="0" count="1" selected="0">
            <x v="0"/>
          </reference>
          <reference field="2" count="0"/>
        </references>
      </pivotArea>
    </format>
    <format dxfId="68">
      <pivotArea dataOnly="0" labelOnly="1" fieldPosition="0">
        <references count="2">
          <reference field="0" count="1" selected="0">
            <x v="1"/>
          </reference>
          <reference field="2" count="0"/>
        </references>
      </pivotArea>
    </format>
    <format dxfId="69">
      <pivotArea dataOnly="0" labelOnly="1" fieldPosition="0">
        <references count="3">
          <reference field="0" count="1" selected="0">
            <x v="0"/>
          </reference>
          <reference field="2" count="1" selected="0">
            <x v="0"/>
          </reference>
          <reference field="3" count="0"/>
        </references>
      </pivotArea>
    </format>
    <format dxfId="70">
      <pivotArea dataOnly="0" labelOnly="1" fieldPosition="0">
        <references count="3">
          <reference field="0" count="1" selected="0">
            <x v="0"/>
          </reference>
          <reference field="2" count="1" selected="0">
            <x v="1"/>
          </reference>
          <reference field="3" count="0"/>
        </references>
      </pivotArea>
    </format>
    <format dxfId="71">
      <pivotArea dataOnly="0" labelOnly="1" fieldPosition="0">
        <references count="3">
          <reference field="0" count="1" selected="0">
            <x v="1"/>
          </reference>
          <reference field="2" count="1" selected="0">
            <x v="0"/>
          </reference>
          <reference field="3" count="1">
            <x v="1"/>
          </reference>
        </references>
      </pivotArea>
    </format>
    <format dxfId="72">
      <pivotArea dataOnly="0" labelOnly="1" fieldPosition="0">
        <references count="3">
          <reference field="0" count="1" selected="0">
            <x v="1"/>
          </reference>
          <reference field="2" count="1" selected="0">
            <x v="1"/>
          </reference>
          <reference field="3" count="1">
            <x v="0"/>
          </reference>
        </references>
      </pivotArea>
    </format>
    <format dxfId="73">
      <pivotArea dataOnly="0" labelOnly="1" fieldPosition="0">
        <references count="1">
          <reference field="4" count="0"/>
        </references>
      </pivotArea>
    </format>
    <format dxfId="74">
      <pivotArea dataOnly="0" labelOnly="1" grandCol="1" outline="0" fieldPosition="0"/>
    </format>
    <format dxfId="75">
      <pivotArea type="all" dataOnly="0" outline="0" fieldPosition="0"/>
    </format>
    <format dxfId="76">
      <pivotArea outline="0" collapsedLevelsAreSubtotals="1" fieldPosition="0"/>
    </format>
    <format dxfId="77">
      <pivotArea type="origin" dataOnly="0" labelOnly="1" outline="0" fieldPosition="0"/>
    </format>
    <format dxfId="78">
      <pivotArea field="4" type="button" dataOnly="0" labelOnly="1" outline="0" axis="axisCol" fieldPosition="0"/>
    </format>
    <format dxfId="79">
      <pivotArea type="topRight" dataOnly="0" labelOnly="1" outline="0" fieldPosition="0"/>
    </format>
    <format dxfId="80">
      <pivotArea field="0" type="button" dataOnly="0" labelOnly="1" outline="0" axis="axisRow" fieldPosition="0"/>
    </format>
    <format dxfId="81">
      <pivotArea dataOnly="0" labelOnly="1" fieldPosition="0">
        <references count="1">
          <reference field="0" count="3">
            <x v="0"/>
            <x v="1"/>
            <x v="3"/>
          </reference>
        </references>
      </pivotArea>
    </format>
    <format dxfId="82">
      <pivotArea dataOnly="0" labelOnly="1" grandRow="1" outline="0" fieldPosition="0"/>
    </format>
    <format dxfId="83">
      <pivotArea dataOnly="0" labelOnly="1" fieldPosition="0">
        <references count="2">
          <reference field="0" count="1" selected="0">
            <x v="0"/>
          </reference>
          <reference field="2" count="0"/>
        </references>
      </pivotArea>
    </format>
    <format dxfId="84">
      <pivotArea dataOnly="0" labelOnly="1" fieldPosition="0">
        <references count="2">
          <reference field="0" count="1" selected="0">
            <x v="1"/>
          </reference>
          <reference field="2" count="0"/>
        </references>
      </pivotArea>
    </format>
    <format dxfId="85">
      <pivotArea dataOnly="0" labelOnly="1" fieldPosition="0">
        <references count="2">
          <reference field="0" count="1" selected="0">
            <x v="3"/>
          </reference>
          <reference field="2" count="0"/>
        </references>
      </pivotArea>
    </format>
    <format dxfId="86">
      <pivotArea dataOnly="0" labelOnly="1" fieldPosition="0">
        <references count="3">
          <reference field="0" count="1" selected="0">
            <x v="0"/>
          </reference>
          <reference field="2" count="1" selected="0">
            <x v="0"/>
          </reference>
          <reference field="3" count="0"/>
        </references>
      </pivotArea>
    </format>
    <format dxfId="87">
      <pivotArea dataOnly="0" labelOnly="1" fieldPosition="0">
        <references count="3">
          <reference field="0" count="1" selected="0">
            <x v="0"/>
          </reference>
          <reference field="2" count="1" selected="0">
            <x v="1"/>
          </reference>
          <reference field="3" count="0"/>
        </references>
      </pivotArea>
    </format>
    <format dxfId="88">
      <pivotArea dataOnly="0" labelOnly="1" fieldPosition="0">
        <references count="3">
          <reference field="0" count="1" selected="0">
            <x v="1"/>
          </reference>
          <reference field="2" count="1" selected="0">
            <x v="0"/>
          </reference>
          <reference field="3" count="1">
            <x v="1"/>
          </reference>
        </references>
      </pivotArea>
    </format>
    <format dxfId="89">
      <pivotArea dataOnly="0" labelOnly="1" fieldPosition="0">
        <references count="3">
          <reference field="0" count="1" selected="0">
            <x v="1"/>
          </reference>
          <reference field="2" count="1" selected="0">
            <x v="1"/>
          </reference>
          <reference field="3" count="1">
            <x v="0"/>
          </reference>
        </references>
      </pivotArea>
    </format>
    <format dxfId="90">
      <pivotArea dataOnly="0" labelOnly="1" fieldPosition="0">
        <references count="3">
          <reference field="0" count="1" selected="0">
            <x v="3"/>
          </reference>
          <reference field="2" count="1" selected="0">
            <x v="0"/>
          </reference>
          <reference field="3" count="0"/>
        </references>
      </pivotArea>
    </format>
    <format dxfId="91">
      <pivotArea dataOnly="0" labelOnly="1" fieldPosition="0">
        <references count="3">
          <reference field="0" count="1" selected="0">
            <x v="3"/>
          </reference>
          <reference field="2" count="1" selected="0">
            <x v="1"/>
          </reference>
          <reference field="3" count="1">
            <x v="1"/>
          </reference>
        </references>
      </pivotArea>
    </format>
    <format dxfId="92">
      <pivotArea dataOnly="0" labelOnly="1" fieldPosition="0">
        <references count="1">
          <reference field="4" count="0"/>
        </references>
      </pivotArea>
    </format>
    <format dxfId="93">
      <pivotArea dataOnly="0" labelOnly="1" grandCol="1" outline="0" fieldPosition="0"/>
    </format>
    <format dxfId="94">
      <pivotArea collapsedLevelsAreSubtotals="1" fieldPosition="0">
        <references count="1">
          <reference field="0" count="1">
            <x v="3"/>
          </reference>
        </references>
      </pivotArea>
    </format>
    <format dxfId="95">
      <pivotArea dataOnly="0" labelOnly="1" fieldPosition="0">
        <references count="1">
          <reference field="0" count="1">
            <x v="3"/>
          </reference>
        </references>
      </pivotArea>
    </format>
    <format dxfId="96">
      <pivotArea collapsedLevelsAreSubtotals="1" fieldPosition="0">
        <references count="1">
          <reference field="0" count="1">
            <x v="3"/>
          </reference>
        </references>
      </pivotArea>
    </format>
    <format dxfId="97">
      <pivotArea dataOnly="0" labelOnly="1" fieldPosition="0">
        <references count="1">
          <reference field="0" count="1">
            <x v="3"/>
          </reference>
        </references>
      </pivotArea>
    </format>
    <format dxfId="98">
      <pivotArea collapsedLevelsAreSubtotals="1" fieldPosition="0">
        <references count="1">
          <reference field="0" count="1">
            <x v="4"/>
          </reference>
        </references>
      </pivotArea>
    </format>
    <format dxfId="99">
      <pivotArea dataOnly="0" labelOnly="1" fieldPosition="0">
        <references count="1">
          <reference field="0" count="1">
            <x v="4"/>
          </reference>
        </references>
      </pivotArea>
    </format>
    <format dxfId="100">
      <pivotArea collapsedLevelsAreSubtotals="1" fieldPosition="0">
        <references count="1">
          <reference field="0" count="1">
            <x v="4"/>
          </reference>
        </references>
      </pivotArea>
    </format>
    <format dxfId="101">
      <pivotArea dataOnly="0" labelOnly="1" fieldPosition="0">
        <references count="1">
          <reference field="0" count="1">
            <x v="4"/>
          </reference>
        </references>
      </pivotArea>
    </format>
    <format dxfId="102">
      <pivotArea collapsedLevelsAreSubtotals="1" fieldPosition="0">
        <references count="1">
          <reference field="0" count="1">
            <x v="6"/>
          </reference>
        </references>
      </pivotArea>
    </format>
    <format dxfId="103">
      <pivotArea dataOnly="0" labelOnly="1" fieldPosition="0">
        <references count="1">
          <reference field="0" count="1">
            <x v="6"/>
          </reference>
        </references>
      </pivotArea>
    </format>
    <format dxfId="104">
      <pivotArea collapsedLevelsAreSubtotals="1" fieldPosition="0">
        <references count="1">
          <reference field="0" count="1">
            <x v="6"/>
          </reference>
        </references>
      </pivotArea>
    </format>
    <format dxfId="105">
      <pivotArea dataOnly="0" labelOnly="1" fieldPosition="0">
        <references count="1">
          <reference field="0" count="1">
            <x v="6"/>
          </reference>
        </references>
      </pivotArea>
    </format>
    <format dxfId="106">
      <pivotArea collapsedLevelsAreSubtotals="1" fieldPosition="0">
        <references count="1">
          <reference field="0" count="1">
            <x v="8"/>
          </reference>
        </references>
      </pivotArea>
    </format>
    <format dxfId="107">
      <pivotArea dataOnly="0" labelOnly="1" fieldPosition="0">
        <references count="1">
          <reference field="0" count="1">
            <x v="8"/>
          </reference>
        </references>
      </pivotArea>
    </format>
    <format dxfId="108">
      <pivotArea collapsedLevelsAreSubtotals="1" fieldPosition="0">
        <references count="1">
          <reference field="0" count="1">
            <x v="8"/>
          </reference>
        </references>
      </pivotArea>
    </format>
    <format dxfId="109">
      <pivotArea dataOnly="0" labelOnly="1" fieldPosition="0">
        <references count="1">
          <reference field="0" count="1">
            <x v="8"/>
          </reference>
        </references>
      </pivotArea>
    </format>
    <format dxfId="110">
      <pivotArea collapsedLevelsAreSubtotals="1" fieldPosition="0">
        <references count="1">
          <reference field="0" count="1">
            <x v="9"/>
          </reference>
        </references>
      </pivotArea>
    </format>
    <format dxfId="111">
      <pivotArea dataOnly="0" labelOnly="1" fieldPosition="0">
        <references count="1">
          <reference field="0" count="1">
            <x v="9"/>
          </reference>
        </references>
      </pivotArea>
    </format>
    <format dxfId="112">
      <pivotArea collapsedLevelsAreSubtotals="1" fieldPosition="0">
        <references count="1">
          <reference field="0" count="1">
            <x v="9"/>
          </reference>
        </references>
      </pivotArea>
    </format>
    <format dxfId="113">
      <pivotArea dataOnly="0" labelOnly="1" fieldPosition="0">
        <references count="1">
          <reference field="0" count="1">
            <x v="9"/>
          </reference>
        </references>
      </pivotArea>
    </format>
    <format dxfId="114">
      <pivotArea collapsedLevelsAreSubtotals="1" fieldPosition="0">
        <references count="1">
          <reference field="0" count="1">
            <x v="10"/>
          </reference>
        </references>
      </pivotArea>
    </format>
    <format dxfId="115">
      <pivotArea dataOnly="0" labelOnly="1" fieldPosition="0">
        <references count="1">
          <reference field="0" count="1">
            <x v="10"/>
          </reference>
        </references>
      </pivotArea>
    </format>
    <format dxfId="116">
      <pivotArea collapsedLevelsAreSubtotals="1" fieldPosition="0">
        <references count="1">
          <reference field="0" count="1">
            <x v="10"/>
          </reference>
        </references>
      </pivotArea>
    </format>
    <format dxfId="117">
      <pivotArea dataOnly="0" labelOnly="1" fieldPosition="0">
        <references count="1">
          <reference field="0" count="1">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40D366-9963-419E-B951-18F15C6A2104}" name="PivotTable4" cacheId="13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6" firstHeaderRow="1" firstDataRow="1" firstDataCol="1"/>
  <pivotFields count="7">
    <pivotField showAll="0">
      <items count="12">
        <item x="0"/>
        <item x="1"/>
        <item x="2"/>
        <item x="8"/>
        <item x="3"/>
        <item m="1" x="10"/>
        <item x="4"/>
        <item m="1" x="9"/>
        <item x="5"/>
        <item x="6"/>
        <item x="7"/>
        <item t="default"/>
      </items>
    </pivotField>
    <pivotField showAll="0"/>
    <pivotField showAll="0"/>
    <pivotField showAll="0"/>
    <pivotField axis="axisRow" dataField="1" showAll="0">
      <items count="8">
        <item m="1" x="3"/>
        <item x="1"/>
        <item m="1" x="4"/>
        <item x="0"/>
        <item m="1" x="6"/>
        <item m="1" x="5"/>
        <item h="1" x="2"/>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3">
    <i>
      <x v="1"/>
    </i>
    <i>
      <x v="3"/>
    </i>
    <i t="grand">
      <x/>
    </i>
  </rowItems>
  <colItems count="1">
    <i/>
  </colItems>
  <dataFields count="1">
    <dataField name="Count of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894D6-04F1-40B9-AE17-FEC113C806B4}">
  <sheetPr codeName="Sheet1"/>
  <dimension ref="A1:N49"/>
  <sheetViews>
    <sheetView zoomScaleNormal="100" workbookViewId="0">
      <pane ySplit="1" topLeftCell="G14" activePane="bottomLeft" state="frozen"/>
      <selection pane="bottomLeft" activeCell="M17" sqref="M17"/>
      <selection activeCell="E2" sqref="A2:F1048576"/>
    </sheetView>
  </sheetViews>
  <sheetFormatPr defaultColWidth="9.140625" defaultRowHeight="15"/>
  <cols>
    <col min="1" max="1" width="3" style="4" bestFit="1" customWidth="1"/>
    <col min="2" max="3" width="10.7109375" style="4" customWidth="1"/>
    <col min="4" max="4" width="12.5703125" style="4" bestFit="1" customWidth="1"/>
    <col min="5" max="5" width="14.28515625" style="4" bestFit="1" customWidth="1"/>
    <col min="6" max="6" width="17" style="4" bestFit="1" customWidth="1"/>
    <col min="7" max="7" width="14" style="4" bestFit="1" customWidth="1"/>
    <col min="8" max="8" width="20.7109375" style="3" customWidth="1"/>
    <col min="9" max="10" width="60.7109375" style="4" customWidth="1"/>
    <col min="11" max="11" width="11.28515625" style="5" bestFit="1" customWidth="1"/>
    <col min="12" max="12" width="13.42578125" style="4" bestFit="1" customWidth="1"/>
    <col min="13" max="14" width="50.7109375" style="3" customWidth="1"/>
    <col min="15" max="16384" width="9.140625" style="4"/>
  </cols>
  <sheetData>
    <row r="1" spans="1:14" s="1" customFormat="1" ht="30">
      <c r="A1" s="19" t="s">
        <v>0</v>
      </c>
      <c r="B1" s="20" t="s">
        <v>1</v>
      </c>
      <c r="C1" s="20" t="s">
        <v>2</v>
      </c>
      <c r="D1" s="20" t="s">
        <v>3</v>
      </c>
      <c r="E1" s="19" t="s">
        <v>4</v>
      </c>
      <c r="F1" s="20" t="s">
        <v>5</v>
      </c>
      <c r="G1" s="20" t="s">
        <v>6</v>
      </c>
      <c r="H1" s="19" t="s">
        <v>7</v>
      </c>
      <c r="I1" s="19" t="s">
        <v>8</v>
      </c>
      <c r="J1" s="19" t="s">
        <v>9</v>
      </c>
      <c r="K1" s="20" t="s">
        <v>10</v>
      </c>
      <c r="L1" s="20" t="s">
        <v>11</v>
      </c>
      <c r="M1" s="19" t="s">
        <v>12</v>
      </c>
      <c r="N1" s="19" t="s">
        <v>13</v>
      </c>
    </row>
    <row r="2" spans="1:14" ht="45">
      <c r="A2" s="54">
        <v>1</v>
      </c>
      <c r="B2" s="55">
        <v>45957</v>
      </c>
      <c r="C2" s="55"/>
      <c r="D2" s="56" t="s">
        <v>14</v>
      </c>
      <c r="E2" s="56" t="s">
        <v>15</v>
      </c>
      <c r="F2" s="56" t="s">
        <v>16</v>
      </c>
      <c r="G2" s="56" t="s">
        <v>17</v>
      </c>
      <c r="H2" s="56" t="s">
        <v>18</v>
      </c>
      <c r="I2" s="56" t="s">
        <v>19</v>
      </c>
      <c r="J2" s="56" t="s">
        <v>20</v>
      </c>
      <c r="K2" s="57">
        <v>45996</v>
      </c>
      <c r="L2" s="56" t="s">
        <v>21</v>
      </c>
      <c r="M2" s="21" t="s">
        <v>22</v>
      </c>
      <c r="N2" s="58" t="s">
        <v>23</v>
      </c>
    </row>
    <row r="3" spans="1:14" ht="30">
      <c r="A3" s="59">
        <v>2</v>
      </c>
      <c r="B3" s="55">
        <v>45957</v>
      </c>
      <c r="C3" s="55"/>
      <c r="D3" s="56" t="s">
        <v>14</v>
      </c>
      <c r="E3" s="56" t="s">
        <v>15</v>
      </c>
      <c r="F3" s="56" t="s">
        <v>16</v>
      </c>
      <c r="G3" s="60" t="s">
        <v>17</v>
      </c>
      <c r="H3" s="60" t="s">
        <v>24</v>
      </c>
      <c r="I3" s="22" t="s">
        <v>25</v>
      </c>
      <c r="J3" s="60"/>
      <c r="K3" s="57">
        <v>45980</v>
      </c>
      <c r="L3" s="56" t="s">
        <v>21</v>
      </c>
      <c r="M3" s="23" t="s">
        <v>26</v>
      </c>
      <c r="N3" s="61" t="s">
        <v>27</v>
      </c>
    </row>
    <row r="4" spans="1:14" ht="30">
      <c r="A4" s="54">
        <v>3</v>
      </c>
      <c r="B4" s="55">
        <v>45957</v>
      </c>
      <c r="C4" s="55"/>
      <c r="D4" s="60" t="s">
        <v>28</v>
      </c>
      <c r="E4" s="60" t="s">
        <v>29</v>
      </c>
      <c r="F4" s="56" t="s">
        <v>16</v>
      </c>
      <c r="G4" s="60" t="s">
        <v>30</v>
      </c>
      <c r="H4" s="60" t="s">
        <v>31</v>
      </c>
      <c r="I4" s="22" t="s">
        <v>32</v>
      </c>
      <c r="J4" s="60" t="s">
        <v>33</v>
      </c>
      <c r="K4" s="57">
        <v>45980</v>
      </c>
      <c r="L4" s="56" t="s">
        <v>21</v>
      </c>
      <c r="M4" s="21" t="s">
        <v>34</v>
      </c>
      <c r="N4" s="24" t="s">
        <v>35</v>
      </c>
    </row>
    <row r="5" spans="1:14" ht="30">
      <c r="A5" s="54">
        <v>4</v>
      </c>
      <c r="B5" s="55">
        <v>45957</v>
      </c>
      <c r="C5" s="55"/>
      <c r="D5" s="56" t="s">
        <v>28</v>
      </c>
      <c r="E5" s="56" t="s">
        <v>29</v>
      </c>
      <c r="F5" s="56" t="s">
        <v>36</v>
      </c>
      <c r="G5" s="56" t="s">
        <v>37</v>
      </c>
      <c r="H5" s="56" t="s">
        <v>38</v>
      </c>
      <c r="I5" s="56" t="s">
        <v>39</v>
      </c>
      <c r="J5" s="56" t="s">
        <v>40</v>
      </c>
      <c r="K5" s="57"/>
      <c r="L5" s="56" t="s">
        <v>41</v>
      </c>
      <c r="M5" s="21" t="s">
        <v>42</v>
      </c>
      <c r="N5" s="24"/>
    </row>
    <row r="6" spans="1:14" ht="45">
      <c r="A6" s="54">
        <v>5</v>
      </c>
      <c r="B6" s="55">
        <v>45957</v>
      </c>
      <c r="C6" s="55"/>
      <c r="D6" s="56" t="s">
        <v>28</v>
      </c>
      <c r="E6" s="56" t="s">
        <v>29</v>
      </c>
      <c r="F6" s="56" t="s">
        <v>16</v>
      </c>
      <c r="G6" s="56" t="s">
        <v>30</v>
      </c>
      <c r="H6" s="56" t="s">
        <v>43</v>
      </c>
      <c r="I6" s="25" t="s">
        <v>44</v>
      </c>
      <c r="J6" s="56" t="s">
        <v>45</v>
      </c>
      <c r="K6" s="57">
        <v>45980</v>
      </c>
      <c r="L6" s="56" t="s">
        <v>21</v>
      </c>
      <c r="M6" s="21" t="s">
        <v>46</v>
      </c>
      <c r="N6" s="24" t="s">
        <v>47</v>
      </c>
    </row>
    <row r="7" spans="1:14" s="2" customFormat="1" ht="105">
      <c r="A7" s="54">
        <v>6</v>
      </c>
      <c r="B7" s="55">
        <v>45957</v>
      </c>
      <c r="C7" s="55"/>
      <c r="D7" s="56" t="s">
        <v>14</v>
      </c>
      <c r="E7" s="56" t="s">
        <v>15</v>
      </c>
      <c r="F7" s="56" t="s">
        <v>16</v>
      </c>
      <c r="G7" s="56" t="s">
        <v>30</v>
      </c>
      <c r="H7" s="56" t="s">
        <v>48</v>
      </c>
      <c r="I7" s="56" t="s">
        <v>49</v>
      </c>
      <c r="J7" s="56" t="s">
        <v>50</v>
      </c>
      <c r="K7" s="62">
        <v>45980</v>
      </c>
      <c r="L7" s="56" t="s">
        <v>21</v>
      </c>
      <c r="M7" s="26" t="s">
        <v>51</v>
      </c>
      <c r="N7" s="27" t="s">
        <v>52</v>
      </c>
    </row>
    <row r="8" spans="1:14" s="2" customFormat="1" ht="90">
      <c r="A8" s="54">
        <v>7</v>
      </c>
      <c r="B8" s="55">
        <v>45957</v>
      </c>
      <c r="C8" s="55"/>
      <c r="D8" s="56" t="s">
        <v>28</v>
      </c>
      <c r="E8" s="56" t="s">
        <v>29</v>
      </c>
      <c r="F8" s="56" t="s">
        <v>16</v>
      </c>
      <c r="G8" s="56" t="s">
        <v>53</v>
      </c>
      <c r="H8" s="56" t="s">
        <v>54</v>
      </c>
      <c r="I8" s="56" t="s">
        <v>55</v>
      </c>
      <c r="J8" s="56"/>
      <c r="K8" s="62">
        <v>45980</v>
      </c>
      <c r="L8" s="56" t="s">
        <v>21</v>
      </c>
      <c r="M8" s="28" t="s">
        <v>56</v>
      </c>
      <c r="N8" s="27" t="s">
        <v>57</v>
      </c>
    </row>
    <row r="9" spans="1:14" ht="45">
      <c r="A9" s="54">
        <v>8</v>
      </c>
      <c r="B9" s="55">
        <v>45957</v>
      </c>
      <c r="C9" s="55"/>
      <c r="D9" s="56" t="s">
        <v>28</v>
      </c>
      <c r="E9" s="56" t="s">
        <v>29</v>
      </c>
      <c r="F9" s="56" t="s">
        <v>16</v>
      </c>
      <c r="G9" s="25" t="s">
        <v>58</v>
      </c>
      <c r="H9" s="56" t="s">
        <v>59</v>
      </c>
      <c r="I9" s="56" t="s">
        <v>60</v>
      </c>
      <c r="J9" s="25"/>
      <c r="K9" s="29">
        <v>45980</v>
      </c>
      <c r="L9" s="56" t="s">
        <v>21</v>
      </c>
      <c r="M9" s="21" t="s">
        <v>61</v>
      </c>
      <c r="N9" s="24" t="s">
        <v>62</v>
      </c>
    </row>
    <row r="10" spans="1:14" ht="75">
      <c r="A10" s="54">
        <v>9</v>
      </c>
      <c r="B10" s="55">
        <v>45957</v>
      </c>
      <c r="C10" s="55"/>
      <c r="D10" s="56" t="s">
        <v>14</v>
      </c>
      <c r="E10" s="56" t="s">
        <v>15</v>
      </c>
      <c r="F10" s="56" t="s">
        <v>16</v>
      </c>
      <c r="G10" s="25" t="s">
        <v>58</v>
      </c>
      <c r="H10" s="56" t="s">
        <v>63</v>
      </c>
      <c r="I10" s="25" t="s">
        <v>64</v>
      </c>
      <c r="J10" s="25" t="s">
        <v>65</v>
      </c>
      <c r="K10" s="29">
        <v>45980</v>
      </c>
      <c r="L10" s="56" t="s">
        <v>21</v>
      </c>
      <c r="M10" s="21" t="s">
        <v>66</v>
      </c>
      <c r="N10" s="24" t="s">
        <v>67</v>
      </c>
    </row>
    <row r="11" spans="1:14" ht="60">
      <c r="A11" s="54">
        <v>10</v>
      </c>
      <c r="B11" s="55">
        <v>45957</v>
      </c>
      <c r="C11" s="55"/>
      <c r="D11" s="56" t="s">
        <v>14</v>
      </c>
      <c r="E11" s="56" t="s">
        <v>15</v>
      </c>
      <c r="F11" s="56" t="s">
        <v>16</v>
      </c>
      <c r="G11" s="25" t="s">
        <v>58</v>
      </c>
      <c r="H11" s="25" t="s">
        <v>68</v>
      </c>
      <c r="I11" s="25" t="s">
        <v>69</v>
      </c>
      <c r="J11" s="25" t="s">
        <v>70</v>
      </c>
      <c r="K11" s="29">
        <v>45980</v>
      </c>
      <c r="L11" s="56" t="s">
        <v>21</v>
      </c>
      <c r="M11" s="21" t="s">
        <v>71</v>
      </c>
      <c r="N11" s="24" t="s">
        <v>72</v>
      </c>
    </row>
    <row r="12" spans="1:14" ht="60">
      <c r="A12" s="54">
        <v>11</v>
      </c>
      <c r="B12" s="55">
        <v>45957</v>
      </c>
      <c r="C12" s="55"/>
      <c r="D12" s="56" t="s">
        <v>14</v>
      </c>
      <c r="E12" s="56" t="s">
        <v>15</v>
      </c>
      <c r="F12" s="56" t="s">
        <v>16</v>
      </c>
      <c r="G12" s="25" t="s">
        <v>58</v>
      </c>
      <c r="H12" s="25" t="s">
        <v>73</v>
      </c>
      <c r="I12" s="25" t="s">
        <v>74</v>
      </c>
      <c r="J12" s="25" t="s">
        <v>75</v>
      </c>
      <c r="K12" s="29">
        <v>45980</v>
      </c>
      <c r="L12" s="56" t="s">
        <v>21</v>
      </c>
      <c r="M12" s="21" t="s">
        <v>76</v>
      </c>
      <c r="N12" s="24" t="s">
        <v>77</v>
      </c>
    </row>
    <row r="13" spans="1:14" ht="30">
      <c r="A13" s="54">
        <v>12</v>
      </c>
      <c r="B13" s="55">
        <v>45957</v>
      </c>
      <c r="C13" s="55"/>
      <c r="D13" s="56" t="s">
        <v>14</v>
      </c>
      <c r="E13" s="56" t="s">
        <v>15</v>
      </c>
      <c r="F13" s="56" t="s">
        <v>36</v>
      </c>
      <c r="G13" s="25" t="s">
        <v>78</v>
      </c>
      <c r="H13" s="56" t="s">
        <v>79</v>
      </c>
      <c r="I13" s="25" t="s">
        <v>80</v>
      </c>
      <c r="J13" s="58" t="s">
        <v>81</v>
      </c>
      <c r="K13" s="29"/>
      <c r="L13" s="56" t="s">
        <v>41</v>
      </c>
      <c r="M13" s="21" t="s">
        <v>82</v>
      </c>
      <c r="N13" s="24" t="s">
        <v>83</v>
      </c>
    </row>
    <row r="14" spans="1:14" ht="75">
      <c r="A14" s="54">
        <v>13</v>
      </c>
      <c r="B14" s="55">
        <v>45957</v>
      </c>
      <c r="C14" s="55"/>
      <c r="D14" s="56" t="s">
        <v>14</v>
      </c>
      <c r="E14" s="56" t="s">
        <v>15</v>
      </c>
      <c r="F14" s="56" t="s">
        <v>16</v>
      </c>
      <c r="G14" s="25" t="s">
        <v>78</v>
      </c>
      <c r="H14" s="56" t="s">
        <v>84</v>
      </c>
      <c r="I14" s="25" t="s">
        <v>85</v>
      </c>
      <c r="J14" s="25" t="s">
        <v>86</v>
      </c>
      <c r="K14" s="62">
        <v>45985</v>
      </c>
      <c r="L14" s="56" t="s">
        <v>21</v>
      </c>
      <c r="M14" s="21" t="s">
        <v>87</v>
      </c>
      <c r="N14" s="24" t="s">
        <v>83</v>
      </c>
    </row>
    <row r="15" spans="1:14" ht="30">
      <c r="A15" s="54">
        <v>14</v>
      </c>
      <c r="B15" s="55">
        <v>45957</v>
      </c>
      <c r="C15" s="55"/>
      <c r="D15" s="56" t="s">
        <v>28</v>
      </c>
      <c r="E15" s="56" t="s">
        <v>29</v>
      </c>
      <c r="F15" s="56" t="s">
        <v>16</v>
      </c>
      <c r="G15" s="56" t="s">
        <v>88</v>
      </c>
      <c r="H15" s="56" t="s">
        <v>89</v>
      </c>
      <c r="I15" s="25" t="s">
        <v>90</v>
      </c>
      <c r="J15" s="56" t="s">
        <v>91</v>
      </c>
      <c r="K15" s="62">
        <v>45980</v>
      </c>
      <c r="L15" s="56" t="s">
        <v>21</v>
      </c>
      <c r="M15" s="21" t="s">
        <v>92</v>
      </c>
      <c r="N15" s="24" t="s">
        <v>93</v>
      </c>
    </row>
    <row r="16" spans="1:14" ht="60">
      <c r="A16" s="54">
        <v>15</v>
      </c>
      <c r="B16" s="55">
        <v>45957</v>
      </c>
      <c r="C16" s="55"/>
      <c r="D16" s="56" t="s">
        <v>28</v>
      </c>
      <c r="E16" s="56" t="s">
        <v>15</v>
      </c>
      <c r="F16" s="56" t="s">
        <v>16</v>
      </c>
      <c r="G16" s="56" t="s">
        <v>94</v>
      </c>
      <c r="H16" s="56" t="s">
        <v>95</v>
      </c>
      <c r="I16" s="25" t="s">
        <v>96</v>
      </c>
      <c r="J16" s="56" t="s">
        <v>97</v>
      </c>
      <c r="K16" s="62">
        <v>45996</v>
      </c>
      <c r="L16" s="56" t="s">
        <v>21</v>
      </c>
      <c r="M16" s="21" t="s">
        <v>98</v>
      </c>
      <c r="N16" s="30" t="s">
        <v>99</v>
      </c>
    </row>
    <row r="17" spans="1:14" ht="30.75">
      <c r="A17" s="54">
        <v>16</v>
      </c>
      <c r="B17" s="55">
        <v>45957</v>
      </c>
      <c r="C17" s="55"/>
      <c r="D17" s="56" t="s">
        <v>14</v>
      </c>
      <c r="E17" s="56" t="s">
        <v>15</v>
      </c>
      <c r="F17" s="56" t="s">
        <v>16</v>
      </c>
      <c r="G17" s="56" t="s">
        <v>17</v>
      </c>
      <c r="H17" s="56" t="s">
        <v>100</v>
      </c>
      <c r="I17" s="25" t="s">
        <v>101</v>
      </c>
      <c r="J17" s="63"/>
      <c r="K17" s="55">
        <v>45980</v>
      </c>
      <c r="L17" s="56" t="s">
        <v>21</v>
      </c>
      <c r="M17" s="53" t="s">
        <v>102</v>
      </c>
      <c r="N17" s="24" t="s">
        <v>103</v>
      </c>
    </row>
    <row r="18" spans="1:14" ht="45">
      <c r="A18" s="54">
        <v>17</v>
      </c>
      <c r="B18" s="55">
        <v>45957</v>
      </c>
      <c r="C18" s="55"/>
      <c r="D18" s="56" t="s">
        <v>14</v>
      </c>
      <c r="E18" s="56" t="s">
        <v>15</v>
      </c>
      <c r="F18" s="56" t="s">
        <v>16</v>
      </c>
      <c r="G18" s="56" t="s">
        <v>17</v>
      </c>
      <c r="H18" s="56" t="s">
        <v>104</v>
      </c>
      <c r="I18" s="25" t="s">
        <v>105</v>
      </c>
      <c r="J18" s="63" t="s">
        <v>106</v>
      </c>
      <c r="K18" s="55">
        <v>45980</v>
      </c>
      <c r="L18" s="56" t="s">
        <v>21</v>
      </c>
      <c r="M18" s="21" t="s">
        <v>107</v>
      </c>
      <c r="N18" s="24" t="s">
        <v>108</v>
      </c>
    </row>
    <row r="19" spans="1:14" ht="30">
      <c r="A19" s="54">
        <v>18</v>
      </c>
      <c r="B19" s="55">
        <v>45957</v>
      </c>
      <c r="C19" s="55"/>
      <c r="D19" s="56" t="s">
        <v>14</v>
      </c>
      <c r="E19" s="56" t="s">
        <v>29</v>
      </c>
      <c r="F19" s="56" t="s">
        <v>16</v>
      </c>
      <c r="G19" s="56" t="s">
        <v>17</v>
      </c>
      <c r="H19" s="56" t="s">
        <v>109</v>
      </c>
      <c r="I19" s="25" t="s">
        <v>110</v>
      </c>
      <c r="J19" s="63"/>
      <c r="K19" s="55">
        <v>45980</v>
      </c>
      <c r="L19" s="56" t="s">
        <v>21</v>
      </c>
      <c r="M19" s="21" t="s">
        <v>111</v>
      </c>
      <c r="N19" s="24" t="s">
        <v>112</v>
      </c>
    </row>
    <row r="20" spans="1:14" ht="105">
      <c r="A20" s="64">
        <v>19</v>
      </c>
      <c r="B20" s="55">
        <v>45957</v>
      </c>
      <c r="C20" s="55"/>
      <c r="D20" s="56" t="s">
        <v>14</v>
      </c>
      <c r="E20" s="56" t="s">
        <v>15</v>
      </c>
      <c r="F20" s="56" t="s">
        <v>16</v>
      </c>
      <c r="G20" s="63" t="s">
        <v>17</v>
      </c>
      <c r="H20" s="58" t="s">
        <v>113</v>
      </c>
      <c r="I20" s="58" t="s">
        <v>114</v>
      </c>
      <c r="J20" s="58"/>
      <c r="K20" s="55">
        <v>45996</v>
      </c>
      <c r="L20" s="56" t="s">
        <v>21</v>
      </c>
      <c r="M20" s="21" t="s">
        <v>115</v>
      </c>
      <c r="N20" s="58" t="s">
        <v>116</v>
      </c>
    </row>
    <row r="21" spans="1:14" ht="90">
      <c r="A21" s="64">
        <v>20</v>
      </c>
      <c r="B21" s="55">
        <v>45957</v>
      </c>
      <c r="C21" s="55" t="s">
        <v>117</v>
      </c>
      <c r="D21" s="56" t="s">
        <v>14</v>
      </c>
      <c r="E21" s="56" t="s">
        <v>15</v>
      </c>
      <c r="F21" s="56" t="s">
        <v>16</v>
      </c>
      <c r="G21" s="63" t="s">
        <v>17</v>
      </c>
      <c r="H21" s="58" t="s">
        <v>118</v>
      </c>
      <c r="I21" s="58" t="s">
        <v>119</v>
      </c>
      <c r="J21" s="63"/>
      <c r="K21" s="55">
        <v>46014</v>
      </c>
      <c r="L21" s="56" t="s">
        <v>21</v>
      </c>
      <c r="M21" s="24" t="s">
        <v>120</v>
      </c>
      <c r="N21" s="58" t="s">
        <v>121</v>
      </c>
    </row>
    <row r="22" spans="1:14" ht="30">
      <c r="A22" s="64">
        <v>21</v>
      </c>
      <c r="B22" s="55">
        <v>45957</v>
      </c>
      <c r="C22" s="55"/>
      <c r="D22" s="56" t="s">
        <v>14</v>
      </c>
      <c r="E22" s="56" t="s">
        <v>15</v>
      </c>
      <c r="F22" s="56" t="s">
        <v>16</v>
      </c>
      <c r="G22" s="63" t="s">
        <v>17</v>
      </c>
      <c r="H22" s="58" t="s">
        <v>122</v>
      </c>
      <c r="I22" s="58" t="s">
        <v>123</v>
      </c>
      <c r="J22" s="63"/>
      <c r="K22" s="55">
        <v>45980</v>
      </c>
      <c r="L22" s="56" t="s">
        <v>21</v>
      </c>
      <c r="M22" s="21" t="s">
        <v>61</v>
      </c>
      <c r="N22" s="58" t="s">
        <v>124</v>
      </c>
    </row>
    <row r="23" spans="1:14" ht="30">
      <c r="A23" s="59">
        <v>22</v>
      </c>
      <c r="B23" s="55">
        <v>45957</v>
      </c>
      <c r="C23" s="55"/>
      <c r="D23" s="56" t="s">
        <v>14</v>
      </c>
      <c r="E23" s="56" t="s">
        <v>15</v>
      </c>
      <c r="F23" s="56" t="s">
        <v>16</v>
      </c>
      <c r="G23" s="63" t="s">
        <v>17</v>
      </c>
      <c r="H23" s="58" t="s">
        <v>125</v>
      </c>
      <c r="I23" s="58" t="s">
        <v>126</v>
      </c>
      <c r="J23" s="58" t="s">
        <v>127</v>
      </c>
      <c r="K23" s="55">
        <v>45980</v>
      </c>
      <c r="L23" s="56" t="s">
        <v>21</v>
      </c>
      <c r="M23" s="21" t="s">
        <v>128</v>
      </c>
      <c r="N23" s="58" t="s">
        <v>129</v>
      </c>
    </row>
    <row r="24" spans="1:14" ht="30">
      <c r="A24" s="63">
        <v>23</v>
      </c>
      <c r="B24" s="55">
        <v>45980</v>
      </c>
      <c r="C24" s="55"/>
      <c r="D24" s="63" t="s">
        <v>14</v>
      </c>
      <c r="E24" s="60" t="s">
        <v>29</v>
      </c>
      <c r="F24" s="56" t="s">
        <v>16</v>
      </c>
      <c r="G24" s="60" t="s">
        <v>58</v>
      </c>
      <c r="H24" s="60" t="s">
        <v>130</v>
      </c>
      <c r="I24" s="22" t="s">
        <v>131</v>
      </c>
      <c r="J24" s="60" t="s">
        <v>132</v>
      </c>
      <c r="K24" s="55">
        <v>45996</v>
      </c>
      <c r="L24" s="56" t="s">
        <v>21</v>
      </c>
      <c r="M24" s="58" t="s">
        <v>133</v>
      </c>
      <c r="N24" s="58" t="s">
        <v>134</v>
      </c>
    </row>
    <row r="25" spans="1:14" ht="75">
      <c r="A25" s="63">
        <v>24</v>
      </c>
      <c r="B25" s="55">
        <v>45980</v>
      </c>
      <c r="C25" s="55"/>
      <c r="D25" s="63" t="s">
        <v>28</v>
      </c>
      <c r="E25" s="56" t="s">
        <v>15</v>
      </c>
      <c r="F25" s="56" t="s">
        <v>36</v>
      </c>
      <c r="G25" s="63" t="s">
        <v>30</v>
      </c>
      <c r="H25" s="58" t="s">
        <v>135</v>
      </c>
      <c r="I25" s="58" t="s">
        <v>136</v>
      </c>
      <c r="J25" s="63" t="s">
        <v>137</v>
      </c>
      <c r="K25" s="55"/>
      <c r="L25" s="56" t="s">
        <v>41</v>
      </c>
      <c r="M25" s="21" t="s">
        <v>138</v>
      </c>
      <c r="N25" s="58"/>
    </row>
    <row r="26" spans="1:14" ht="30">
      <c r="A26" s="63">
        <v>25</v>
      </c>
      <c r="B26" s="55">
        <v>45996</v>
      </c>
      <c r="C26" s="55"/>
      <c r="D26" s="63" t="s">
        <v>28</v>
      </c>
      <c r="E26" s="56" t="s">
        <v>29</v>
      </c>
      <c r="F26" s="56" t="s">
        <v>36</v>
      </c>
      <c r="G26" s="63" t="s">
        <v>139</v>
      </c>
      <c r="H26" s="58" t="s">
        <v>140</v>
      </c>
      <c r="I26" s="58" t="s">
        <v>141</v>
      </c>
      <c r="J26" s="63"/>
      <c r="K26" s="55"/>
      <c r="L26" s="56" t="s">
        <v>41</v>
      </c>
      <c r="M26" s="58" t="s">
        <v>142</v>
      </c>
      <c r="N26" s="58"/>
    </row>
    <row r="27" spans="1:14" ht="105">
      <c r="A27" s="63">
        <v>26</v>
      </c>
      <c r="B27" s="55">
        <v>45996</v>
      </c>
      <c r="C27" s="55" t="s">
        <v>143</v>
      </c>
      <c r="D27" s="63" t="s">
        <v>14</v>
      </c>
      <c r="E27" s="56" t="s">
        <v>29</v>
      </c>
      <c r="F27" s="56" t="s">
        <v>16</v>
      </c>
      <c r="G27" s="63" t="s">
        <v>144</v>
      </c>
      <c r="H27" s="58" t="s">
        <v>145</v>
      </c>
      <c r="I27" s="58" t="s">
        <v>146</v>
      </c>
      <c r="J27" s="58" t="s">
        <v>147</v>
      </c>
      <c r="K27" s="55">
        <v>46014</v>
      </c>
      <c r="L27" s="56" t="s">
        <v>21</v>
      </c>
      <c r="M27" s="58" t="s">
        <v>148</v>
      </c>
      <c r="N27" s="58" t="s">
        <v>149</v>
      </c>
    </row>
    <row r="28" spans="1:14" ht="75">
      <c r="A28" s="63">
        <v>27</v>
      </c>
      <c r="B28" s="55">
        <v>45996</v>
      </c>
      <c r="C28" s="55" t="s">
        <v>143</v>
      </c>
      <c r="D28" s="63" t="s">
        <v>14</v>
      </c>
      <c r="E28" s="56" t="s">
        <v>15</v>
      </c>
      <c r="F28" s="56" t="s">
        <v>16</v>
      </c>
      <c r="G28" s="58" t="s">
        <v>150</v>
      </c>
      <c r="H28" s="58" t="s">
        <v>151</v>
      </c>
      <c r="I28" s="58" t="s">
        <v>152</v>
      </c>
      <c r="J28" s="58" t="s">
        <v>153</v>
      </c>
      <c r="K28" s="55">
        <v>46045</v>
      </c>
      <c r="L28" s="56" t="s">
        <v>21</v>
      </c>
      <c r="M28" s="26" t="s">
        <v>154</v>
      </c>
      <c r="N28" s="58" t="s">
        <v>155</v>
      </c>
    </row>
    <row r="29" spans="1:14" ht="90">
      <c r="A29" s="63">
        <v>28</v>
      </c>
      <c r="B29" s="55">
        <v>45996</v>
      </c>
      <c r="C29" s="55" t="s">
        <v>143</v>
      </c>
      <c r="D29" s="63" t="s">
        <v>14</v>
      </c>
      <c r="E29" s="56" t="s">
        <v>15</v>
      </c>
      <c r="F29" s="56" t="s">
        <v>16</v>
      </c>
      <c r="G29" s="58" t="s">
        <v>150</v>
      </c>
      <c r="H29" s="58" t="s">
        <v>151</v>
      </c>
      <c r="I29" s="58" t="s">
        <v>156</v>
      </c>
      <c r="J29" s="58" t="s">
        <v>157</v>
      </c>
      <c r="K29" s="55">
        <v>46045</v>
      </c>
      <c r="L29" s="56" t="s">
        <v>41</v>
      </c>
      <c r="M29" s="26" t="s">
        <v>158</v>
      </c>
      <c r="N29" s="24" t="s">
        <v>155</v>
      </c>
    </row>
    <row r="30" spans="1:14" ht="60">
      <c r="A30" s="63">
        <v>29</v>
      </c>
      <c r="B30" s="55">
        <v>45996</v>
      </c>
      <c r="C30" s="55" t="s">
        <v>143</v>
      </c>
      <c r="D30" s="63" t="s">
        <v>14</v>
      </c>
      <c r="E30" s="56" t="s">
        <v>29</v>
      </c>
      <c r="F30" s="56" t="s">
        <v>36</v>
      </c>
      <c r="G30" s="58" t="s">
        <v>150</v>
      </c>
      <c r="H30" s="65" t="s">
        <v>159</v>
      </c>
      <c r="I30" s="58" t="s">
        <v>160</v>
      </c>
      <c r="J30" s="58" t="s">
        <v>161</v>
      </c>
      <c r="K30" s="55"/>
      <c r="L30" s="56" t="s">
        <v>41</v>
      </c>
      <c r="M30" s="58" t="s">
        <v>162</v>
      </c>
      <c r="N30" s="58"/>
    </row>
    <row r="31" spans="1:14" ht="30">
      <c r="A31" s="63">
        <v>30</v>
      </c>
      <c r="B31" s="55">
        <v>46014</v>
      </c>
      <c r="C31" s="62" t="s">
        <v>143</v>
      </c>
      <c r="D31" s="63" t="s">
        <v>14</v>
      </c>
      <c r="E31" s="56" t="s">
        <v>163</v>
      </c>
      <c r="F31" s="56" t="s">
        <v>16</v>
      </c>
      <c r="G31" s="63" t="s">
        <v>144</v>
      </c>
      <c r="H31" s="58" t="s">
        <v>164</v>
      </c>
      <c r="I31" s="58" t="s">
        <v>165</v>
      </c>
      <c r="J31" s="58"/>
      <c r="K31" s="55"/>
      <c r="L31" s="56" t="s">
        <v>41</v>
      </c>
      <c r="M31" s="58" t="s">
        <v>166</v>
      </c>
      <c r="N31" s="58" t="s">
        <v>167</v>
      </c>
    </row>
    <row r="32" spans="1:14" ht="30">
      <c r="A32" s="63">
        <v>31</v>
      </c>
      <c r="B32" s="55">
        <v>46014</v>
      </c>
      <c r="C32" s="62" t="s">
        <v>143</v>
      </c>
      <c r="D32" s="63" t="s">
        <v>14</v>
      </c>
      <c r="E32" s="56" t="s">
        <v>15</v>
      </c>
      <c r="F32" s="56" t="s">
        <v>36</v>
      </c>
      <c r="G32" s="63" t="s">
        <v>144</v>
      </c>
      <c r="H32" s="58" t="s">
        <v>168</v>
      </c>
      <c r="I32" s="58" t="s">
        <v>169</v>
      </c>
      <c r="J32" s="63" t="s">
        <v>170</v>
      </c>
      <c r="K32" s="55"/>
      <c r="L32" s="56" t="s">
        <v>41</v>
      </c>
      <c r="M32" s="58" t="s">
        <v>171</v>
      </c>
      <c r="N32" s="58"/>
    </row>
    <row r="33" spans="1:14" ht="45">
      <c r="A33" s="63">
        <v>32</v>
      </c>
      <c r="B33" s="55">
        <v>46014</v>
      </c>
      <c r="C33" s="63" t="s">
        <v>143</v>
      </c>
      <c r="D33" s="63" t="s">
        <v>14</v>
      </c>
      <c r="E33" s="56" t="s">
        <v>29</v>
      </c>
      <c r="F33" s="56" t="s">
        <v>16</v>
      </c>
      <c r="G33" s="63"/>
      <c r="H33" s="58"/>
      <c r="I33" s="58" t="s">
        <v>172</v>
      </c>
      <c r="J33" s="63" t="s">
        <v>173</v>
      </c>
      <c r="K33" s="55"/>
      <c r="L33" s="56" t="s">
        <v>21</v>
      </c>
      <c r="M33" s="21" t="s">
        <v>174</v>
      </c>
      <c r="N33" s="58" t="s">
        <v>175</v>
      </c>
    </row>
    <row r="34" spans="1:14" ht="45">
      <c r="A34" s="63">
        <v>33</v>
      </c>
      <c r="B34" s="66">
        <v>46036</v>
      </c>
      <c r="C34" s="62" t="s">
        <v>143</v>
      </c>
      <c r="D34" s="58" t="s">
        <v>14</v>
      </c>
      <c r="E34" s="56" t="s">
        <v>163</v>
      </c>
      <c r="F34" s="56" t="s">
        <v>16</v>
      </c>
      <c r="G34" s="58" t="s">
        <v>164</v>
      </c>
      <c r="H34" s="58" t="s">
        <v>176</v>
      </c>
      <c r="I34" s="58" t="s">
        <v>177</v>
      </c>
      <c r="J34" s="58" t="s">
        <v>178</v>
      </c>
      <c r="K34" s="55">
        <v>46045</v>
      </c>
      <c r="L34" s="56" t="s">
        <v>21</v>
      </c>
      <c r="M34" s="58"/>
      <c r="N34" s="58" t="s">
        <v>179</v>
      </c>
    </row>
    <row r="35" spans="1:14" s="31" customFormat="1" ht="60">
      <c r="A35" s="63">
        <v>34</v>
      </c>
      <c r="B35" s="67">
        <v>46036</v>
      </c>
      <c r="C35" s="55" t="s">
        <v>143</v>
      </c>
      <c r="D35" s="56" t="s">
        <v>28</v>
      </c>
      <c r="E35" s="56" t="s">
        <v>29</v>
      </c>
      <c r="F35" s="56" t="s">
        <v>16</v>
      </c>
      <c r="G35" s="56" t="s">
        <v>144</v>
      </c>
      <c r="H35" s="56" t="s">
        <v>180</v>
      </c>
      <c r="I35" s="58" t="s">
        <v>181</v>
      </c>
      <c r="J35" s="30" t="s">
        <v>182</v>
      </c>
      <c r="K35" s="55">
        <v>46045</v>
      </c>
      <c r="L35" s="56" t="s">
        <v>21</v>
      </c>
      <c r="M35" s="21" t="s">
        <v>183</v>
      </c>
      <c r="N35" s="58" t="s">
        <v>184</v>
      </c>
    </row>
    <row r="36" spans="1:14" customFormat="1" ht="45">
      <c r="A36" s="54">
        <f t="shared" ref="A36:A40" si="0" xml:space="preserve"> ROW() - 1</f>
        <v>35</v>
      </c>
      <c r="B36" s="66">
        <v>46036</v>
      </c>
      <c r="C36" s="62" t="s">
        <v>143</v>
      </c>
      <c r="D36" s="56" t="s">
        <v>28</v>
      </c>
      <c r="E36" s="56" t="s">
        <v>29</v>
      </c>
      <c r="F36" s="56" t="s">
        <v>16</v>
      </c>
      <c r="G36" s="58" t="s">
        <v>164</v>
      </c>
      <c r="H36" s="58" t="s">
        <v>185</v>
      </c>
      <c r="I36" s="58" t="s">
        <v>186</v>
      </c>
      <c r="J36" s="58" t="s">
        <v>187</v>
      </c>
      <c r="K36" s="55">
        <v>46045</v>
      </c>
      <c r="L36" s="56" t="s">
        <v>21</v>
      </c>
      <c r="M36" s="21" t="s">
        <v>188</v>
      </c>
      <c r="N36" s="32" t="s">
        <v>189</v>
      </c>
    </row>
    <row r="37" spans="1:14" customFormat="1" ht="60">
      <c r="A37" s="54">
        <f t="shared" si="0"/>
        <v>36</v>
      </c>
      <c r="B37" s="66">
        <v>46045</v>
      </c>
      <c r="C37" s="55" t="s">
        <v>143</v>
      </c>
      <c r="D37" s="63" t="s">
        <v>14</v>
      </c>
      <c r="E37" s="56" t="s">
        <v>15</v>
      </c>
      <c r="F37" s="56" t="s">
        <v>16</v>
      </c>
      <c r="G37" s="58" t="s">
        <v>150</v>
      </c>
      <c r="H37" s="58" t="s">
        <v>151</v>
      </c>
      <c r="I37" s="58" t="s">
        <v>190</v>
      </c>
      <c r="J37" s="58" t="s">
        <v>191</v>
      </c>
      <c r="K37" s="55">
        <v>46045</v>
      </c>
      <c r="L37" s="56" t="s">
        <v>21</v>
      </c>
      <c r="M37" s="21" t="s">
        <v>192</v>
      </c>
      <c r="N37" s="32"/>
    </row>
    <row r="38" spans="1:14" customFormat="1" ht="90">
      <c r="A38" s="54">
        <f t="shared" si="0"/>
        <v>37</v>
      </c>
      <c r="B38" s="66">
        <v>46045</v>
      </c>
      <c r="C38" s="62" t="s">
        <v>143</v>
      </c>
      <c r="D38" s="56" t="s">
        <v>28</v>
      </c>
      <c r="E38" s="56" t="s">
        <v>15</v>
      </c>
      <c r="F38" s="56" t="s">
        <v>16</v>
      </c>
      <c r="G38" s="58" t="s">
        <v>144</v>
      </c>
      <c r="H38" s="37" t="s">
        <v>193</v>
      </c>
      <c r="I38" s="58" t="s">
        <v>194</v>
      </c>
      <c r="J38" s="58" t="s">
        <v>195</v>
      </c>
      <c r="K38" s="55">
        <v>46048</v>
      </c>
      <c r="L38" s="56" t="s">
        <v>21</v>
      </c>
      <c r="M38" s="58"/>
      <c r="N38" s="32" t="s">
        <v>196</v>
      </c>
    </row>
    <row r="39" spans="1:14" customFormat="1" ht="45">
      <c r="A39" s="54">
        <f t="shared" si="0"/>
        <v>38</v>
      </c>
      <c r="B39" s="66">
        <v>46045</v>
      </c>
      <c r="C39" s="62" t="s">
        <v>143</v>
      </c>
      <c r="D39" s="56" t="s">
        <v>14</v>
      </c>
      <c r="E39" s="56" t="s">
        <v>29</v>
      </c>
      <c r="F39" s="56" t="s">
        <v>16</v>
      </c>
      <c r="G39" s="58" t="s">
        <v>144</v>
      </c>
      <c r="H39" s="58" t="s">
        <v>197</v>
      </c>
      <c r="I39" s="58" t="s">
        <v>198</v>
      </c>
      <c r="J39" s="58" t="s">
        <v>199</v>
      </c>
      <c r="K39" s="55">
        <v>46048</v>
      </c>
      <c r="L39" s="56" t="s">
        <v>21</v>
      </c>
      <c r="M39" s="58"/>
      <c r="N39" s="32" t="s">
        <v>200</v>
      </c>
    </row>
    <row r="40" spans="1:14" s="38" customFormat="1" ht="30">
      <c r="A40" s="54">
        <f t="shared" si="0"/>
        <v>39</v>
      </c>
      <c r="B40" s="66">
        <v>46045</v>
      </c>
      <c r="C40" s="64" t="s">
        <v>201</v>
      </c>
      <c r="D40" s="63" t="s">
        <v>28</v>
      </c>
      <c r="E40" s="63" t="s">
        <v>29</v>
      </c>
      <c r="F40" s="56" t="s">
        <v>16</v>
      </c>
      <c r="G40" s="63" t="s">
        <v>144</v>
      </c>
      <c r="H40" s="58" t="s">
        <v>202</v>
      </c>
      <c r="I40" s="56" t="s">
        <v>203</v>
      </c>
      <c r="J40" s="63"/>
      <c r="K40" s="55">
        <v>46048</v>
      </c>
      <c r="L40" s="56" t="s">
        <v>21</v>
      </c>
      <c r="M40" s="58"/>
      <c r="N40" s="58" t="s">
        <v>204</v>
      </c>
    </row>
    <row r="41" spans="1:14" s="39" customFormat="1" ht="60">
      <c r="A41" s="64">
        <v>40</v>
      </c>
      <c r="B41" s="66">
        <v>46049</v>
      </c>
      <c r="C41" s="55" t="s">
        <v>201</v>
      </c>
      <c r="D41" s="63" t="s">
        <v>28</v>
      </c>
      <c r="E41" s="63" t="s">
        <v>15</v>
      </c>
      <c r="F41" s="63" t="s">
        <v>16</v>
      </c>
      <c r="G41" s="63" t="s">
        <v>144</v>
      </c>
      <c r="H41" s="58" t="s">
        <v>205</v>
      </c>
      <c r="I41" s="56" t="s">
        <v>206</v>
      </c>
      <c r="J41" s="63"/>
      <c r="K41" s="55">
        <v>46048</v>
      </c>
      <c r="L41" s="63" t="s">
        <v>21</v>
      </c>
      <c r="M41" s="21" t="s">
        <v>207</v>
      </c>
      <c r="N41" s="58"/>
    </row>
    <row r="42" spans="1:14" s="39" customFormat="1" ht="30">
      <c r="A42" s="64">
        <v>41</v>
      </c>
      <c r="B42" s="66">
        <v>46049</v>
      </c>
      <c r="C42" s="55" t="s">
        <v>143</v>
      </c>
      <c r="D42" s="63" t="s">
        <v>14</v>
      </c>
      <c r="E42" s="63" t="s">
        <v>15</v>
      </c>
      <c r="F42" s="63" t="s">
        <v>16</v>
      </c>
      <c r="G42" s="63" t="s">
        <v>144</v>
      </c>
      <c r="H42" s="58" t="s">
        <v>208</v>
      </c>
      <c r="I42" s="56" t="s">
        <v>209</v>
      </c>
      <c r="J42" s="63"/>
      <c r="K42" s="55">
        <v>46055</v>
      </c>
      <c r="L42" s="63" t="s">
        <v>21</v>
      </c>
      <c r="M42" s="21" t="s">
        <v>210</v>
      </c>
      <c r="N42" s="58"/>
    </row>
    <row r="43" spans="1:14" s="40" customFormat="1" ht="30">
      <c r="A43" s="64">
        <v>42</v>
      </c>
      <c r="B43" s="66">
        <v>46049</v>
      </c>
      <c r="C43" s="55" t="s">
        <v>143</v>
      </c>
      <c r="D43" s="63" t="s">
        <v>28</v>
      </c>
      <c r="E43" s="63" t="s">
        <v>29</v>
      </c>
      <c r="F43" s="63" t="s">
        <v>16</v>
      </c>
      <c r="G43" s="63" t="s">
        <v>144</v>
      </c>
      <c r="H43" s="58" t="s">
        <v>211</v>
      </c>
      <c r="I43" s="56" t="s">
        <v>212</v>
      </c>
      <c r="J43" s="63"/>
      <c r="K43" s="55">
        <v>46051</v>
      </c>
      <c r="L43" s="63" t="s">
        <v>21</v>
      </c>
      <c r="M43" s="58"/>
      <c r="N43" s="58"/>
    </row>
    <row r="44" spans="1:14" customFormat="1">
      <c r="A44" s="64">
        <v>43</v>
      </c>
      <c r="B44" s="66">
        <v>46051</v>
      </c>
      <c r="C44" s="68" t="s">
        <v>143</v>
      </c>
      <c r="D44" s="63" t="s">
        <v>14</v>
      </c>
      <c r="E44" s="63" t="s">
        <v>29</v>
      </c>
      <c r="F44" s="63" t="s">
        <v>16</v>
      </c>
      <c r="G44" s="63" t="s">
        <v>144</v>
      </c>
      <c r="H44" s="69" t="s">
        <v>213</v>
      </c>
      <c r="I44" s="69" t="s">
        <v>214</v>
      </c>
      <c r="J44" s="41"/>
      <c r="K44" s="55">
        <v>46055</v>
      </c>
      <c r="L44" s="63" t="s">
        <v>21</v>
      </c>
      <c r="M44" s="41"/>
      <c r="N44" s="41"/>
    </row>
    <row r="45" spans="1:14" customFormat="1" ht="60">
      <c r="A45" s="64">
        <v>44</v>
      </c>
      <c r="B45" s="66">
        <v>46051</v>
      </c>
      <c r="C45" s="68" t="s">
        <v>143</v>
      </c>
      <c r="D45" s="63" t="s">
        <v>14</v>
      </c>
      <c r="E45" s="63" t="s">
        <v>15</v>
      </c>
      <c r="F45" s="63" t="s">
        <v>16</v>
      </c>
      <c r="G45" s="63" t="s">
        <v>144</v>
      </c>
      <c r="H45" s="58" t="s">
        <v>215</v>
      </c>
      <c r="I45" s="56" t="s">
        <v>216</v>
      </c>
      <c r="J45" s="56" t="s">
        <v>217</v>
      </c>
      <c r="K45" s="55">
        <v>46055</v>
      </c>
      <c r="L45" s="63" t="s">
        <v>21</v>
      </c>
      <c r="M45" s="41"/>
      <c r="N45" s="41"/>
    </row>
    <row r="46" spans="1:14" customFormat="1"/>
    <row r="47" spans="1:14" customFormat="1"/>
    <row r="48" spans="1:14" customFormat="1"/>
    <row r="49" customFormat="1"/>
  </sheetData>
  <autoFilter ref="A1:M49" xr:uid="{AC2894D6-04F1-40B9-AE17-FEC113C806B4}"/>
  <conditionalFormatting sqref="F1:F45">
    <cfRule type="containsText" dxfId="15" priority="12" operator="containsText" text="Resolved">
      <formula>NOT(ISERROR(SEARCH("Resolved",F1)))</formula>
    </cfRule>
  </conditionalFormatting>
  <conditionalFormatting sqref="F2:F45">
    <cfRule type="containsText" dxfId="14" priority="9" operator="containsText" text="No Action">
      <formula>NOT(ISERROR(SEARCH("No Action",F2)))</formula>
    </cfRule>
    <cfRule type="containsText" dxfId="13" priority="10" operator="containsText" text="New">
      <formula>NOT(ISERROR(SEARCH("New",F2)))</formula>
    </cfRule>
    <cfRule type="containsText" dxfId="12" priority="11" operator="containsText" text="Retest In Progress">
      <formula>NOT(ISERROR(SEARCH("Retest In Progress",F2)))</formula>
    </cfRule>
    <cfRule type="containsText" dxfId="11" priority="13" operator="containsText" text="Return to Dev">
      <formula>NOT(ISERROR(SEARCH("Return to Dev",F2)))</formula>
    </cfRule>
  </conditionalFormatting>
  <conditionalFormatting sqref="F50:F1048576">
    <cfRule type="containsText" dxfId="10" priority="54" operator="containsText" text="No Action">
      <formula>NOT(ISERROR(SEARCH("No Action",F50)))</formula>
    </cfRule>
    <cfRule type="containsText" dxfId="9" priority="55" operator="containsText" text="New">
      <formula>NOT(ISERROR(SEARCH("New",F50)))</formula>
    </cfRule>
    <cfRule type="containsText" dxfId="8" priority="56" operator="containsText" text="Retest In Progress">
      <formula>NOT(ISERROR(SEARCH("Retest In Progress",F50)))</formula>
    </cfRule>
    <cfRule type="containsText" dxfId="7" priority="57" operator="containsText" text="Resolved">
      <formula>NOT(ISERROR(SEARCH("Resolved",F50)))</formula>
    </cfRule>
    <cfRule type="containsText" dxfId="6" priority="58" operator="containsText" text="Return to Dev">
      <formula>NOT(ISERROR(SEARCH("Return to Dev",F50)))</formula>
    </cfRule>
  </conditionalFormatting>
  <conditionalFormatting sqref="L2:L45">
    <cfRule type="containsText" dxfId="5" priority="6" operator="containsText" text="Pass with Comments">
      <formula>NOT(ISERROR(SEARCH("Pass with Comments",L2)))</formula>
    </cfRule>
    <cfRule type="containsText" dxfId="4" priority="7" operator="containsText" text="Fail">
      <formula>NOT(ISERROR(SEARCH("Fail",L2)))</formula>
    </cfRule>
    <cfRule type="containsText" dxfId="3" priority="8" operator="containsText" text="Pass">
      <formula>NOT(ISERROR(SEARCH("Pass",L2)))</formula>
    </cfRule>
  </conditionalFormatting>
  <conditionalFormatting sqref="L50:L1048576">
    <cfRule type="containsText" dxfId="2" priority="78" operator="containsText" text="Pass with Comments">
      <formula>NOT(ISERROR(SEARCH("Pass with Comments",L50)))</formula>
    </cfRule>
    <cfRule type="containsText" dxfId="1" priority="79" operator="containsText" text="Fail">
      <formula>NOT(ISERROR(SEARCH("Fail",L50)))</formula>
    </cfRule>
    <cfRule type="containsText" dxfId="0" priority="80" operator="containsText" text="Pass">
      <formula>NOT(ISERROR(SEARCH("Pass",L50)))</formula>
    </cfRule>
  </conditionalFormatting>
  <dataValidations count="1">
    <dataValidation type="list" allowBlank="1" showInputMessage="1" showErrorMessage="1" sqref="C34:C36 C38:C39 C41:C43" xr:uid="{C9AAD339-EC63-41B4-9870-E81DB99BE4A3}">
      <formula1>"Both,Web Only,PB Only"</formula1>
    </dataValidation>
  </dataValidations>
  <hyperlinks>
    <hyperlink ref="H38" location="'37'!A1" display="Edit Mode on Multiple" xr:uid="{978716A0-C6A4-48D3-ADFF-8181FABCE74E}"/>
  </hyperlinks>
  <pageMargins left="0.7" right="0.7" top="0.75" bottom="0.75" header="0.3" footer="0.3"/>
  <pageSetup orientation="landscape" r:id="rId1"/>
  <drawing r:id="rId2"/>
  <extLst>
    <ext xmlns:x14="http://schemas.microsoft.com/office/spreadsheetml/2009/9/main" uri="{CCE6A557-97BC-4b89-ADB6-D9C93CAAB3DF}">
      <x14:dataValidations xmlns:xm="http://schemas.microsoft.com/office/excel/2006/main" count="4">
        <x14:dataValidation type="list" allowBlank="1" showInputMessage="1" showErrorMessage="1" xr:uid="{A20A9F25-0DE4-45B6-B5B3-B6F8EA25DBA6}">
          <x14:formula1>
            <xm:f>Sheet2!$A$1:$A$3</xm:f>
          </x14:formula1>
          <xm:sqref>L2:L40</xm:sqref>
        </x14:dataValidation>
        <x14:dataValidation type="list" allowBlank="1" showInputMessage="1" showErrorMessage="1" xr:uid="{13D3BE25-BF98-4733-B1E7-AA4DB88ADC41}">
          <x14:formula1>
            <xm:f>Sheet2!$C$1:$C$6</xm:f>
          </x14:formula1>
          <xm:sqref>F2:F26 F28:F30 F50:F1048576 F33:F40</xm:sqref>
        </x14:dataValidation>
        <x14:dataValidation type="list" allowBlank="1" showInputMessage="1" showErrorMessage="1" xr:uid="{E7C9154B-8A5C-4F27-AF31-58E8AF26A163}">
          <x14:formula1>
            <xm:f>Sheet2!$F$1:$F$3</xm:f>
          </x14:formula1>
          <xm:sqref>E2:E26 E28:E30 E33 E50:E1048576 E37</xm:sqref>
        </x14:dataValidation>
        <x14:dataValidation type="list" allowBlank="1" showInputMessage="1" showErrorMessage="1" xr:uid="{A897B7C2-39DB-4176-862F-78FFF38652C7}">
          <x14:formula1>
            <xm:f>Sheet2!$H$2:$H$3</xm:f>
          </x14:formula1>
          <xm:sqref>D2:D26 D28:D30 D33 D50:D1048576 D37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D195D-7FC6-4BEA-9DA5-C057989FBACD}">
  <dimension ref="A1:O50"/>
  <sheetViews>
    <sheetView tabSelected="1" topLeftCell="A22" workbookViewId="0">
      <selection activeCell="C54" sqref="C54"/>
    </sheetView>
  </sheetViews>
  <sheetFormatPr defaultColWidth="9.140625" defaultRowHeight="15"/>
  <cols>
    <col min="1" max="1" width="5.7109375" style="11" bestFit="1" customWidth="1"/>
    <col min="2" max="2" width="8.42578125" style="11" bestFit="1" customWidth="1"/>
    <col min="3" max="3" width="17.7109375" style="11" bestFit="1" customWidth="1"/>
    <col min="4" max="4" width="17.42578125" style="11" bestFit="1" customWidth="1"/>
    <col min="5" max="5" width="9.7109375" style="11" bestFit="1" customWidth="1"/>
    <col min="6" max="9" width="12.5703125" style="11" bestFit="1" customWidth="1"/>
    <col min="10" max="10" width="13.42578125" style="11" bestFit="1" customWidth="1"/>
    <col min="11" max="11" width="17.5703125" style="11" bestFit="1" customWidth="1"/>
    <col min="12" max="12" width="9.140625" style="11"/>
    <col min="13" max="13" width="13.42578125" style="11" bestFit="1" customWidth="1"/>
    <col min="14" max="14" width="15.140625" style="11" bestFit="1" customWidth="1"/>
    <col min="15" max="16384" width="9.140625" style="11"/>
  </cols>
  <sheetData>
    <row r="1" spans="1:15" ht="15.75" hidden="1">
      <c r="A1" s="6"/>
      <c r="B1" s="6"/>
      <c r="C1" s="42" t="s">
        <v>218</v>
      </c>
      <c r="D1" s="42" t="s">
        <v>219</v>
      </c>
      <c r="E1" s="43"/>
      <c r="F1" s="43"/>
      <c r="G1"/>
      <c r="H1"/>
      <c r="I1"/>
      <c r="J1" s="70"/>
      <c r="K1" s="70"/>
      <c r="L1" s="70"/>
      <c r="M1" s="70"/>
      <c r="N1" s="70"/>
      <c r="O1" s="70"/>
    </row>
    <row r="2" spans="1:15" ht="15.75">
      <c r="A2" s="7" t="s">
        <v>220</v>
      </c>
      <c r="B2" s="8" t="s">
        <v>221</v>
      </c>
      <c r="C2" s="42" t="s">
        <v>222</v>
      </c>
      <c r="D2" s="43" t="s">
        <v>36</v>
      </c>
      <c r="E2" s="43" t="s">
        <v>16</v>
      </c>
      <c r="F2" s="43" t="s">
        <v>223</v>
      </c>
      <c r="G2"/>
      <c r="H2"/>
      <c r="I2"/>
      <c r="J2" s="70"/>
      <c r="K2" s="70"/>
      <c r="L2" s="70"/>
      <c r="M2" s="70"/>
      <c r="N2" s="70"/>
      <c r="O2" s="70"/>
    </row>
    <row r="3" spans="1:15" ht="15.75">
      <c r="A3" s="9">
        <v>1</v>
      </c>
      <c r="B3" s="10">
        <v>0.20833333333333334</v>
      </c>
      <c r="C3" s="44">
        <v>45957</v>
      </c>
      <c r="D3" s="45">
        <v>2</v>
      </c>
      <c r="E3" s="45">
        <v>20</v>
      </c>
      <c r="F3" s="45">
        <v>22</v>
      </c>
      <c r="G3"/>
      <c r="H3"/>
      <c r="I3"/>
      <c r="J3" s="12" t="s">
        <v>222</v>
      </c>
      <c r="K3" t="s">
        <v>224</v>
      </c>
      <c r="L3"/>
      <c r="M3" s="12" t="s">
        <v>222</v>
      </c>
      <c r="N3" t="s">
        <v>225</v>
      </c>
      <c r="O3"/>
    </row>
    <row r="4" spans="1:15" ht="15.75">
      <c r="A4" s="6"/>
      <c r="B4" s="6"/>
      <c r="C4" s="46" t="s">
        <v>14</v>
      </c>
      <c r="D4" s="47">
        <v>1</v>
      </c>
      <c r="E4" s="47">
        <v>14</v>
      </c>
      <c r="F4" s="47">
        <v>15</v>
      </c>
      <c r="G4"/>
      <c r="H4"/>
      <c r="I4"/>
      <c r="J4" s="14" t="s">
        <v>15</v>
      </c>
      <c r="K4" s="13">
        <v>24</v>
      </c>
      <c r="L4"/>
      <c r="M4" s="14" t="s">
        <v>36</v>
      </c>
      <c r="N4" s="13">
        <v>6</v>
      </c>
      <c r="O4"/>
    </row>
    <row r="5" spans="1:15" ht="15.75">
      <c r="A5" s="6"/>
      <c r="B5" s="6"/>
      <c r="C5" s="48" t="s">
        <v>15</v>
      </c>
      <c r="D5" s="47">
        <v>1</v>
      </c>
      <c r="E5" s="47">
        <v>13</v>
      </c>
      <c r="F5" s="47">
        <v>14</v>
      </c>
      <c r="G5"/>
      <c r="H5"/>
      <c r="I5"/>
      <c r="J5" s="14" t="s">
        <v>29</v>
      </c>
      <c r="K5" s="13">
        <v>18</v>
      </c>
      <c r="L5"/>
      <c r="M5" s="14" t="s">
        <v>16</v>
      </c>
      <c r="N5" s="13">
        <v>38</v>
      </c>
      <c r="O5"/>
    </row>
    <row r="6" spans="1:15" ht="15.75">
      <c r="A6" s="6"/>
      <c r="B6" s="6"/>
      <c r="C6" s="48" t="s">
        <v>29</v>
      </c>
      <c r="D6" s="47"/>
      <c r="E6" s="47">
        <v>1</v>
      </c>
      <c r="F6" s="47">
        <v>1</v>
      </c>
      <c r="G6"/>
      <c r="H6"/>
      <c r="I6"/>
      <c r="J6" s="14" t="s">
        <v>163</v>
      </c>
      <c r="K6" s="13">
        <v>2</v>
      </c>
      <c r="L6"/>
      <c r="M6" s="14" t="s">
        <v>223</v>
      </c>
      <c r="N6" s="13">
        <v>44</v>
      </c>
      <c r="O6"/>
    </row>
    <row r="7" spans="1:15" ht="15.75">
      <c r="A7" s="6"/>
      <c r="B7" s="6"/>
      <c r="C7" s="46" t="s">
        <v>28</v>
      </c>
      <c r="D7" s="47">
        <v>1</v>
      </c>
      <c r="E7" s="47">
        <v>6</v>
      </c>
      <c r="F7" s="47">
        <v>7</v>
      </c>
      <c r="G7"/>
      <c r="H7"/>
      <c r="I7"/>
      <c r="J7" s="14" t="s">
        <v>223</v>
      </c>
      <c r="K7" s="13">
        <v>44</v>
      </c>
      <c r="L7"/>
      <c r="M7"/>
      <c r="N7"/>
      <c r="O7"/>
    </row>
    <row r="8" spans="1:15" ht="15.75">
      <c r="A8" s="6"/>
      <c r="B8" s="6"/>
      <c r="C8" s="48" t="s">
        <v>15</v>
      </c>
      <c r="D8" s="47"/>
      <c r="E8" s="47">
        <v>1</v>
      </c>
      <c r="F8" s="47">
        <v>1</v>
      </c>
      <c r="G8"/>
      <c r="H8"/>
      <c r="I8"/>
      <c r="J8"/>
      <c r="K8"/>
      <c r="L8"/>
      <c r="M8"/>
      <c r="N8"/>
      <c r="O8"/>
    </row>
    <row r="9" spans="1:15" ht="15.75">
      <c r="A9" s="6"/>
      <c r="B9" s="6"/>
      <c r="C9" s="48" t="s">
        <v>29</v>
      </c>
      <c r="D9" s="47">
        <v>1</v>
      </c>
      <c r="E9" s="47">
        <v>5</v>
      </c>
      <c r="F9" s="47">
        <v>6</v>
      </c>
      <c r="G9"/>
      <c r="H9"/>
      <c r="I9"/>
      <c r="J9"/>
      <c r="K9"/>
      <c r="L9"/>
      <c r="M9"/>
      <c r="N9"/>
      <c r="O9"/>
    </row>
    <row r="10" spans="1:15" ht="15.75">
      <c r="A10" s="9">
        <v>2</v>
      </c>
      <c r="B10" s="10">
        <v>0.22916666666666666</v>
      </c>
      <c r="C10" s="44">
        <v>45980</v>
      </c>
      <c r="D10" s="45">
        <v>1</v>
      </c>
      <c r="E10" s="45">
        <v>1</v>
      </c>
      <c r="F10" s="45">
        <v>2</v>
      </c>
      <c r="G10"/>
      <c r="H10"/>
      <c r="I10"/>
      <c r="J10"/>
      <c r="K10"/>
      <c r="L10"/>
      <c r="M10"/>
      <c r="N10"/>
      <c r="O10"/>
    </row>
    <row r="11" spans="1:15" ht="15.75">
      <c r="A11" s="6"/>
      <c r="B11" s="6"/>
      <c r="C11" s="46" t="s">
        <v>14</v>
      </c>
      <c r="D11" s="47"/>
      <c r="E11" s="47">
        <v>1</v>
      </c>
      <c r="F11" s="47">
        <v>1</v>
      </c>
      <c r="G11"/>
      <c r="H11"/>
      <c r="I11"/>
      <c r="J11"/>
      <c r="K11"/>
      <c r="L11"/>
      <c r="M11"/>
      <c r="N11"/>
      <c r="O11"/>
    </row>
    <row r="12" spans="1:15" ht="15.75">
      <c r="A12" s="6"/>
      <c r="B12" s="6"/>
      <c r="C12" s="48" t="s">
        <v>29</v>
      </c>
      <c r="D12" s="47"/>
      <c r="E12" s="47">
        <v>1</v>
      </c>
      <c r="F12" s="47">
        <v>1</v>
      </c>
      <c r="G12"/>
      <c r="H12"/>
      <c r="I12"/>
      <c r="J12"/>
      <c r="K12"/>
      <c r="L12"/>
      <c r="M12"/>
      <c r="N12"/>
      <c r="O12"/>
    </row>
    <row r="13" spans="1:15" ht="15.75">
      <c r="A13" s="6"/>
      <c r="B13" s="6"/>
      <c r="C13" s="46" t="s">
        <v>28</v>
      </c>
      <c r="D13" s="47">
        <v>1</v>
      </c>
      <c r="E13" s="47"/>
      <c r="F13" s="47">
        <v>1</v>
      </c>
      <c r="G13"/>
      <c r="H13"/>
      <c r="I13"/>
      <c r="J13"/>
      <c r="K13"/>
      <c r="L13"/>
      <c r="M13"/>
      <c r="N13"/>
      <c r="O13"/>
    </row>
    <row r="14" spans="1:15" ht="15.75">
      <c r="A14" s="6"/>
      <c r="B14" s="6"/>
      <c r="C14" s="48" t="s">
        <v>15</v>
      </c>
      <c r="D14" s="47">
        <v>1</v>
      </c>
      <c r="E14" s="47"/>
      <c r="F14" s="47">
        <v>1</v>
      </c>
      <c r="G14"/>
      <c r="H14"/>
      <c r="I14"/>
      <c r="J14"/>
      <c r="K14"/>
      <c r="L14"/>
      <c r="M14"/>
      <c r="N14"/>
      <c r="O14"/>
    </row>
    <row r="15" spans="1:15" ht="15.75">
      <c r="A15" s="9">
        <v>3</v>
      </c>
      <c r="B15" s="10">
        <v>0.22916666666666666</v>
      </c>
      <c r="C15" s="15">
        <v>45996</v>
      </c>
      <c r="D15" s="16">
        <v>2</v>
      </c>
      <c r="E15" s="16">
        <v>3</v>
      </c>
      <c r="F15" s="16">
        <v>5</v>
      </c>
      <c r="G15"/>
      <c r="H15"/>
      <c r="I15"/>
      <c r="J15"/>
      <c r="K15"/>
      <c r="L15"/>
      <c r="M15"/>
      <c r="N15"/>
      <c r="O15"/>
    </row>
    <row r="16" spans="1:15" ht="15.75">
      <c r="A16" s="70"/>
      <c r="B16" s="70"/>
      <c r="C16" s="46" t="s">
        <v>14</v>
      </c>
      <c r="D16" s="47">
        <v>1</v>
      </c>
      <c r="E16" s="47">
        <v>3</v>
      </c>
      <c r="F16" s="47">
        <v>4</v>
      </c>
      <c r="G16"/>
      <c r="H16"/>
      <c r="I16" s="70"/>
      <c r="J16"/>
      <c r="K16"/>
      <c r="L16"/>
      <c r="M16"/>
      <c r="N16"/>
      <c r="O16"/>
    </row>
    <row r="17" spans="1:15" ht="15.75">
      <c r="A17" s="70"/>
      <c r="B17" s="70"/>
      <c r="C17" s="48" t="s">
        <v>15</v>
      </c>
      <c r="D17" s="47"/>
      <c r="E17" s="47">
        <v>2</v>
      </c>
      <c r="F17" s="47">
        <v>2</v>
      </c>
      <c r="G17"/>
      <c r="H17"/>
      <c r="I17" s="70"/>
      <c r="J17"/>
      <c r="K17"/>
      <c r="L17"/>
      <c r="M17"/>
      <c r="N17"/>
      <c r="O17"/>
    </row>
    <row r="18" spans="1:15" ht="15.75">
      <c r="A18" s="70"/>
      <c r="B18" s="70"/>
      <c r="C18" s="48" t="s">
        <v>29</v>
      </c>
      <c r="D18" s="47">
        <v>1</v>
      </c>
      <c r="E18" s="47">
        <v>1</v>
      </c>
      <c r="F18" s="47">
        <v>2</v>
      </c>
      <c r="G18"/>
      <c r="H18"/>
      <c r="I18" s="70"/>
      <c r="J18"/>
      <c r="K18"/>
      <c r="L18"/>
      <c r="M18"/>
      <c r="N18"/>
      <c r="O18"/>
    </row>
    <row r="19" spans="1:15" ht="15.75">
      <c r="A19" s="70"/>
      <c r="B19" s="70"/>
      <c r="C19" s="46" t="s">
        <v>28</v>
      </c>
      <c r="D19" s="47">
        <v>1</v>
      </c>
      <c r="E19" s="47"/>
      <c r="F19" s="47">
        <v>1</v>
      </c>
      <c r="G19"/>
      <c r="H19"/>
      <c r="I19" s="70"/>
      <c r="J19"/>
      <c r="K19"/>
      <c r="L19"/>
      <c r="M19"/>
      <c r="N19"/>
      <c r="O19"/>
    </row>
    <row r="20" spans="1:15" ht="15.75">
      <c r="A20" s="70"/>
      <c r="B20" s="70"/>
      <c r="C20" s="48" t="s">
        <v>29</v>
      </c>
      <c r="D20" s="47">
        <v>1</v>
      </c>
      <c r="E20" s="47"/>
      <c r="F20" s="47">
        <v>1</v>
      </c>
      <c r="G20"/>
      <c r="H20"/>
      <c r="I20" s="70"/>
      <c r="J20"/>
      <c r="K20"/>
      <c r="L20"/>
      <c r="M20"/>
      <c r="N20"/>
      <c r="O20"/>
    </row>
    <row r="21" spans="1:15" ht="15.75">
      <c r="A21" s="17">
        <v>4</v>
      </c>
      <c r="B21" s="18">
        <v>4.1666666666666664E-2</v>
      </c>
      <c r="C21" s="15">
        <v>46014</v>
      </c>
      <c r="D21" s="16">
        <v>1</v>
      </c>
      <c r="E21" s="16">
        <v>2</v>
      </c>
      <c r="F21" s="16">
        <v>3</v>
      </c>
      <c r="G21"/>
      <c r="H21"/>
      <c r="I21" s="70"/>
      <c r="J21" s="70"/>
      <c r="K21" s="70"/>
      <c r="L21" s="70"/>
      <c r="M21" s="70"/>
      <c r="N21" s="70"/>
      <c r="O21" s="70"/>
    </row>
    <row r="22" spans="1:15" ht="15.75">
      <c r="A22" s="70"/>
      <c r="B22" s="70"/>
      <c r="C22" s="46" t="s">
        <v>14</v>
      </c>
      <c r="D22" s="47">
        <v>1</v>
      </c>
      <c r="E22" s="47">
        <v>2</v>
      </c>
      <c r="F22" s="47">
        <v>3</v>
      </c>
      <c r="G22"/>
      <c r="H22"/>
      <c r="I22" s="70"/>
      <c r="J22" s="70"/>
      <c r="K22" s="70"/>
      <c r="L22" s="70"/>
      <c r="M22" s="70"/>
      <c r="N22" s="70"/>
      <c r="O22" s="70"/>
    </row>
    <row r="23" spans="1:15" ht="15.75">
      <c r="A23" s="70"/>
      <c r="B23" s="70"/>
      <c r="C23" s="48" t="s">
        <v>15</v>
      </c>
      <c r="D23" s="47">
        <v>1</v>
      </c>
      <c r="E23" s="47"/>
      <c r="F23" s="47">
        <v>1</v>
      </c>
      <c r="G23"/>
      <c r="H23"/>
      <c r="I23" s="70"/>
      <c r="J23" s="70"/>
      <c r="K23" s="70"/>
      <c r="L23" s="70"/>
      <c r="M23" s="70"/>
      <c r="N23" s="70"/>
      <c r="O23" s="70"/>
    </row>
    <row r="24" spans="1:15" ht="15.75">
      <c r="A24" s="70"/>
      <c r="B24" s="70"/>
      <c r="C24" s="48" t="s">
        <v>29</v>
      </c>
      <c r="D24" s="47"/>
      <c r="E24" s="47">
        <v>1</v>
      </c>
      <c r="F24" s="47">
        <v>1</v>
      </c>
      <c r="G24"/>
      <c r="H24"/>
      <c r="I24" s="70"/>
      <c r="J24" s="70"/>
      <c r="K24" s="70"/>
      <c r="L24" s="70"/>
      <c r="M24" s="70"/>
      <c r="N24" s="70"/>
      <c r="O24" s="70"/>
    </row>
    <row r="25" spans="1:15" ht="15.75">
      <c r="A25" s="70"/>
      <c r="B25" s="70"/>
      <c r="C25" s="48" t="s">
        <v>163</v>
      </c>
      <c r="D25" s="47"/>
      <c r="E25" s="47">
        <v>1</v>
      </c>
      <c r="F25" s="47">
        <v>1</v>
      </c>
      <c r="G25"/>
      <c r="H25"/>
      <c r="I25" s="70"/>
      <c r="J25" s="70"/>
      <c r="K25" s="70"/>
      <c r="L25" s="70"/>
      <c r="M25" s="70"/>
      <c r="N25" s="70"/>
      <c r="O25" s="70"/>
    </row>
    <row r="26" spans="1:15" ht="15.75">
      <c r="A26" s="17">
        <v>5</v>
      </c>
      <c r="B26" s="18">
        <v>4.1666666666666664E-2</v>
      </c>
      <c r="C26" s="15">
        <v>46036</v>
      </c>
      <c r="D26" s="16"/>
      <c r="E26" s="16">
        <v>3</v>
      </c>
      <c r="F26" s="16">
        <v>3</v>
      </c>
      <c r="G26"/>
      <c r="H26"/>
      <c r="I26" s="70"/>
      <c r="J26" s="70"/>
      <c r="K26" s="70"/>
      <c r="L26" s="70"/>
      <c r="M26" s="70"/>
      <c r="N26" s="70"/>
      <c r="O26" s="70"/>
    </row>
    <row r="27" spans="1:15" ht="15.75">
      <c r="A27" s="70"/>
      <c r="B27" s="70"/>
      <c r="C27" s="46" t="s">
        <v>14</v>
      </c>
      <c r="D27" s="47"/>
      <c r="E27" s="47">
        <v>1</v>
      </c>
      <c r="F27" s="47">
        <v>1</v>
      </c>
      <c r="G27"/>
      <c r="H27"/>
      <c r="I27" s="70"/>
      <c r="J27" s="70"/>
      <c r="K27" s="70"/>
      <c r="L27" s="70"/>
      <c r="M27" s="70"/>
      <c r="N27" s="70"/>
      <c r="O27" s="70"/>
    </row>
    <row r="28" spans="1:15" ht="15.75">
      <c r="A28" s="70"/>
      <c r="B28" s="70"/>
      <c r="C28" s="48" t="s">
        <v>163</v>
      </c>
      <c r="D28" s="47"/>
      <c r="E28" s="47">
        <v>1</v>
      </c>
      <c r="F28" s="47">
        <v>1</v>
      </c>
      <c r="G28"/>
      <c r="H28"/>
      <c r="I28" s="70"/>
      <c r="J28" s="70"/>
      <c r="K28" s="70"/>
      <c r="L28" s="70"/>
      <c r="M28" s="70"/>
      <c r="N28" s="70"/>
      <c r="O28" s="70"/>
    </row>
    <row r="29" spans="1:15" ht="15.75">
      <c r="A29" s="70"/>
      <c r="B29" s="70"/>
      <c r="C29" s="46" t="s">
        <v>28</v>
      </c>
      <c r="D29" s="47"/>
      <c r="E29" s="47">
        <v>2</v>
      </c>
      <c r="F29" s="47">
        <v>2</v>
      </c>
      <c r="G29"/>
      <c r="H29"/>
      <c r="I29" s="70"/>
      <c r="J29" s="70"/>
      <c r="K29" s="70"/>
      <c r="L29" s="70"/>
      <c r="M29" s="70"/>
      <c r="N29" s="70"/>
      <c r="O29" s="70"/>
    </row>
    <row r="30" spans="1:15" ht="15.75">
      <c r="A30" s="70"/>
      <c r="B30" s="71"/>
      <c r="C30" s="48" t="s">
        <v>29</v>
      </c>
      <c r="D30" s="47"/>
      <c r="E30" s="47">
        <v>2</v>
      </c>
      <c r="F30" s="47">
        <v>2</v>
      </c>
      <c r="G30"/>
      <c r="H30"/>
      <c r="I30" s="70"/>
      <c r="J30" s="70"/>
      <c r="K30" s="70"/>
      <c r="L30" s="70"/>
      <c r="M30" s="70"/>
      <c r="N30" s="70"/>
      <c r="O30" s="70"/>
    </row>
    <row r="31" spans="1:15" ht="15.75">
      <c r="A31" s="17">
        <v>6</v>
      </c>
      <c r="B31" s="18">
        <v>4.1666666666666664E-2</v>
      </c>
      <c r="C31" s="15">
        <v>46045</v>
      </c>
      <c r="D31" s="16"/>
      <c r="E31" s="16">
        <v>4</v>
      </c>
      <c r="F31" s="16">
        <v>4</v>
      </c>
      <c r="G31"/>
      <c r="H31"/>
      <c r="I31" s="70"/>
      <c r="J31" s="70"/>
      <c r="K31" s="70"/>
      <c r="L31" s="70"/>
      <c r="M31" s="70"/>
      <c r="N31" s="70"/>
      <c r="O31" s="70"/>
    </row>
    <row r="32" spans="1:15" ht="15.75">
      <c r="A32" s="70"/>
      <c r="B32" s="70"/>
      <c r="C32" s="46" t="s">
        <v>14</v>
      </c>
      <c r="D32" s="47"/>
      <c r="E32" s="47">
        <v>2</v>
      </c>
      <c r="F32" s="47">
        <v>2</v>
      </c>
      <c r="G32"/>
      <c r="H32"/>
      <c r="I32" s="70"/>
      <c r="J32" s="70"/>
      <c r="K32" s="70"/>
      <c r="L32" s="70"/>
      <c r="M32" s="70"/>
      <c r="N32" s="70"/>
      <c r="O32" s="70"/>
    </row>
    <row r="33" spans="1:8" ht="15.75">
      <c r="A33" s="70"/>
      <c r="B33" s="70"/>
      <c r="C33" s="48" t="s">
        <v>15</v>
      </c>
      <c r="D33" s="47"/>
      <c r="E33" s="47">
        <v>1</v>
      </c>
      <c r="F33" s="47">
        <v>1</v>
      </c>
      <c r="G33"/>
      <c r="H33"/>
    </row>
    <row r="34" spans="1:8" ht="15.75">
      <c r="A34" s="70"/>
      <c r="B34" s="70"/>
      <c r="C34" s="48" t="s">
        <v>29</v>
      </c>
      <c r="D34" s="47"/>
      <c r="E34" s="47">
        <v>1</v>
      </c>
      <c r="F34" s="47">
        <v>1</v>
      </c>
      <c r="G34"/>
      <c r="H34"/>
    </row>
    <row r="35" spans="1:8" ht="15.75">
      <c r="A35" s="70"/>
      <c r="B35" s="70"/>
      <c r="C35" s="46" t="s">
        <v>28</v>
      </c>
      <c r="D35" s="47"/>
      <c r="E35" s="47">
        <v>2</v>
      </c>
      <c r="F35" s="47">
        <v>2</v>
      </c>
      <c r="G35"/>
      <c r="H35"/>
    </row>
    <row r="36" spans="1:8" ht="15.75">
      <c r="A36" s="70"/>
      <c r="B36" s="70"/>
      <c r="C36" s="48" t="s">
        <v>15</v>
      </c>
      <c r="D36" s="47"/>
      <c r="E36" s="47">
        <v>1</v>
      </c>
      <c r="F36" s="47">
        <v>1</v>
      </c>
      <c r="G36"/>
      <c r="H36"/>
    </row>
    <row r="37" spans="1:8" ht="15.75">
      <c r="A37" s="70"/>
      <c r="B37" s="70"/>
      <c r="C37" s="48" t="s">
        <v>29</v>
      </c>
      <c r="D37" s="47"/>
      <c r="E37" s="47">
        <v>1</v>
      </c>
      <c r="F37" s="47">
        <v>1</v>
      </c>
      <c r="G37"/>
      <c r="H37"/>
    </row>
    <row r="38" spans="1:8" ht="15.75">
      <c r="A38" s="17">
        <v>7</v>
      </c>
      <c r="B38" s="18">
        <v>4.1666666666666664E-2</v>
      </c>
      <c r="C38" s="15">
        <v>46049</v>
      </c>
      <c r="D38" s="16"/>
      <c r="E38" s="16">
        <v>3</v>
      </c>
      <c r="F38" s="16">
        <v>3</v>
      </c>
      <c r="G38"/>
      <c r="H38" s="70"/>
    </row>
    <row r="39" spans="1:8" ht="15.75">
      <c r="A39" s="70"/>
      <c r="B39" s="71"/>
      <c r="C39" s="46" t="s">
        <v>14</v>
      </c>
      <c r="D39" s="47"/>
      <c r="E39" s="47">
        <v>1</v>
      </c>
      <c r="F39" s="47">
        <v>1</v>
      </c>
      <c r="G39"/>
      <c r="H39" s="70"/>
    </row>
    <row r="40" spans="1:8" ht="15.75">
      <c r="A40" s="70"/>
      <c r="B40" s="70"/>
      <c r="C40" s="48" t="s">
        <v>15</v>
      </c>
      <c r="D40" s="47"/>
      <c r="E40" s="47">
        <v>1</v>
      </c>
      <c r="F40" s="47">
        <v>1</v>
      </c>
      <c r="G40"/>
      <c r="H40" s="70"/>
    </row>
    <row r="41" spans="1:8" ht="15.75">
      <c r="A41" s="70"/>
      <c r="B41" s="70"/>
      <c r="C41" s="46" t="s">
        <v>28</v>
      </c>
      <c r="D41" s="47"/>
      <c r="E41" s="47">
        <v>2</v>
      </c>
      <c r="F41" s="47">
        <v>2</v>
      </c>
      <c r="G41"/>
      <c r="H41" s="70"/>
    </row>
    <row r="42" spans="1:8" ht="15.75">
      <c r="A42" s="70"/>
      <c r="B42" s="70"/>
      <c r="C42" s="48" t="s">
        <v>15</v>
      </c>
      <c r="D42" s="47"/>
      <c r="E42" s="47">
        <v>1</v>
      </c>
      <c r="F42" s="47">
        <v>1</v>
      </c>
      <c r="G42"/>
      <c r="H42" s="70"/>
    </row>
    <row r="43" spans="1:8" ht="15.75">
      <c r="A43" s="70"/>
      <c r="B43" s="70"/>
      <c r="C43" s="48" t="s">
        <v>29</v>
      </c>
      <c r="D43" s="47"/>
      <c r="E43" s="47">
        <v>1</v>
      </c>
      <c r="F43" s="47">
        <v>1</v>
      </c>
      <c r="G43"/>
      <c r="H43" s="70"/>
    </row>
    <row r="44" spans="1:8" ht="15.75">
      <c r="A44" s="17">
        <v>8</v>
      </c>
      <c r="B44" s="18">
        <v>2.0833333333333332E-2</v>
      </c>
      <c r="C44" s="15">
        <v>46051</v>
      </c>
      <c r="D44" s="16"/>
      <c r="E44" s="16">
        <v>2</v>
      </c>
      <c r="F44" s="16">
        <v>2</v>
      </c>
      <c r="G44"/>
      <c r="H44" s="70"/>
    </row>
    <row r="45" spans="1:8" ht="15.75">
      <c r="A45" s="70"/>
      <c r="B45" s="70"/>
      <c r="C45" s="46" t="s">
        <v>14</v>
      </c>
      <c r="D45" s="47"/>
      <c r="E45" s="47">
        <v>2</v>
      </c>
      <c r="F45" s="47">
        <v>2</v>
      </c>
      <c r="G45"/>
      <c r="H45" s="70"/>
    </row>
    <row r="46" spans="1:8" ht="15.75">
      <c r="A46" s="70"/>
      <c r="B46" s="70"/>
      <c r="C46" s="48" t="s">
        <v>15</v>
      </c>
      <c r="D46" s="47"/>
      <c r="E46" s="47">
        <v>1</v>
      </c>
      <c r="F46" s="47">
        <v>1</v>
      </c>
      <c r="G46"/>
      <c r="H46" s="70"/>
    </row>
    <row r="47" spans="1:8" ht="15.75">
      <c r="A47" s="70"/>
      <c r="B47" s="70"/>
      <c r="C47" s="48" t="s">
        <v>29</v>
      </c>
      <c r="D47" s="47"/>
      <c r="E47" s="47">
        <v>1</v>
      </c>
      <c r="F47" s="47">
        <v>1</v>
      </c>
      <c r="G47"/>
      <c r="H47" s="70"/>
    </row>
    <row r="48" spans="1:8" ht="15.75">
      <c r="A48" s="70"/>
      <c r="B48" s="70"/>
      <c r="C48" s="49" t="s">
        <v>223</v>
      </c>
      <c r="D48" s="47">
        <v>6</v>
      </c>
      <c r="E48" s="47">
        <v>38</v>
      </c>
      <c r="F48" s="47">
        <v>44</v>
      </c>
      <c r="G48" s="70"/>
      <c r="H48" s="70"/>
    </row>
    <row r="49" spans="1:6" ht="15.75">
      <c r="A49" s="9">
        <v>9</v>
      </c>
      <c r="B49" s="51">
        <v>2.0833333333333332E-2</v>
      </c>
      <c r="C49" s="52" t="s">
        <v>226</v>
      </c>
      <c r="D49" s="50"/>
      <c r="E49" s="50"/>
      <c r="F49" s="50"/>
    </row>
    <row r="50" spans="1:6">
      <c r="A50" s="70"/>
      <c r="B50" s="71"/>
      <c r="C50" s="70"/>
      <c r="D50" s="70"/>
      <c r="E50" s="70"/>
      <c r="F50" s="7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CD8E-894B-4046-A7C7-CBDB87803D1C}">
  <dimension ref="A1:F21"/>
  <sheetViews>
    <sheetView workbookViewId="0">
      <selection sqref="A1:A3"/>
    </sheetView>
  </sheetViews>
  <sheetFormatPr defaultRowHeight="15"/>
  <cols>
    <col min="1" max="1" width="46.42578125" style="36" customWidth="1"/>
    <col min="2" max="2" width="15" bestFit="1" customWidth="1"/>
    <col min="3" max="3" width="81.28515625" customWidth="1"/>
    <col min="4" max="4" width="12.28515625" bestFit="1" customWidth="1"/>
    <col min="5" max="5" width="18.28515625" bestFit="1" customWidth="1"/>
    <col min="6" max="6" width="18.5703125" bestFit="1" customWidth="1"/>
  </cols>
  <sheetData>
    <row r="1" spans="1:4">
      <c r="A1" s="72" t="s">
        <v>227</v>
      </c>
      <c r="B1" s="34" t="s">
        <v>228</v>
      </c>
      <c r="C1" s="34" t="s">
        <v>229</v>
      </c>
      <c r="D1" s="34" t="s">
        <v>139</v>
      </c>
    </row>
    <row r="2" spans="1:4">
      <c r="A2" s="72"/>
      <c r="B2" s="33" t="s">
        <v>230</v>
      </c>
      <c r="C2" s="33" t="s">
        <v>231</v>
      </c>
    </row>
    <row r="3" spans="1:4">
      <c r="A3" s="72"/>
      <c r="B3" s="33" t="s">
        <v>232</v>
      </c>
      <c r="C3" s="33" t="s">
        <v>233</v>
      </c>
    </row>
    <row r="5" spans="1:4">
      <c r="A5" s="72" t="s">
        <v>234</v>
      </c>
      <c r="B5" s="34" t="s">
        <v>228</v>
      </c>
      <c r="C5" s="34" t="s">
        <v>235</v>
      </c>
    </row>
    <row r="6" spans="1:4">
      <c r="A6" s="72"/>
      <c r="B6" s="35" t="s">
        <v>236</v>
      </c>
      <c r="C6" s="35" t="s">
        <v>237</v>
      </c>
    </row>
    <row r="7" spans="1:4">
      <c r="A7" s="72"/>
      <c r="B7" s="33" t="s">
        <v>232</v>
      </c>
      <c r="C7" s="33" t="s">
        <v>233</v>
      </c>
    </row>
    <row r="9" spans="1:4">
      <c r="A9" s="73" t="s">
        <v>238</v>
      </c>
      <c r="B9" s="34" t="s">
        <v>228</v>
      </c>
      <c r="C9" s="34" t="s">
        <v>235</v>
      </c>
    </row>
    <row r="10" spans="1:4">
      <c r="A10" s="73"/>
      <c r="B10" s="35" t="s">
        <v>236</v>
      </c>
      <c r="C10" s="35" t="s">
        <v>237</v>
      </c>
    </row>
    <row r="11" spans="1:4">
      <c r="A11" s="73"/>
      <c r="B11" s="33" t="s">
        <v>232</v>
      </c>
      <c r="C11" s="33" t="s">
        <v>233</v>
      </c>
    </row>
    <row r="13" spans="1:4">
      <c r="A13" s="73" t="s">
        <v>239</v>
      </c>
      <c r="B13" s="34" t="s">
        <v>228</v>
      </c>
      <c r="C13" s="34" t="s">
        <v>235</v>
      </c>
    </row>
    <row r="14" spans="1:4">
      <c r="A14" s="73"/>
      <c r="B14" s="35" t="s">
        <v>236</v>
      </c>
      <c r="C14" s="35" t="s">
        <v>237</v>
      </c>
    </row>
    <row r="15" spans="1:4">
      <c r="A15" s="73"/>
      <c r="B15" s="35" t="s">
        <v>240</v>
      </c>
      <c r="C15" s="35" t="s">
        <v>241</v>
      </c>
    </row>
    <row r="18" spans="1:6">
      <c r="A18" s="74" t="s">
        <v>242</v>
      </c>
      <c r="B18" s="34" t="s">
        <v>228</v>
      </c>
      <c r="C18" s="34" t="s">
        <v>235</v>
      </c>
    </row>
    <row r="19" spans="1:6">
      <c r="A19" s="74"/>
      <c r="B19" s="33" t="s">
        <v>230</v>
      </c>
      <c r="C19" s="33" t="s">
        <v>231</v>
      </c>
    </row>
    <row r="20" spans="1:6">
      <c r="A20" s="74"/>
      <c r="B20" s="35" t="s">
        <v>240</v>
      </c>
      <c r="C20" s="35" t="s">
        <v>241</v>
      </c>
    </row>
    <row r="21" spans="1:6">
      <c r="A21" s="70"/>
      <c r="B21" s="33"/>
      <c r="C21" s="33"/>
      <c r="D21" s="33"/>
      <c r="E21" s="33"/>
      <c r="F21" s="33"/>
    </row>
  </sheetData>
  <mergeCells count="5">
    <mergeCell ref="A18:A20"/>
    <mergeCell ref="A1:A3"/>
    <mergeCell ref="A5:A7"/>
    <mergeCell ref="A9:A11"/>
    <mergeCell ref="A13:A1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88343-1E5F-44FF-92E6-FB42467FF7BC}">
  <dimension ref="A1:H6"/>
  <sheetViews>
    <sheetView workbookViewId="0">
      <selection activeCell="H4" sqref="H4"/>
    </sheetView>
  </sheetViews>
  <sheetFormatPr defaultRowHeight="15"/>
  <cols>
    <col min="1" max="1" width="19.5703125" bestFit="1" customWidth="1"/>
  </cols>
  <sheetData>
    <row r="1" spans="1:8">
      <c r="A1" t="s">
        <v>21</v>
      </c>
      <c r="C1" t="s">
        <v>243</v>
      </c>
      <c r="F1" t="s">
        <v>163</v>
      </c>
    </row>
    <row r="2" spans="1:8">
      <c r="A2" t="s">
        <v>244</v>
      </c>
      <c r="C2" t="s">
        <v>245</v>
      </c>
      <c r="F2" t="s">
        <v>15</v>
      </c>
      <c r="H2" t="s">
        <v>14</v>
      </c>
    </row>
    <row r="3" spans="1:8">
      <c r="A3" t="s">
        <v>41</v>
      </c>
      <c r="C3" t="s">
        <v>246</v>
      </c>
      <c r="F3" t="s">
        <v>29</v>
      </c>
      <c r="H3" t="s">
        <v>28</v>
      </c>
    </row>
    <row r="4" spans="1:8">
      <c r="C4" t="s">
        <v>16</v>
      </c>
    </row>
    <row r="5" spans="1:8">
      <c r="C5" t="s">
        <v>247</v>
      </c>
    </row>
    <row r="6" spans="1:8">
      <c r="C6" t="s">
        <v>36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9065daa-3ce8-4783-94b0-fa366394ba57" xsi:nil="true"/>
    <_x0023_ xmlns="3d05c41d-42c7-4345-8236-8005f0c89855" xsi:nil="true"/>
    <xvqq xmlns="3d05c41d-42c7-4345-8236-8005f0c89855">4</xvqq>
    <Notes xmlns="3d05c41d-42c7-4345-8236-8005f0c89855">Dev: SM | BSA: MU</Notes>
    <lcf76f155ced4ddcb4097134ff3c332f xmlns="3d05c41d-42c7-4345-8236-8005f0c8985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B81500CF7E3342BB627D73BF202A2F" ma:contentTypeVersion="20" ma:contentTypeDescription="Create a new document." ma:contentTypeScope="" ma:versionID="c440862435ae5f1402e2920a3a7191c5">
  <xsd:schema xmlns:xsd="http://www.w3.org/2001/XMLSchema" xmlns:xs="http://www.w3.org/2001/XMLSchema" xmlns:p="http://schemas.microsoft.com/office/2006/metadata/properties" xmlns:ns2="3d05c41d-42c7-4345-8236-8005f0c89855" xmlns:ns3="29065daa-3ce8-4783-94b0-fa366394ba57" targetNamespace="http://schemas.microsoft.com/office/2006/metadata/properties" ma:root="true" ma:fieldsID="2bf8694c23d5c530edc75ea2c66d63e8" ns2:_="" ns3:_="">
    <xsd:import namespace="3d05c41d-42c7-4345-8236-8005f0c89855"/>
    <xsd:import namespace="29065daa-3ce8-4783-94b0-fa366394ba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_x0023_" minOccurs="0"/>
                <xsd:element ref="ns2:xvqq"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Not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5c41d-42c7-4345-8236-8005f0c8985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_x0023_" ma:index="14" nillable="true" ma:displayName="#" ma:format="Dropdown" ma:internalName="_x0023_" ma:percentage="FALSE">
      <xsd:simpleType>
        <xsd:restriction base="dms:Number"/>
      </xsd:simpleType>
    </xsd:element>
    <xsd:element name="xvqq" ma:index="15" nillable="true" ma:displayName="Number" ma:format="Dropdown" ma:internalName="xvqq" ma:percentage="FALSE">
      <xsd:simpleType>
        <xsd:restriction base="dms:Number"/>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4ec475d-60a2-43c9-b028-7bc66b519fb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s" ma:index="24" nillable="true" ma:displayName="Notes" ma:format="Dropdown" ma:internalName="Notes">
      <xsd:simpleType>
        <xsd:restriction base="dms:Note"/>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9065daa-3ce8-4783-94b0-fa366394ba5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4015a18-bcff-4be0-ac30-705c07765b3f}" ma:internalName="TaxCatchAll" ma:showField="CatchAllData" ma:web="29065daa-3ce8-4783-94b0-fa366394ba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395752-602C-4BCF-A140-AC42A307F4E0}"/>
</file>

<file path=customXml/itemProps2.xml><?xml version="1.0" encoding="utf-8"?>
<ds:datastoreItem xmlns:ds="http://schemas.openxmlformats.org/officeDocument/2006/customXml" ds:itemID="{436EB869-DBD2-4C17-8A3C-0D2DCF193F08}"/>
</file>

<file path=customXml/itemProps3.xml><?xml version="1.0" encoding="utf-8"?>
<ds:datastoreItem xmlns:ds="http://schemas.openxmlformats.org/officeDocument/2006/customXml" ds:itemID="{1CAC37EF-58AD-429F-9528-7B471D938870}"/>
</file>

<file path=docProps/app.xml><?xml version="1.0" encoding="utf-8"?>
<Properties xmlns="http://schemas.openxmlformats.org/officeDocument/2006/extended-properties" xmlns:vt="http://schemas.openxmlformats.org/officeDocument/2006/docPropsVTypes">
  <Application>Microsoft Excel Online</Application>
  <Manager/>
  <Company>Orange County Superior Court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Uyehara</dc:creator>
  <cp:keywords/>
  <dc:description/>
  <cp:lastModifiedBy>Melanie Uyehara</cp:lastModifiedBy>
  <cp:revision/>
  <dcterms:created xsi:type="dcterms:W3CDTF">2025-10-01T18:45:47Z</dcterms:created>
  <dcterms:modified xsi:type="dcterms:W3CDTF">2026-02-12T00:19:06Z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0x01010055B81500CF7E3342BB627D73BF202A2F</vt:lpwstr>
  </property>
  <property fmtid="{D5CDD505-2E9C-101B-9397-08002B2CF9AE}" pid="3" name="MediaServiceImageTags">
    <vt:lpwstr/>
  </property>
</Properties>
</file>