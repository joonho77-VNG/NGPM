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777" documentId="8_{5F08A1FA-D840-49F6-B16F-CDC1B5599D8C}" xr6:coauthVersionLast="47" xr6:coauthVersionMax="47" xr10:uidLastSave="{67EFA928-6E53-4C88-AFAE-7D76869682FE}"/>
  <bookViews>
    <workbookView xWindow="51480" yWindow="-2160" windowWidth="21840" windowHeight="37920" firstSheet="1" activeTab="1" xr2:uid="{7496AAB9-9610-4154-B91D-ED1C66077D08}"/>
  </bookViews>
  <sheets>
    <sheet name="SUMMARY" sheetId="5" r:id="rId1"/>
    <sheet name="DEFECTS" sheetId="1" r:id="rId2"/>
    <sheet name="NG Links" sheetId="4" r:id="rId3"/>
    <sheet name="Sheet2" sheetId="3" state="hidden" r:id="rId4"/>
  </sheets>
  <definedNames>
    <definedName name="_xlnm._FilterDatabase" localSheetId="1" hidden="1">DEFECTS!$A$1:$O$12</definedName>
  </definedNames>
  <calcPr calcId="191028"/>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<sst xmlns="http://schemas.openxmlformats.org/spreadsheetml/2006/main" count="226" uniqueCount="108">
  <si>
    <t>QA Cycle 1 -  8:00 hrs</t>
  </si>
  <si>
    <t>Count of Scenario Type</t>
  </si>
  <si>
    <t>Column Labels</t>
  </si>
  <si>
    <t>Row Labels</t>
  </si>
  <si>
    <t>New</t>
  </si>
  <si>
    <t>Grand Total</t>
  </si>
  <si>
    <t>Functionality</t>
  </si>
  <si>
    <t>Major</t>
  </si>
  <si>
    <t>UI</t>
  </si>
  <si>
    <t>Minor</t>
  </si>
  <si>
    <t>QA Cycle 2 -  2:00 hrs</t>
  </si>
  <si>
    <t>No Action</t>
  </si>
  <si>
    <t>Resolved</t>
  </si>
  <si>
    <t>ID</t>
  </si>
  <si>
    <t>QA
Cycle</t>
  </si>
  <si>
    <t>Date Tested</t>
  </si>
  <si>
    <t>Interface</t>
  </si>
  <si>
    <t>Scenario Type</t>
  </si>
  <si>
    <t>Bug Type</t>
  </si>
  <si>
    <t>Status</t>
  </si>
  <si>
    <t>Window
Section(s)</t>
  </si>
  <si>
    <t>Summary</t>
  </si>
  <si>
    <t>Defect
(NG Display, Scenario)</t>
  </si>
  <si>
    <t>Testing Comments</t>
  </si>
  <si>
    <t>Date
Retest</t>
  </si>
  <si>
    <t>Retest
Pass/Fail</t>
  </si>
  <si>
    <t>BSA Comments</t>
  </si>
  <si>
    <t>Dev Comments</t>
  </si>
  <si>
    <t>Both</t>
  </si>
  <si>
    <t>Case Search Dialog</t>
  </si>
  <si>
    <t>JBSIS Maintenance window opens different search dialog boxes.</t>
  </si>
  <si>
    <t xml:space="preserve">Legacy opens "Simple Case Search", but NG opens "Case Search".
Web opens "Case/Person Search", which results match "Simple Case Search".  Should it be "Simple Case Search" dialog box?
Dialog box title should match.
</t>
  </si>
  <si>
    <t>26WM06947 - Mota, Esteban Antonio</t>
  </si>
  <si>
    <t>Pass with Comments</t>
  </si>
  <si>
    <t>No Retest needed</t>
  </si>
  <si>
    <t>9/3: This has been standardized for now, will not address.</t>
  </si>
  <si>
    <t>Web Only</t>
  </si>
  <si>
    <t>No outlines for buttons on the footer for Search dialog box</t>
  </si>
  <si>
    <t xml:space="preserve">Outlines are needed to visually define the buttons in the footer of the Search dialog box. The Select button turns blue when a row is chosen, but it’s missing the outline that identifies it as a button.  Add outlines for all buttons.
</t>
  </si>
  <si>
    <t>M-88%</t>
  </si>
  <si>
    <t>Case search latency</t>
  </si>
  <si>
    <t xml:space="preserve">When a case search returns results, there is noticeable latency. The initial search displays "No records to display" by default, and this message remains visible during the search, which can be unclear. It may be helpful to show a "Loading" or "Searching" indicator during the search process.
</t>
  </si>
  <si>
    <t>14NF2082 - Cargill, Morais Seymour</t>
  </si>
  <si>
    <t>Filters &amp; Section widths</t>
  </si>
  <si>
    <t xml:space="preserve">Expand section widths for JBSIS Category, JBSIS Disposition Qualifier, and Counts &amp; Sentence Summary
</t>
  </si>
  <si>
    <t xml:space="preserve">Expand section widths for JBSIS Category, JBSIS Disposition Qualifier, and Counts &amp; Sentence Summary to properly display data.  
Filters/sorting can be removed only from Counts &amp; Sentence Summary section to accommodate the width expansion.
</t>
  </si>
  <si>
    <t>Pass</t>
  </si>
  <si>
    <t>9/2: Discuss, real estate is tight, are we okay with horizontal bars? I tried to avoid it where possible.</t>
  </si>
  <si>
    <t>JBSIS Petition</t>
  </si>
  <si>
    <t>Configuration mode intiated by double-clicking instead.</t>
  </si>
  <si>
    <t>Remove double-clicking and allow configuration mode to be the intial default view similar to JBSIS Header section.</t>
  </si>
  <si>
    <t>9/2: Discuss, we don't typically do this for our grids, we use edit mode to modify an entry.</t>
  </si>
  <si>
    <t>JBSIS Search</t>
  </si>
  <si>
    <t>JBSIS Search fields row separation.</t>
  </si>
  <si>
    <t xml:space="preserve">Separate the fields in two rows.  2nd row should include "Case Status", "Case Stage", and "Rel. Status".
</t>
  </si>
  <si>
    <t>9/3: Done, took a row away from JBSIS Petition to make room since that grid is sparse.</t>
  </si>
  <si>
    <t>Fix bionocular button placement</t>
  </si>
  <si>
    <t xml:space="preserve">Binocular button should be placed right of Adult/Juvey indicator.
</t>
  </si>
  <si>
    <t>9/3: Done, no longer using Defendant Name from the common object, using my own.</t>
  </si>
  <si>
    <t>Name fields expand width</t>
  </si>
  <si>
    <t xml:space="preserve">Expand the Name field by an additional 50% to properly display defendants with long names, similar to how the legacy version supports showing extended names.
Can width be responsive to the width of the data in the field?
</t>
  </si>
  <si>
    <t xml:space="preserve">P61086 - Hernandezrenteria, Luis Emmanuelle </t>
  </si>
  <si>
    <t>Case Status and Rel. Status fields expand width</t>
  </si>
  <si>
    <t xml:space="preserve">Expand the Case Status and Rel. Status fields to properly display data, similar to how the legacy version supports showing extended names.
Can width be responsive to the width of the data in the field?
</t>
  </si>
  <si>
    <t>9/3: Done, used extra space from having a second row in JBSIS Search.</t>
  </si>
  <si>
    <t>JBSIS Search and JBSIS Header</t>
  </si>
  <si>
    <t>Fix JBSIS Search and JBSIS Header sections alignment to left.</t>
  </si>
  <si>
    <t>9/3: Done</t>
  </si>
  <si>
    <t>Window Heights</t>
  </si>
  <si>
    <t xml:space="preserve">Expand down heights from JBSIS Control section </t>
  </si>
  <si>
    <t xml:space="preserve">Extend the height line starting from the JBSIS Control section downward to 50% and from the JBSIS Report Detail section downward to 100%, so it fills the full available height.
</t>
  </si>
  <si>
    <t>25CF5059 - Ramirez, Mario</t>
  </si>
  <si>
    <t>9/2: Discuss, I set constant grid heights because we use it for our Next and Prev navigations. I can adjust the proportions but having them react to the window we should not do. I set the heights so that on my laptop (my smallest screen) everything fits.</t>
  </si>
  <si>
    <t>UAT</t>
  </si>
  <si>
    <t>JBSIS Report Detail</t>
  </si>
  <si>
    <t>Expand "Yr" column</t>
  </si>
  <si>
    <t>"Yr" column header should be "Year".  Otherwise, "YY"</t>
  </si>
  <si>
    <t>9/22: Done, other columns that are truncated have a tooltip.</t>
  </si>
  <si>
    <t>Expand section width of JBSIS Report Detail</t>
  </si>
  <si>
    <t>Expand section width of "JBSIS Report Detail" and reduce width of "Count &amp; Sentence Summary"</t>
  </si>
  <si>
    <t>9/22: Done, able to fit Month and Year without needing to take from right side.</t>
  </si>
  <si>
    <t>JBSIS Header
JBSIS Petition
JBSIS Control
JBSIS Category</t>
  </si>
  <si>
    <t>Format should match from gridline to forms</t>
  </si>
  <si>
    <t>Match the format as forms  (Pending decision from Ops)</t>
  </si>
  <si>
    <t>JBSIS Header and JBSIS Petition fields should be consistent.  Double-click to edit.  JBSIS Petition section should not be pre-selected to show dark blue background.</t>
  </si>
  <si>
    <t>9/22: Header is now a datagrid like Petition, both have same height since both only can have 1 row. Gave both little extra room so when going into edit mode it smoothly fits without a vertical scrollbar and they can still click out, also got rid of filtering and sorting on petition since it's one row only.</t>
  </si>
  <si>
    <t>N/A</t>
  </si>
  <si>
    <t>Window Open</t>
  </si>
  <si>
    <t>NCIC popup appears</t>
  </si>
  <si>
    <t>NCIC popup appears when searching for NCIC cases</t>
  </si>
  <si>
    <t>Base class configuration. Jorge will work on this defect</t>
  </si>
  <si>
    <t>Regression</t>
  </si>
  <si>
    <t>Sentence record</t>
  </si>
  <si>
    <t>Incorrect sentence record is displaying</t>
  </si>
  <si>
    <t xml:space="preserve">Sentence record that are not associated to the case is displaying
</t>
  </si>
  <si>
    <t>ST</t>
  </si>
  <si>
    <t>https://visionngst.occourts.org/Account/login</t>
  </si>
  <si>
    <t>QA</t>
  </si>
  <si>
    <t>https://visionngqa.occourts.org/Account/login</t>
  </si>
  <si>
    <t>D2</t>
  </si>
  <si>
    <t>https://visionngpreprod.occourts.org/account/login</t>
  </si>
  <si>
    <t>Fail</t>
  </si>
  <si>
    <t>Retest In Progress</t>
  </si>
  <si>
    <t>Return to Dev</t>
  </si>
  <si>
    <t>[UAT #4] Previous AR (VISAR-7212) was submitted to have tool tip on JBSIS Report Detail rows so that if user...</t>
  </si>
  <si>
    <t>Previous AR (VISAR-7212) was submitted to have tool tip on JBSIS Report Detail rows so that if user hovers over number in the row, it would provide a description of what it is; AR was canceled as it was to be addressed in NG migration and is missing from NG window</t>
  </si>
  <si>
    <t>From UAT Defect Log - JBSIS MAINTENANCE #4 (Operations; reporter MU; tester KA; severity Medium; UAT iteration 2).</t>
  </si>
  <si>
    <t>Tooltip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</si>
</sst>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u/>
      <sz val="11"/>
      <color theme="10"/>
      <name val="Aptos Narrow"/>
      <family val="2"/>
      <scheme val="minor"/>
    </font>
    <font>
      <b/>
      <sz val="14"/>
      <color rgb="FFFFFFFF"/>
      <name val="Aptos Narrow"/>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rgb="FF0070C0"/>
        <bgColor rgb="FF000000"/>
      </patternFill>
    </fill>
    <fill>
      <patternFill patternType="solid">
        <fgColor theme="9" tint="0.79998168889431442"/>
        <bgColor indexed="64"/>
      </patternFill>
    </fill>
    <fill>
      <patternFill patternType="solid">
        <fgColor theme="7" tint="0.79998168889431442"/>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diagonal/>
    </border>
  </borders>
  <cellStyleXfs count="2">
    <xf numFmtId="0" fontId="0" fillId="0" borderId="0"/>
    <xf numFmtId="0" fontId="6" fillId="0" borderId="0" applyNumberFormat="0" applyFill="0" applyBorder="0" applyAlignment="0" applyProtection="0"/>
  </cellStyleXfs>
  <cellXfs count="55">
    <xf numFmtId="0" fontId="0" fillId="0" borderId="0" xfId="0"/>
    <xf numFmtId="0" fontId="3" fillId="0" borderId="0" xfId="0" applyFont="1"/>
    <xf numFmtId="0" fontId="3" fillId="0" borderId="0" xfId="0" applyFont="1" applyAlignment="1">
      <alignment horizontal="left" vertical="top" wrapText="1"/>
    </xf>
    <xf numFmtId="0" fontId="3" fillId="0" borderId="0" xfId="0" applyFont="1" applyAlignment="1">
      <alignment vertical="top"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3" fillId="0" borderId="0" xfId="0" applyFont="1" applyAlignment="1">
      <alignment vertical="top"/>
    </xf>
    <xf numFmtId="164" fontId="3" fillId="0" borderId="0" xfId="0" applyNumberFormat="1" applyFont="1" applyAlignment="1">
      <alignment horizontal="center" vertical="top"/>
    </xf>
    <xf numFmtId="0" fontId="6" fillId="0" borderId="0" xfId="1"/>
    <xf numFmtId="0" fontId="4" fillId="0" borderId="1" xfId="0" applyFont="1" applyBorder="1" applyAlignment="1">
      <alignment vertical="top" wrapText="1"/>
    </xf>
    <xf numFmtId="0" fontId="2" fillId="0" borderId="0" xfId="0" applyFont="1"/>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4"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4" fillId="0" borderId="0" xfId="0" applyFont="1" applyAlignment="1">
      <alignment horizontal="left" vertical="top" wrapText="1"/>
    </xf>
    <xf numFmtId="0" fontId="4" fillId="0" borderId="0" xfId="0" applyFont="1" applyAlignment="1">
      <alignment vertical="top"/>
    </xf>
    <xf numFmtId="0" fontId="3" fillId="0" borderId="0" xfId="0" applyFont="1" applyAlignment="1">
      <alignment horizontal="center" vertical="top"/>
    </xf>
    <xf numFmtId="0" fontId="1" fillId="0" borderId="1" xfId="0" applyFont="1" applyBorder="1" applyAlignment="1">
      <alignment horizontal="left" vertical="top"/>
    </xf>
    <xf numFmtId="0" fontId="4" fillId="0" borderId="1" xfId="0" applyFont="1" applyBorder="1" applyAlignment="1">
      <alignment horizontal="left" vertical="top"/>
    </xf>
    <xf numFmtId="0" fontId="1" fillId="0" borderId="0" xfId="0" applyFont="1"/>
    <xf numFmtId="0" fontId="1"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 fillId="0" borderId="3" xfId="0" applyFont="1" applyBorder="1" applyAlignment="1">
      <alignment horizontal="center" vertical="top" wrapText="1"/>
    </xf>
    <xf numFmtId="0" fontId="4" fillId="0" borderId="3" xfId="0" applyFont="1" applyBorder="1" applyAlignment="1">
      <alignment horizontal="center" vertical="top" wrapText="1"/>
    </xf>
    <xf numFmtId="164" fontId="4" fillId="0" borderId="3" xfId="0" applyNumberFormat="1" applyFont="1" applyBorder="1" applyAlignment="1">
      <alignment horizontal="center" vertical="top"/>
    </xf>
    <xf numFmtId="0" fontId="4" fillId="0" borderId="3" xfId="0" applyFont="1" applyBorder="1" applyAlignment="1">
      <alignment horizontal="left" vertical="top"/>
    </xf>
    <xf numFmtId="0" fontId="4" fillId="0" borderId="3" xfId="0" applyFont="1" applyBorder="1" applyAlignment="1">
      <alignment horizontal="left" vertical="top" wrapText="1"/>
    </xf>
    <xf numFmtId="164" fontId="4" fillId="0" borderId="3" xfId="0" applyNumberFormat="1" applyFont="1" applyBorder="1" applyAlignment="1">
      <alignment horizontal="center" vertical="top" wrapText="1"/>
    </xf>
    <xf numFmtId="0" fontId="1" fillId="0" borderId="3" xfId="0" applyFont="1" applyBorder="1" applyAlignment="1">
      <alignment horizontal="left" vertical="top" wrapText="1"/>
    </xf>
    <xf numFmtId="0" fontId="4" fillId="0" borderId="3" xfId="0" applyFont="1" applyBorder="1" applyAlignment="1">
      <alignment vertical="top" wrapText="1"/>
    </xf>
    <xf numFmtId="0" fontId="4" fillId="5" borderId="3" xfId="0" applyFont="1" applyFill="1" applyBorder="1" applyAlignment="1">
      <alignment horizontal="left" vertical="top" wrapText="1"/>
    </xf>
    <xf numFmtId="0" fontId="1" fillId="0" borderId="0" xfId="0" applyFont="1" applyAlignment="1">
      <alignment vertical="top"/>
    </xf>
    <xf numFmtId="0" fontId="1" fillId="0" borderId="0" xfId="0" applyFont="1" applyAlignment="1">
      <alignment horizontal="left" vertical="top" wrapText="1"/>
    </xf>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1" fillId="0" borderId="2" xfId="0" applyFont="1" applyBorder="1" applyAlignment="1">
      <alignment vertical="top"/>
    </xf>
    <xf numFmtId="0" fontId="1" fillId="0" borderId="2" xfId="0" applyFont="1" applyBorder="1" applyAlignment="1">
      <alignment vertical="top" wrapText="1"/>
    </xf>
    <xf numFmtId="164" fontId="1" fillId="0" borderId="2" xfId="0" applyNumberFormat="1" applyFont="1" applyBorder="1" applyAlignment="1">
      <alignment horizontal="center" vertical="top"/>
    </xf>
    <xf numFmtId="0" fontId="1" fillId="0" borderId="0" xfId="0" applyFont="1" applyAlignment="1">
      <alignment horizontal="center" vertical="top"/>
    </xf>
    <xf numFmtId="0" fontId="1" fillId="0" borderId="0" xfId="0" applyFont="1" applyAlignment="1">
      <alignment vertical="top" wrapText="1"/>
    </xf>
    <xf numFmtId="164" fontId="1" fillId="0" borderId="0" xfId="0" applyNumberFormat="1" applyFont="1" applyAlignment="1">
      <alignment horizontal="center" vertical="top"/>
    </xf>
    <xf numFmtId="0" fontId="1" fillId="4" borderId="2" xfId="0" applyFont="1" applyFill="1" applyBorder="1" applyAlignment="1">
      <alignment vertical="top" wrapText="1"/>
    </xf>
    <xf numFmtId="0" fontId="7" fillId="3" borderId="0" xfId="0" applyFont="1" applyFill="1" applyAlignment="1">
      <alignment horizontal="center" vertical="center"/>
    </xf>
  </cellXfs>
  <cellStyles count="2">
    <cellStyle name="Hyperlink" xfId="1" builtinId="8"/>
    <cellStyle name="Normal" xfId="0" builtinId="0"/>
  </cellStyles>
  <dxfs count="14">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Chang" refreshedDate="46267.713209259258" createdVersion="8" refreshedVersion="8" minRefreshableVersion="3" recordCount="51" xr:uid="{E8ABE6D0-F37F-442B-8F01-F11147D022E5}">
  <cacheSource type="worksheet">
    <worksheetSource ref="A1:H1048576" sheet="DEFECTS"/>
  </cacheSource>
  <cacheFields count="10">
    <cacheField name="ID" numFmtId="0">
      <sharedItems containsString="0" containsBlank="1" containsNumber="1" containsInteger="1" minValue="1" maxValue="50"/>
    </cacheField>
    <cacheField name="QA_x000a_Cycle" numFmtId="0">
      <sharedItems containsString="0" containsBlank="1" containsNumber="1" containsInteger="1" minValue="1" maxValue="1"/>
    </cacheField>
    <cacheField name="Date Tested" numFmtId="0">
      <sharedItems containsNonDate="0" containsDate="1" containsString="0" containsBlank="1" minDate="2026-08-26T00:00:00" maxDate="2026-09-03T00:00:00" count="4">
        <d v="2026-09-01T00:00:00"/>
        <d v="2026-09-02T00:00:00"/>
        <d v="2026-08-26T00:00:00"/>
        <m/>
      </sharedItems>
      <fieldGroup par="9"/>
    </cacheField>
    <cacheField name="Interface" numFmtId="0">
      <sharedItems containsBlank="1"/>
    </cacheField>
    <cacheField name="Scenario Type" numFmtId="0">
      <sharedItems containsBlank="1" count="3">
        <s v="Functionality"/>
        <s v="UI"/>
        <m/>
      </sharedItems>
    </cacheField>
    <cacheField name="Bug Type" numFmtId="0">
      <sharedItems containsBlank="1" count="3">
        <s v="Major"/>
        <s v="Minor"/>
        <m/>
      </sharedItems>
    </cacheField>
    <cacheField name="Status" numFmtId="0">
      <sharedItems containsBlank="1" count="2">
        <s v="New"/>
        <m/>
      </sharedItems>
    </cacheField>
    <cacheField name="Window_x000a_Section(s)" numFmtId="0">
      <sharedItems containsBlank="1"/>
    </cacheField>
    <cacheField name="Days (Date Tested)" numFmtId="0" databaseField="0">
      <fieldGroup base="2">
        <rangePr groupBy="days" startDate="2026-08-26T00:00:00" endDate="2026-09-03T00:00:00"/>
        <groupItems count="368">
          <s v="&lt;8/26/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3/2026"/>
        </groupItems>
      </fieldGroup>
    </cacheField>
    <cacheField name="Months (Date Tested)" numFmtId="0" databaseField="0">
      <fieldGroup base="2">
        <rangePr groupBy="months" startDate="2026-08-26T00:00:00" endDate="2026-09-03T00:00:00"/>
        <groupItems count="14">
          <s v="&lt;8/26/2026"/>
          <s v="Jan"/>
          <s v="Feb"/>
          <s v="Mar"/>
          <s v="Apr"/>
          <s v="May"/>
          <s v="Jun"/>
          <s v="Jul"/>
          <s v="Aug"/>
          <s v="Sep"/>
          <s v="Oct"/>
          <s v="Nov"/>
          <s v="Dec"/>
          <s v="&gt;9/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Chang" refreshedDate="46269.491085995367" createdVersion="8" refreshedVersion="8" minRefreshableVersion="3" recordCount="11" xr:uid="{679E4968-7DB0-4FE3-9ACE-B52ED17648D0}">
  <cacheSource type="worksheet">
    <worksheetSource ref="A1:H12" sheet="DEFECTS"/>
  </cacheSource>
  <cacheFields count="8">
    <cacheField name="ID" numFmtId="0">
      <sharedItems containsSemiMixedTypes="0" containsString="0" containsNumber="1" containsInteger="1" minValue="1" maxValue="11"/>
    </cacheField>
    <cacheField name="QA_x000a_Cycle" numFmtId="0">
      <sharedItems containsSemiMixedTypes="0" containsString="0" containsNumber="1" containsInteger="1" minValue="1" maxValue="1"/>
    </cacheField>
    <cacheField name="Date Tested" numFmtId="164">
      <sharedItems containsSemiMixedTypes="0" containsNonDate="0" containsDate="1" containsString="0" minDate="2026-08-26T00:00:00" maxDate="2026-09-03T00:00:00"/>
    </cacheField>
    <cacheField name="Interface" numFmtId="164">
      <sharedItems/>
    </cacheField>
    <cacheField name="Scenario Type" numFmtId="0">
      <sharedItems count="2">
        <s v="Functionality"/>
        <s v="UI"/>
      </sharedItems>
    </cacheField>
    <cacheField name="Bug Type" numFmtId="0">
      <sharedItems count="2">
        <s v="Major"/>
        <s v="Minor"/>
      </sharedItems>
    </cacheField>
    <cacheField name="Status" numFmtId="0">
      <sharedItems count="2">
        <s v="No Action"/>
        <s v="Resolved"/>
      </sharedItems>
    </cacheField>
    <cacheField name="Window_x000a_Section(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n v="1"/>
    <x v="0"/>
    <s v="Both"/>
    <x v="0"/>
    <x v="0"/>
    <x v="0"/>
    <s v="Case Search Dialog"/>
  </r>
  <r>
    <n v="2"/>
    <n v="1"/>
    <x v="0"/>
    <s v="Web Only"/>
    <x v="1"/>
    <x v="1"/>
    <x v="0"/>
    <s v="Case Search Dialog"/>
  </r>
  <r>
    <n v="3"/>
    <n v="1"/>
    <x v="1"/>
    <s v="Web Only"/>
    <x v="1"/>
    <x v="1"/>
    <x v="0"/>
    <s v="Case Search Dialog"/>
  </r>
  <r>
    <n v="4"/>
    <n v="1"/>
    <x v="1"/>
    <s v="Both"/>
    <x v="1"/>
    <x v="1"/>
    <x v="0"/>
    <s v="Filters &amp; Section widths"/>
  </r>
  <r>
    <n v="5"/>
    <n v="1"/>
    <x v="0"/>
    <s v="Both"/>
    <x v="1"/>
    <x v="1"/>
    <x v="0"/>
    <s v="JBSIS Petition"/>
  </r>
  <r>
    <n v="6"/>
    <n v="1"/>
    <x v="2"/>
    <s v="Both"/>
    <x v="1"/>
    <x v="1"/>
    <x v="0"/>
    <s v="JBSIS Search"/>
  </r>
  <r>
    <n v="7"/>
    <n v="1"/>
    <x v="2"/>
    <s v="Both"/>
    <x v="1"/>
    <x v="1"/>
    <x v="0"/>
    <s v="JBSIS Search"/>
  </r>
  <r>
    <n v="8"/>
    <n v="1"/>
    <x v="1"/>
    <s v="Both"/>
    <x v="1"/>
    <x v="1"/>
    <x v="0"/>
    <s v="JBSIS Search"/>
  </r>
  <r>
    <n v="9"/>
    <n v="1"/>
    <x v="1"/>
    <s v="Both"/>
    <x v="1"/>
    <x v="1"/>
    <x v="0"/>
    <s v="JBSIS Search"/>
  </r>
  <r>
    <n v="10"/>
    <n v="1"/>
    <x v="2"/>
    <s v="Both"/>
    <x v="1"/>
    <x v="1"/>
    <x v="0"/>
    <s v="JBSIS Search and JBSIS Header"/>
  </r>
  <r>
    <n v="11"/>
    <n v="1"/>
    <x v="1"/>
    <s v="Both"/>
    <x v="1"/>
    <x v="1"/>
    <x v="0"/>
    <s v="Window Heights"/>
  </r>
  <r>
    <n v="12"/>
    <m/>
    <x v="3"/>
    <m/>
    <x v="2"/>
    <x v="2"/>
    <x v="1"/>
    <m/>
  </r>
  <r>
    <n v="13"/>
    <m/>
    <x v="3"/>
    <m/>
    <x v="2"/>
    <x v="2"/>
    <x v="1"/>
    <m/>
  </r>
  <r>
    <n v="14"/>
    <m/>
    <x v="3"/>
    <m/>
    <x v="2"/>
    <x v="2"/>
    <x v="1"/>
    <m/>
  </r>
  <r>
    <n v="15"/>
    <m/>
    <x v="3"/>
    <m/>
    <x v="2"/>
    <x v="2"/>
    <x v="1"/>
    <m/>
  </r>
  <r>
    <n v="16"/>
    <m/>
    <x v="3"/>
    <m/>
    <x v="2"/>
    <x v="2"/>
    <x v="1"/>
    <m/>
  </r>
  <r>
    <n v="17"/>
    <m/>
    <x v="3"/>
    <m/>
    <x v="2"/>
    <x v="2"/>
    <x v="1"/>
    <m/>
  </r>
  <r>
    <n v="18"/>
    <m/>
    <x v="3"/>
    <m/>
    <x v="2"/>
    <x v="2"/>
    <x v="1"/>
    <m/>
  </r>
  <r>
    <n v="19"/>
    <m/>
    <x v="3"/>
    <m/>
    <x v="2"/>
    <x v="2"/>
    <x v="1"/>
    <m/>
  </r>
  <r>
    <n v="20"/>
    <m/>
    <x v="3"/>
    <m/>
    <x v="2"/>
    <x v="2"/>
    <x v="1"/>
    <m/>
  </r>
  <r>
    <n v="21"/>
    <m/>
    <x v="3"/>
    <m/>
    <x v="2"/>
    <x v="2"/>
    <x v="1"/>
    <m/>
  </r>
  <r>
    <n v="22"/>
    <m/>
    <x v="3"/>
    <m/>
    <x v="2"/>
    <x v="2"/>
    <x v="1"/>
    <m/>
  </r>
  <r>
    <n v="23"/>
    <m/>
    <x v="3"/>
    <m/>
    <x v="2"/>
    <x v="2"/>
    <x v="1"/>
    <m/>
  </r>
  <r>
    <n v="24"/>
    <m/>
    <x v="3"/>
    <m/>
    <x v="2"/>
    <x v="2"/>
    <x v="1"/>
    <m/>
  </r>
  <r>
    <n v="25"/>
    <m/>
    <x v="3"/>
    <m/>
    <x v="2"/>
    <x v="2"/>
    <x v="1"/>
    <m/>
  </r>
  <r>
    <n v="26"/>
    <m/>
    <x v="3"/>
    <m/>
    <x v="2"/>
    <x v="2"/>
    <x v="1"/>
    <m/>
  </r>
  <r>
    <n v="27"/>
    <m/>
    <x v="3"/>
    <m/>
    <x v="2"/>
    <x v="2"/>
    <x v="1"/>
    <m/>
  </r>
  <r>
    <n v="28"/>
    <m/>
    <x v="3"/>
    <m/>
    <x v="2"/>
    <x v="2"/>
    <x v="1"/>
    <m/>
  </r>
  <r>
    <n v="29"/>
    <m/>
    <x v="3"/>
    <m/>
    <x v="2"/>
    <x v="2"/>
    <x v="1"/>
    <m/>
  </r>
  <r>
    <n v="30"/>
    <m/>
    <x v="3"/>
    <m/>
    <x v="2"/>
    <x v="2"/>
    <x v="1"/>
    <m/>
  </r>
  <r>
    <n v="31"/>
    <m/>
    <x v="3"/>
    <m/>
    <x v="2"/>
    <x v="2"/>
    <x v="1"/>
    <m/>
  </r>
  <r>
    <n v="32"/>
    <m/>
    <x v="3"/>
    <m/>
    <x v="2"/>
    <x v="2"/>
    <x v="1"/>
    <m/>
  </r>
  <r>
    <n v="33"/>
    <m/>
    <x v="3"/>
    <m/>
    <x v="2"/>
    <x v="2"/>
    <x v="1"/>
    <m/>
  </r>
  <r>
    <n v="34"/>
    <m/>
    <x v="3"/>
    <m/>
    <x v="2"/>
    <x v="2"/>
    <x v="1"/>
    <m/>
  </r>
  <r>
    <n v="35"/>
    <m/>
    <x v="3"/>
    <m/>
    <x v="2"/>
    <x v="2"/>
    <x v="1"/>
    <m/>
  </r>
  <r>
    <n v="36"/>
    <m/>
    <x v="3"/>
    <m/>
    <x v="2"/>
    <x v="2"/>
    <x v="1"/>
    <m/>
  </r>
  <r>
    <n v="37"/>
    <m/>
    <x v="3"/>
    <m/>
    <x v="2"/>
    <x v="2"/>
    <x v="1"/>
    <m/>
  </r>
  <r>
    <n v="38"/>
    <m/>
    <x v="3"/>
    <m/>
    <x v="2"/>
    <x v="2"/>
    <x v="1"/>
    <m/>
  </r>
  <r>
    <n v="39"/>
    <m/>
    <x v="3"/>
    <m/>
    <x v="2"/>
    <x v="2"/>
    <x v="1"/>
    <m/>
  </r>
  <r>
    <n v="40"/>
    <m/>
    <x v="3"/>
    <m/>
    <x v="2"/>
    <x v="2"/>
    <x v="1"/>
    <m/>
  </r>
  <r>
    <n v="41"/>
    <m/>
    <x v="3"/>
    <m/>
    <x v="2"/>
    <x v="2"/>
    <x v="1"/>
    <m/>
  </r>
  <r>
    <n v="42"/>
    <m/>
    <x v="3"/>
    <m/>
    <x v="2"/>
    <x v="2"/>
    <x v="1"/>
    <m/>
  </r>
  <r>
    <n v="43"/>
    <m/>
    <x v="3"/>
    <m/>
    <x v="2"/>
    <x v="2"/>
    <x v="1"/>
    <m/>
  </r>
  <r>
    <n v="44"/>
    <m/>
    <x v="3"/>
    <m/>
    <x v="2"/>
    <x v="2"/>
    <x v="1"/>
    <m/>
  </r>
  <r>
    <n v="45"/>
    <m/>
    <x v="3"/>
    <m/>
    <x v="2"/>
    <x v="2"/>
    <x v="1"/>
    <m/>
  </r>
  <r>
    <n v="46"/>
    <m/>
    <x v="3"/>
    <m/>
    <x v="2"/>
    <x v="2"/>
    <x v="1"/>
    <m/>
  </r>
  <r>
    <n v="47"/>
    <m/>
    <x v="3"/>
    <m/>
    <x v="2"/>
    <x v="2"/>
    <x v="1"/>
    <m/>
  </r>
  <r>
    <n v="48"/>
    <m/>
    <x v="3"/>
    <m/>
    <x v="2"/>
    <x v="2"/>
    <x v="1"/>
    <m/>
  </r>
  <r>
    <n v="49"/>
    <m/>
    <x v="3"/>
    <m/>
    <x v="2"/>
    <x v="2"/>
    <x v="1"/>
    <m/>
  </r>
  <r>
    <n v="50"/>
    <m/>
    <x v="3"/>
    <m/>
    <x v="2"/>
    <x v="2"/>
    <x v="1"/>
    <m/>
  </r>
  <r>
    <m/>
    <m/>
    <x v="3"/>
    <m/>
    <x v="2"/>
    <x v="2"/>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
    <n v="1"/>
    <d v="2026-09-01T00:00:00"/>
    <s v="Both"/>
    <x v="0"/>
    <x v="0"/>
    <x v="0"/>
    <s v="Case Search Dialog"/>
  </r>
  <r>
    <n v="2"/>
    <n v="1"/>
    <d v="2026-09-01T00:00:00"/>
    <s v="Web Only"/>
    <x v="1"/>
    <x v="1"/>
    <x v="0"/>
    <s v="Case Search Dialog"/>
  </r>
  <r>
    <n v="3"/>
    <n v="1"/>
    <d v="2026-09-02T00:00:00"/>
    <s v="Web Only"/>
    <x v="1"/>
    <x v="1"/>
    <x v="0"/>
    <s v="Case Search Dialog"/>
  </r>
  <r>
    <n v="4"/>
    <n v="1"/>
    <d v="2026-09-02T00:00:00"/>
    <s v="Both"/>
    <x v="1"/>
    <x v="1"/>
    <x v="1"/>
    <s v="Filters &amp; Section widths"/>
  </r>
  <r>
    <n v="5"/>
    <n v="1"/>
    <d v="2026-09-01T00:00:00"/>
    <s v="Both"/>
    <x v="1"/>
    <x v="1"/>
    <x v="1"/>
    <s v="JBSIS Petition"/>
  </r>
  <r>
    <n v="6"/>
    <n v="1"/>
    <d v="2026-08-26T00:00:00"/>
    <s v="Both"/>
    <x v="1"/>
    <x v="1"/>
    <x v="1"/>
    <s v="JBSIS Search"/>
  </r>
  <r>
    <n v="7"/>
    <n v="1"/>
    <d v="2026-08-26T00:00:00"/>
    <s v="Both"/>
    <x v="1"/>
    <x v="1"/>
    <x v="1"/>
    <s v="JBSIS Search"/>
  </r>
  <r>
    <n v="8"/>
    <n v="1"/>
    <d v="2026-09-02T00:00:00"/>
    <s v="Both"/>
    <x v="1"/>
    <x v="1"/>
    <x v="1"/>
    <s v="JBSIS Search"/>
  </r>
  <r>
    <n v="9"/>
    <n v="1"/>
    <d v="2026-09-02T00:00:00"/>
    <s v="Both"/>
    <x v="1"/>
    <x v="1"/>
    <x v="1"/>
    <s v="JBSIS Search"/>
  </r>
  <r>
    <n v="10"/>
    <n v="1"/>
    <d v="2026-08-26T00:00:00"/>
    <s v="Both"/>
    <x v="1"/>
    <x v="1"/>
    <x v="1"/>
    <s v="JBSIS Search and JBSIS Header"/>
  </r>
  <r>
    <n v="11"/>
    <n v="1"/>
    <d v="2026-09-02T00:00:00"/>
    <s v="Both"/>
    <x v="1"/>
    <x v="1"/>
    <x v="0"/>
    <s v="Window Heigh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F67D7-87CF-41D5-8D3D-C4E2445195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8" firstHeaderRow="1" firstDataRow="2" firstDataCol="1"/>
  <pivotFields count="10">
    <pivotField showAll="0"/>
    <pivotField showAll="0"/>
    <pivotField showAll="0">
      <items count="5">
        <item x="2"/>
        <item x="0"/>
        <item x="3"/>
        <item x="1"/>
        <item t="default"/>
      </items>
    </pivotField>
    <pivotField showAll="0"/>
    <pivotField axis="axisRow" dataField="1" showAll="0">
      <items count="4">
        <item x="0"/>
        <item x="1"/>
        <item x="2"/>
        <item t="default"/>
      </items>
    </pivotField>
    <pivotField axis="axisRow" showAll="0">
      <items count="4">
        <item x="0"/>
        <item x="1"/>
        <item x="2"/>
        <item t="default"/>
      </items>
    </pivotField>
    <pivotField axis="axisCol" showAll="0">
      <items count="3">
        <item x="0"/>
        <item h="1"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5"/>
  </rowFields>
  <rowItems count="5">
    <i>
      <x/>
    </i>
    <i r="1">
      <x/>
    </i>
    <i>
      <x v="1"/>
    </i>
    <i r="1">
      <x v="1"/>
    </i>
    <i t="grand">
      <x/>
    </i>
  </rowItems>
  <colFields count="1">
    <field x="6"/>
  </colFields>
  <colItems count="2">
    <i>
      <x/>
    </i>
    <i t="grand">
      <x/>
    </i>
  </colItems>
  <dataFields count="1">
    <dataField name="Count of Scenario Type" fld="4" subtotal="count" baseField="0" baseItem="0"/>
  </dataFields>
  <formats count="3">
    <format dxfId="10">
      <pivotArea outline="0" collapsedLevelsAreSubtotals="1" fieldPosition="0"/>
    </format>
    <format dxfId="9">
      <pivotArea dataOnly="0" labelOnly="1" fieldPosition="0">
        <references count="1">
          <reference field="6" count="0"/>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8D3F48-A864-41EA-AD2F-1693EAA10D6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7" firstHeaderRow="1" firstDataRow="2" firstDataCol="1"/>
  <pivotFields count="8">
    <pivotField showAll="0"/>
    <pivotField showAll="0"/>
    <pivotField showAll="0"/>
    <pivotField showAll="0"/>
    <pivotField axis="axisRow" dataField="1" showAll="0">
      <items count="3">
        <item x="0"/>
        <item x="1"/>
        <item t="default"/>
      </items>
    </pivotField>
    <pivotField axis="axisRow" showAll="0">
      <items count="3">
        <item x="0"/>
        <item x="1"/>
        <item t="default"/>
      </items>
    </pivotField>
    <pivotField axis="axisCol" showAll="0">
      <items count="3">
        <item x="0"/>
        <item x="1"/>
        <item t="default"/>
      </items>
    </pivotField>
    <pivotField showAll="0"/>
  </pivotFields>
  <rowFields count="2">
    <field x="4"/>
    <field x="5"/>
  </rowFields>
  <rowItems count="5">
    <i>
      <x/>
    </i>
    <i r="1">
      <x/>
    </i>
    <i>
      <x v="1"/>
    </i>
    <i r="1">
      <x v="1"/>
    </i>
    <i t="grand">
      <x/>
    </i>
  </rowItems>
  <colFields count="1">
    <field x="6"/>
  </colFields>
  <colItems count="3">
    <i>
      <x/>
    </i>
    <i>
      <x v="1"/>
    </i>
    <i t="grand">
      <x/>
    </i>
  </colItems>
  <dataFields count="1">
    <dataField name="Count of Scenario Type" fld="4" subtotal="count" baseField="0" baseItem="0"/>
  </dataFields>
  <formats count="3">
    <format dxfId="13">
      <pivotArea outline="0" collapsedLevelsAreSubtotals="1" fieldPosition="0"/>
    </format>
    <format dxfId="12">
      <pivotArea dataOnly="0" labelOnly="1" fieldPosition="0">
        <references count="1">
          <reference field="6" count="0"/>
        </references>
      </pivotArea>
    </format>
    <format dxfId="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9D78-9FFF-4676-AB78-118F2E941BF3}">
  <dimension ref="A1:F19"/>
  <sheetViews>
    <sheetView workbookViewId="0">
      <selection activeCell="D33" sqref="D33"/>
    </sheetView>
  </sheetViews>
  <sheetFormatPr defaultRowHeight="15" x14ac:dyDescent="0.25"/>
  <cols>
    <col min="1" max="1" width="22.28515625" style="12" customWidth="1"/>
    <col min="2" max="2" width="16.85546875" style="12" bestFit="1" customWidth="1"/>
    <col min="3" max="4" width="11.28515625" style="12" bestFit="1" customWidth="1"/>
    <col min="5" max="5" width="27.28515625" style="12" bestFit="1" customWidth="1"/>
    <col min="6" max="6" width="22.5703125" style="12" bestFit="1" customWidth="1"/>
    <col min="7" max="16384" width="9.140625" style="12"/>
  </cols>
  <sheetData>
    <row r="1" spans="1:6" ht="36" customHeight="1" x14ac:dyDescent="0.25">
      <c r="A1" s="54" t="s">
        <v>0</v>
      </c>
      <c r="B1" s="54"/>
      <c r="C1" s="54"/>
      <c r="D1" s="29"/>
      <c r="E1" s="29"/>
      <c r="F1" s="29"/>
    </row>
    <row r="2" spans="1:6" ht="37.5" hidden="1" customHeight="1" x14ac:dyDescent="0.25">
      <c r="A2" s="18" t="s">
        <v>1</v>
      </c>
      <c r="B2" s="18" t="s">
        <v>2</v>
      </c>
      <c r="C2"/>
      <c r="D2"/>
      <c r="E2"/>
      <c r="F2"/>
    </row>
    <row r="3" spans="1:6" x14ac:dyDescent="0.25">
      <c r="A3" s="18" t="s">
        <v>3</v>
      </c>
      <c r="B3" s="21" t="s">
        <v>4</v>
      </c>
      <c r="C3" s="21" t="s">
        <v>5</v>
      </c>
      <c r="D3"/>
      <c r="E3"/>
      <c r="F3"/>
    </row>
    <row r="4" spans="1:6" x14ac:dyDescent="0.25">
      <c r="A4" s="19" t="s">
        <v>6</v>
      </c>
      <c r="B4" s="21">
        <v>1</v>
      </c>
      <c r="C4" s="21">
        <v>1</v>
      </c>
      <c r="D4"/>
      <c r="E4"/>
      <c r="F4"/>
    </row>
    <row r="5" spans="1:6" x14ac:dyDescent="0.25">
      <c r="A5" s="20" t="s">
        <v>7</v>
      </c>
      <c r="B5" s="21">
        <v>1</v>
      </c>
      <c r="C5" s="21">
        <v>1</v>
      </c>
      <c r="D5"/>
      <c r="E5"/>
      <c r="F5"/>
    </row>
    <row r="6" spans="1:6" x14ac:dyDescent="0.25">
      <c r="A6" s="19" t="s">
        <v>8</v>
      </c>
      <c r="B6" s="21">
        <v>10</v>
      </c>
      <c r="C6" s="21">
        <v>10</v>
      </c>
      <c r="D6"/>
      <c r="E6"/>
      <c r="F6"/>
    </row>
    <row r="7" spans="1:6" x14ac:dyDescent="0.25">
      <c r="A7" s="20" t="s">
        <v>9</v>
      </c>
      <c r="B7" s="21">
        <v>10</v>
      </c>
      <c r="C7" s="21">
        <v>10</v>
      </c>
      <c r="D7"/>
      <c r="E7"/>
      <c r="F7"/>
    </row>
    <row r="8" spans="1:6" x14ac:dyDescent="0.25">
      <c r="A8" s="19" t="s">
        <v>5</v>
      </c>
      <c r="B8" s="21">
        <v>11</v>
      </c>
      <c r="C8" s="21">
        <v>11</v>
      </c>
      <c r="D8"/>
      <c r="E8"/>
      <c r="F8"/>
    </row>
    <row r="9" spans="1:6" ht="36.75" customHeight="1" x14ac:dyDescent="0.25">
      <c r="A9"/>
      <c r="B9"/>
      <c r="C9"/>
      <c r="D9"/>
      <c r="E9"/>
      <c r="F9"/>
    </row>
    <row r="10" spans="1:6" ht="18.75" x14ac:dyDescent="0.25">
      <c r="A10" s="54" t="s">
        <v>10</v>
      </c>
      <c r="B10" s="54"/>
      <c r="C10" s="54"/>
      <c r="D10" s="54"/>
      <c r="E10"/>
      <c r="F10"/>
    </row>
    <row r="11" spans="1:6" x14ac:dyDescent="0.25">
      <c r="A11" s="18" t="s">
        <v>1</v>
      </c>
      <c r="B11" s="18" t="s">
        <v>2</v>
      </c>
      <c r="C11"/>
      <c r="D11"/>
      <c r="E11"/>
      <c r="F11"/>
    </row>
    <row r="12" spans="1:6" x14ac:dyDescent="0.25">
      <c r="A12" s="18" t="s">
        <v>3</v>
      </c>
      <c r="B12" s="21" t="s">
        <v>11</v>
      </c>
      <c r="C12" s="21" t="s">
        <v>12</v>
      </c>
      <c r="D12" s="21" t="s">
        <v>5</v>
      </c>
      <c r="E12" s="29"/>
      <c r="F12" s="29"/>
    </row>
    <row r="13" spans="1:6" x14ac:dyDescent="0.25">
      <c r="A13" s="19" t="s">
        <v>6</v>
      </c>
      <c r="B13" s="21">
        <v>1</v>
      </c>
      <c r="C13" s="21"/>
      <c r="D13" s="21">
        <v>1</v>
      </c>
      <c r="E13" s="29"/>
      <c r="F13" s="29"/>
    </row>
    <row r="14" spans="1:6" x14ac:dyDescent="0.25">
      <c r="A14" s="20" t="s">
        <v>7</v>
      </c>
      <c r="B14" s="21">
        <v>1</v>
      </c>
      <c r="C14" s="21"/>
      <c r="D14" s="21">
        <v>1</v>
      </c>
      <c r="E14" s="29"/>
      <c r="F14" s="29"/>
    </row>
    <row r="15" spans="1:6" x14ac:dyDescent="0.25">
      <c r="A15" s="19" t="s">
        <v>8</v>
      </c>
      <c r="B15" s="21">
        <v>3</v>
      </c>
      <c r="C15" s="21">
        <v>7</v>
      </c>
      <c r="D15" s="21">
        <v>10</v>
      </c>
      <c r="E15" s="29"/>
      <c r="F15" s="29"/>
    </row>
    <row r="16" spans="1:6" x14ac:dyDescent="0.25">
      <c r="A16" s="20" t="s">
        <v>9</v>
      </c>
      <c r="B16" s="21">
        <v>3</v>
      </c>
      <c r="C16" s="21">
        <v>7</v>
      </c>
      <c r="D16" s="21">
        <v>10</v>
      </c>
      <c r="E16" s="29"/>
      <c r="F16" s="29"/>
    </row>
    <row r="17" spans="1:4" x14ac:dyDescent="0.25">
      <c r="A17" s="19" t="s">
        <v>5</v>
      </c>
      <c r="B17" s="21">
        <v>4</v>
      </c>
      <c r="C17" s="21">
        <v>7</v>
      </c>
      <c r="D17" s="21">
        <v>11</v>
      </c>
    </row>
    <row r="18" spans="1:4" x14ac:dyDescent="0.25">
      <c r="A18"/>
      <c r="B18"/>
      <c r="C18"/>
      <c r="D18" s="29"/>
    </row>
    <row r="19" spans="1:4" x14ac:dyDescent="0.25">
      <c r="A19"/>
      <c r="B19"/>
      <c r="C19"/>
      <c r="D19" s="29"/>
    </row>
  </sheetData>
  <mergeCells count="2">
    <mergeCell ref="A1:C1"/>
    <mergeCell ref="A10:D10"/>
  </mergeCell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P23"/>
  <sheetViews>
    <sheetView showGridLines="0" tabSelected="1" topLeftCell="C1" zoomScale="70" zoomScaleNormal="70" workbookViewId="0">
      <pane ySplit="1" topLeftCell="A2" activePane="bottomLeft" state="frozen"/>
      <selection activeCell="E2" sqref="A2:F1048576"/>
      <selection pane="bottomLeft" activeCell="N18" sqref="N18"/>
    </sheetView>
  </sheetViews>
  <sheetFormatPr defaultRowHeight="15" x14ac:dyDescent="0.25"/>
  <cols>
    <col min="1" max="1" width="7.42578125" style="8" bestFit="1" customWidth="1"/>
    <col min="2" max="2" width="10.28515625" style="8" bestFit="1" customWidth="1"/>
    <col min="3" max="3" width="11.5703125" style="26" bestFit="1" customWidth="1"/>
    <col min="4" max="4" width="13.5703125" style="26" bestFit="1" customWidth="1"/>
    <col min="5" max="5" width="13.140625" style="26" bestFit="1" customWidth="1"/>
    <col min="6" max="6" width="13.5703125" style="26" bestFit="1" customWidth="1"/>
    <col min="7" max="7" width="11" style="26" bestFit="1" customWidth="1"/>
    <col min="8" max="8" width="27.7109375" style="8" bestFit="1" customWidth="1"/>
    <col min="9" max="9" width="46.7109375" style="3" bestFit="1" customWidth="1"/>
    <col min="10" max="10" width="55.42578125" style="8" customWidth="1"/>
    <col min="11" max="11" width="42.5703125" style="8" bestFit="1" customWidth="1"/>
    <col min="12" max="12" width="11.28515625" style="9" bestFit="1" customWidth="1"/>
    <col min="13" max="13" width="13.42578125" style="8" bestFit="1" customWidth="1"/>
    <col min="14" max="14" width="19.140625" style="3" bestFit="1" customWidth="1"/>
    <col min="15" max="15" width="19.140625" style="8" bestFit="1" customWidth="1"/>
    <col min="16" max="16384" width="9.140625" style="8"/>
  </cols>
  <sheetData>
    <row r="1" spans="1:16" s="1" customFormat="1" ht="30" x14ac:dyDescent="0.25">
      <c r="A1" s="4" t="s">
        <v>13</v>
      </c>
      <c r="B1" s="5" t="s">
        <v>14</v>
      </c>
      <c r="C1" s="5" t="s">
        <v>15</v>
      </c>
      <c r="D1" s="5" t="s">
        <v>16</v>
      </c>
      <c r="E1" s="5" t="s">
        <v>17</v>
      </c>
      <c r="F1" s="4" t="s">
        <v>18</v>
      </c>
      <c r="G1" s="5" t="s">
        <v>19</v>
      </c>
      <c r="H1" s="4" t="s">
        <v>20</v>
      </c>
      <c r="I1" s="4" t="s">
        <v>21</v>
      </c>
      <c r="J1" s="5" t="s">
        <v>22</v>
      </c>
      <c r="K1" s="4" t="s">
        <v>23</v>
      </c>
      <c r="L1" s="5" t="s">
        <v>24</v>
      </c>
      <c r="M1" s="5" t="s">
        <v>25</v>
      </c>
      <c r="N1" s="4" t="s">
        <v>26</v>
      </c>
      <c r="O1" s="4" t="s">
        <v>27</v>
      </c>
      <c r="P1" s="29"/>
    </row>
    <row r="2" spans="1:16" ht="105" x14ac:dyDescent="0.25">
      <c r="A2" s="15">
        <v>1</v>
      </c>
      <c r="B2" s="15">
        <v>1</v>
      </c>
      <c r="C2" s="16">
        <v>46266</v>
      </c>
      <c r="D2" s="16" t="s">
        <v>28</v>
      </c>
      <c r="E2" s="15" t="s">
        <v>6</v>
      </c>
      <c r="F2" s="15" t="s">
        <v>7</v>
      </c>
      <c r="G2" s="15" t="s">
        <v>11</v>
      </c>
      <c r="H2" s="27" t="s">
        <v>29</v>
      </c>
      <c r="I2" s="6" t="s">
        <v>30</v>
      </c>
      <c r="J2" s="6" t="s">
        <v>31</v>
      </c>
      <c r="K2" s="14" t="s">
        <v>32</v>
      </c>
      <c r="L2" s="17"/>
      <c r="M2" s="14" t="s">
        <v>33</v>
      </c>
      <c r="N2" s="11" t="s">
        <v>34</v>
      </c>
      <c r="O2" s="32" t="s">
        <v>35</v>
      </c>
      <c r="P2" s="43"/>
    </row>
    <row r="3" spans="1:16" ht="75" x14ac:dyDescent="0.25">
      <c r="A3" s="15">
        <v>2</v>
      </c>
      <c r="B3" s="15">
        <v>1</v>
      </c>
      <c r="C3" s="16">
        <v>46266</v>
      </c>
      <c r="D3" s="16" t="s">
        <v>36</v>
      </c>
      <c r="E3" s="15" t="s">
        <v>8</v>
      </c>
      <c r="F3" s="15" t="s">
        <v>9</v>
      </c>
      <c r="G3" s="15" t="s">
        <v>11</v>
      </c>
      <c r="H3" s="27" t="s">
        <v>29</v>
      </c>
      <c r="I3" s="6" t="s">
        <v>37</v>
      </c>
      <c r="J3" s="6" t="s">
        <v>38</v>
      </c>
      <c r="K3" s="14" t="s">
        <v>39</v>
      </c>
      <c r="L3" s="17"/>
      <c r="M3" s="14" t="s">
        <v>33</v>
      </c>
      <c r="N3" s="11" t="s">
        <v>34</v>
      </c>
      <c r="O3" s="32" t="s">
        <v>35</v>
      </c>
      <c r="P3" s="43"/>
    </row>
    <row r="4" spans="1:16" ht="105" x14ac:dyDescent="0.25">
      <c r="A4" s="23">
        <v>3</v>
      </c>
      <c r="B4" s="23">
        <v>1</v>
      </c>
      <c r="C4" s="22">
        <v>46267</v>
      </c>
      <c r="D4" s="22" t="s">
        <v>36</v>
      </c>
      <c r="E4" s="23" t="s">
        <v>8</v>
      </c>
      <c r="F4" s="23" t="s">
        <v>9</v>
      </c>
      <c r="G4" s="15" t="s">
        <v>11</v>
      </c>
      <c r="H4" s="27" t="s">
        <v>29</v>
      </c>
      <c r="I4" s="6" t="s">
        <v>40</v>
      </c>
      <c r="J4" s="6" t="s">
        <v>41</v>
      </c>
      <c r="K4" s="6" t="s">
        <v>42</v>
      </c>
      <c r="L4" s="7"/>
      <c r="M4" s="14" t="s">
        <v>33</v>
      </c>
      <c r="N4" s="11" t="s">
        <v>34</v>
      </c>
      <c r="O4" s="33" t="s">
        <v>35</v>
      </c>
      <c r="P4" s="43"/>
    </row>
    <row r="5" spans="1:16" ht="105" x14ac:dyDescent="0.25">
      <c r="A5" s="23">
        <v>4</v>
      </c>
      <c r="B5" s="23">
        <v>1</v>
      </c>
      <c r="C5" s="22">
        <v>46267</v>
      </c>
      <c r="D5" s="22" t="s">
        <v>28</v>
      </c>
      <c r="E5" s="23" t="s">
        <v>8</v>
      </c>
      <c r="F5" s="23" t="s">
        <v>9</v>
      </c>
      <c r="G5" s="23" t="s">
        <v>12</v>
      </c>
      <c r="H5" s="28" t="s">
        <v>43</v>
      </c>
      <c r="I5" s="6" t="s">
        <v>44</v>
      </c>
      <c r="J5" s="6" t="s">
        <v>45</v>
      </c>
      <c r="K5" s="6"/>
      <c r="L5" s="7">
        <v>46269</v>
      </c>
      <c r="M5" s="6" t="s">
        <v>46</v>
      </c>
      <c r="N5" s="11"/>
      <c r="O5" s="31" t="s">
        <v>47</v>
      </c>
      <c r="P5" s="43"/>
    </row>
    <row r="6" spans="1:16" ht="75" x14ac:dyDescent="0.25">
      <c r="A6" s="15">
        <v>5</v>
      </c>
      <c r="B6" s="15">
        <v>1</v>
      </c>
      <c r="C6" s="16">
        <v>46266</v>
      </c>
      <c r="D6" s="16" t="s">
        <v>28</v>
      </c>
      <c r="E6" s="15" t="s">
        <v>8</v>
      </c>
      <c r="F6" s="15" t="s">
        <v>9</v>
      </c>
      <c r="G6" s="23" t="s">
        <v>12</v>
      </c>
      <c r="H6" s="27" t="s">
        <v>48</v>
      </c>
      <c r="I6" s="14" t="s">
        <v>49</v>
      </c>
      <c r="J6" s="6" t="s">
        <v>50</v>
      </c>
      <c r="K6" s="14"/>
      <c r="L6" s="7">
        <v>46270</v>
      </c>
      <c r="M6" s="6" t="s">
        <v>46</v>
      </c>
      <c r="N6" s="6"/>
      <c r="O6" s="30" t="s">
        <v>51</v>
      </c>
      <c r="P6" s="43"/>
    </row>
    <row r="7" spans="1:16" s="2" customFormat="1" ht="75" x14ac:dyDescent="0.25">
      <c r="A7" s="15">
        <v>6</v>
      </c>
      <c r="B7" s="15">
        <v>1</v>
      </c>
      <c r="C7" s="16">
        <v>46260</v>
      </c>
      <c r="D7" s="16" t="s">
        <v>28</v>
      </c>
      <c r="E7" s="15" t="s">
        <v>8</v>
      </c>
      <c r="F7" s="15" t="s">
        <v>9</v>
      </c>
      <c r="G7" s="23" t="s">
        <v>12</v>
      </c>
      <c r="H7" s="27" t="s">
        <v>52</v>
      </c>
      <c r="I7" s="6" t="s">
        <v>53</v>
      </c>
      <c r="J7" s="6" t="s">
        <v>54</v>
      </c>
      <c r="K7" s="14"/>
      <c r="L7" s="7">
        <v>46271</v>
      </c>
      <c r="M7" s="6" t="s">
        <v>46</v>
      </c>
      <c r="N7" s="13"/>
      <c r="O7" s="30" t="s">
        <v>55</v>
      </c>
      <c r="P7" s="44"/>
    </row>
    <row r="8" spans="1:16" s="24" customFormat="1" ht="90" x14ac:dyDescent="0.25">
      <c r="A8" s="15">
        <v>7</v>
      </c>
      <c r="B8" s="15">
        <v>1</v>
      </c>
      <c r="C8" s="16">
        <v>46260</v>
      </c>
      <c r="D8" s="16" t="s">
        <v>28</v>
      </c>
      <c r="E8" s="15" t="s">
        <v>8</v>
      </c>
      <c r="F8" s="15" t="s">
        <v>9</v>
      </c>
      <c r="G8" s="23" t="s">
        <v>12</v>
      </c>
      <c r="H8" s="27" t="s">
        <v>52</v>
      </c>
      <c r="I8" s="14" t="s">
        <v>56</v>
      </c>
      <c r="J8" s="14" t="s">
        <v>57</v>
      </c>
      <c r="K8" s="14" t="s">
        <v>32</v>
      </c>
      <c r="L8" s="7">
        <v>46272</v>
      </c>
      <c r="M8" s="6" t="s">
        <v>46</v>
      </c>
      <c r="N8" s="11"/>
      <c r="O8" s="30" t="s">
        <v>58</v>
      </c>
    </row>
    <row r="9" spans="1:16" s="25" customFormat="1" ht="90" x14ac:dyDescent="0.25">
      <c r="A9" s="23">
        <v>8</v>
      </c>
      <c r="B9" s="23">
        <v>1</v>
      </c>
      <c r="C9" s="22">
        <v>46267</v>
      </c>
      <c r="D9" s="22" t="s">
        <v>28</v>
      </c>
      <c r="E9" s="23" t="s">
        <v>8</v>
      </c>
      <c r="F9" s="23" t="s">
        <v>9</v>
      </c>
      <c r="G9" s="23" t="s">
        <v>12</v>
      </c>
      <c r="H9" s="27" t="s">
        <v>52</v>
      </c>
      <c r="I9" s="6" t="s">
        <v>59</v>
      </c>
      <c r="J9" s="6" t="s">
        <v>60</v>
      </c>
      <c r="K9" s="6" t="s">
        <v>61</v>
      </c>
      <c r="L9" s="7">
        <v>46273</v>
      </c>
      <c r="M9" s="6" t="s">
        <v>46</v>
      </c>
      <c r="N9" s="11"/>
      <c r="O9" s="31" t="s">
        <v>58</v>
      </c>
    </row>
    <row r="10" spans="1:16" s="25" customFormat="1" ht="90" x14ac:dyDescent="0.25">
      <c r="A10" s="23">
        <v>9</v>
      </c>
      <c r="B10" s="23">
        <v>1</v>
      </c>
      <c r="C10" s="22">
        <v>46267</v>
      </c>
      <c r="D10" s="22" t="s">
        <v>28</v>
      </c>
      <c r="E10" s="23" t="s">
        <v>8</v>
      </c>
      <c r="F10" s="23" t="s">
        <v>9</v>
      </c>
      <c r="G10" s="23" t="s">
        <v>12</v>
      </c>
      <c r="H10" s="27" t="s">
        <v>52</v>
      </c>
      <c r="I10" s="6" t="s">
        <v>62</v>
      </c>
      <c r="J10" s="6" t="s">
        <v>63</v>
      </c>
      <c r="K10" s="6" t="s">
        <v>61</v>
      </c>
      <c r="L10" s="7">
        <v>46274</v>
      </c>
      <c r="M10" s="6" t="s">
        <v>46</v>
      </c>
      <c r="N10" s="11"/>
      <c r="O10" s="31" t="s">
        <v>64</v>
      </c>
    </row>
    <row r="11" spans="1:16" s="25" customFormat="1" ht="42" customHeight="1" x14ac:dyDescent="0.25">
      <c r="A11" s="15">
        <v>10</v>
      </c>
      <c r="B11" s="15">
        <v>1</v>
      </c>
      <c r="C11" s="16">
        <v>46260</v>
      </c>
      <c r="D11" s="16" t="s">
        <v>28</v>
      </c>
      <c r="E11" s="15" t="s">
        <v>8</v>
      </c>
      <c r="F11" s="15" t="s">
        <v>9</v>
      </c>
      <c r="G11" s="23" t="s">
        <v>12</v>
      </c>
      <c r="H11" s="27" t="s">
        <v>65</v>
      </c>
      <c r="I11" s="14" t="s">
        <v>66</v>
      </c>
      <c r="J11" s="14"/>
      <c r="K11" s="14" t="s">
        <v>32</v>
      </c>
      <c r="L11" s="7">
        <v>46275</v>
      </c>
      <c r="M11" s="6" t="s">
        <v>46</v>
      </c>
      <c r="N11" s="13"/>
      <c r="O11" s="30" t="s">
        <v>67</v>
      </c>
    </row>
    <row r="12" spans="1:16" s="25" customFormat="1" ht="225" x14ac:dyDescent="0.25">
      <c r="A12" s="34">
        <v>11</v>
      </c>
      <c r="B12" s="35">
        <v>1</v>
      </c>
      <c r="C12" s="36">
        <v>46267</v>
      </c>
      <c r="D12" s="36" t="s">
        <v>28</v>
      </c>
      <c r="E12" s="35" t="s">
        <v>8</v>
      </c>
      <c r="F12" s="35" t="s">
        <v>9</v>
      </c>
      <c r="G12" s="35" t="s">
        <v>11</v>
      </c>
      <c r="H12" s="37" t="s">
        <v>68</v>
      </c>
      <c r="I12" s="38" t="s">
        <v>69</v>
      </c>
      <c r="J12" s="38" t="s">
        <v>70</v>
      </c>
      <c r="K12" s="38" t="s">
        <v>71</v>
      </c>
      <c r="L12" s="39"/>
      <c r="M12" s="40" t="s">
        <v>33</v>
      </c>
      <c r="N12" s="41" t="s">
        <v>34</v>
      </c>
      <c r="O12" s="42" t="s">
        <v>72</v>
      </c>
    </row>
    <row r="13" spans="1:16" ht="60" x14ac:dyDescent="0.25">
      <c r="A13" s="45">
        <v>12</v>
      </c>
      <c r="B13" s="45" t="s">
        <v>73</v>
      </c>
      <c r="C13" s="46">
        <v>46283</v>
      </c>
      <c r="D13" s="45" t="s">
        <v>28</v>
      </c>
      <c r="E13" s="45" t="s">
        <v>8</v>
      </c>
      <c r="F13" s="45" t="s">
        <v>9</v>
      </c>
      <c r="G13" s="45" t="s">
        <v>12</v>
      </c>
      <c r="H13" s="47" t="s">
        <v>74</v>
      </c>
      <c r="I13" s="48" t="s">
        <v>75</v>
      </c>
      <c r="J13" s="47" t="s">
        <v>76</v>
      </c>
      <c r="K13" s="47"/>
      <c r="L13" s="49">
        <v>46287</v>
      </c>
      <c r="M13" s="47" t="s">
        <v>46</v>
      </c>
      <c r="N13" s="48"/>
      <c r="O13" s="53" t="s">
        <v>77</v>
      </c>
      <c r="P13" s="43"/>
    </row>
    <row r="14" spans="1:16" ht="60" x14ac:dyDescent="0.25">
      <c r="A14" s="45">
        <v>13</v>
      </c>
      <c r="B14" s="45" t="s">
        <v>73</v>
      </c>
      <c r="C14" s="46">
        <v>46283</v>
      </c>
      <c r="D14" s="45" t="s">
        <v>28</v>
      </c>
      <c r="E14" s="45" t="s">
        <v>8</v>
      </c>
      <c r="F14" s="45" t="s">
        <v>9</v>
      </c>
      <c r="G14" s="45" t="s">
        <v>12</v>
      </c>
      <c r="H14" s="47" t="s">
        <v>74</v>
      </c>
      <c r="I14" s="48" t="s">
        <v>78</v>
      </c>
      <c r="J14" s="48" t="s">
        <v>79</v>
      </c>
      <c r="K14" s="47"/>
      <c r="L14" s="49">
        <v>46287</v>
      </c>
      <c r="M14" s="47" t="s">
        <v>46</v>
      </c>
      <c r="N14" s="48"/>
      <c r="O14" s="53" t="s">
        <v>80</v>
      </c>
      <c r="P14" s="43"/>
    </row>
    <row r="15" spans="1:16" ht="255" x14ac:dyDescent="0.25">
      <c r="A15" s="45">
        <v>14</v>
      </c>
      <c r="B15" s="45" t="s">
        <v>73</v>
      </c>
      <c r="C15" s="46">
        <v>46284</v>
      </c>
      <c r="D15" s="45" t="s">
        <v>28</v>
      </c>
      <c r="E15" s="45" t="s">
        <v>8</v>
      </c>
      <c r="F15" s="45" t="s">
        <v>9</v>
      </c>
      <c r="G15" s="45" t="s">
        <v>12</v>
      </c>
      <c r="H15" s="48" t="s">
        <v>81</v>
      </c>
      <c r="I15" s="48" t="s">
        <v>82</v>
      </c>
      <c r="J15" s="47" t="s">
        <v>83</v>
      </c>
      <c r="K15" s="48" t="s">
        <v>84</v>
      </c>
      <c r="L15" s="49">
        <v>46288</v>
      </c>
      <c r="M15" s="47" t="s">
        <v>46</v>
      </c>
      <c r="N15" s="48"/>
      <c r="O15" s="53" t="s">
        <v>85</v>
      </c>
      <c r="P15" s="43"/>
    </row>
    <row r="16" spans="1:16" ht="30" x14ac:dyDescent="0.25">
      <c r="A16" s="45">
        <v>15</v>
      </c>
      <c r="B16" s="45" t="s">
        <v>86</v>
      </c>
      <c r="C16" s="46">
        <v>46286</v>
      </c>
      <c r="D16" s="45" t="s">
        <v>28</v>
      </c>
      <c r="E16" s="45" t="s">
        <v>6</v>
      </c>
      <c r="F16" s="45" t="s">
        <v>9</v>
      </c>
      <c r="G16" s="45" t="s">
        <v>12</v>
      </c>
      <c r="H16" s="47" t="s">
        <v>87</v>
      </c>
      <c r="I16" s="48" t="s">
        <v>88</v>
      </c>
      <c r="J16" s="47" t="s">
        <v>89</v>
      </c>
      <c r="K16" s="48" t="s">
        <v>90</v>
      </c>
      <c r="L16" s="49">
        <v>46288</v>
      </c>
      <c r="M16" s="47" t="s">
        <v>46</v>
      </c>
      <c r="N16" s="48"/>
      <c r="O16" s="47"/>
      <c r="P16" s="43"/>
    </row>
    <row r="17" spans="1:16" ht="45" x14ac:dyDescent="0.25">
      <c r="A17" s="45">
        <v>16</v>
      </c>
      <c r="B17" s="47">
        <v>2</v>
      </c>
      <c r="C17" s="46">
        <v>46288</v>
      </c>
      <c r="D17" s="45" t="s">
        <v>28</v>
      </c>
      <c r="E17" s="45" t="s">
        <v>6</v>
      </c>
      <c r="F17" s="45" t="s">
        <v>91</v>
      </c>
      <c r="G17" s="45" t="s">
        <v>12</v>
      </c>
      <c r="H17" s="47" t="s">
        <v>92</v>
      </c>
      <c r="I17" s="48" t="s">
        <v>93</v>
      </c>
      <c r="J17" s="48" t="s">
        <v>94</v>
      </c>
      <c r="K17" s="47"/>
      <c r="L17" s="49">
        <v>46288</v>
      </c>
      <c r="M17" s="47" t="s">
        <v>46</v>
      </c>
      <c r="N17" s="48"/>
      <c r="O17" s="47"/>
      <c r="P17" s="43"/>
    </row>
    <row r="18" spans="1:16" ht="75" x14ac:dyDescent="0.25">
      <c r="A18" s="45">
        <v>17</v>
      </c>
      <c r="B18" s="47" t="s">
        <v>73</v>
      </c>
      <c r="C18" s="46"/>
      <c r="D18" s="45" t="s">
        <v>28</v>
      </c>
      <c r="E18" s="45" t="s">
        <v>8</v>
      </c>
      <c r="F18" s="45" t="s">
        <v>9</v>
      </c>
      <c r="G18" s="45" t="s">
        <v>4</v>
      </c>
      <c r="H18" s="47" t="s">
        <v>107</v>
      </c>
      <c r="I18" s="48" t="s">
        <v>104</v>
      </c>
      <c r="J18" s="48" t="s">
        <v>105</v>
      </c>
      <c r="K18" s="48" t="s">
        <v>106</v>
      </c>
      <c r="L18" s="49">
        <v>46293</v>
      </c>
      <c r="M18" s="47" t="s">
        <v>46</v>
      </c>
      <c r="N18" s="48"/>
      <c r="O18" s="47"/>
      <c r="P18" s="43"/>
    </row>
    <row r="19" spans="1:16" x14ac:dyDescent="0.25">
      <c r="A19" s="47"/>
      <c r="B19" s="47"/>
      <c r="C19" s="45"/>
      <c r="D19" s="45"/>
      <c r="E19" s="45"/>
      <c r="F19" s="45"/>
      <c r="G19" s="45"/>
      <c r="H19" s="47"/>
      <c r="I19" s="48"/>
      <c r="J19" s="47"/>
      <c r="K19" s="47"/>
      <c r="L19" s="49"/>
      <c r="M19" s="47"/>
      <c r="N19" s="48"/>
      <c r="O19" s="47"/>
      <c r="P19" s="43"/>
    </row>
    <row r="20" spans="1:16" x14ac:dyDescent="0.25">
      <c r="A20" s="47"/>
      <c r="B20" s="47"/>
      <c r="C20" s="45"/>
      <c r="D20" s="45"/>
      <c r="E20" s="45"/>
      <c r="F20" s="45"/>
      <c r="G20" s="45"/>
      <c r="H20" s="47"/>
      <c r="I20" s="48"/>
      <c r="J20" s="47"/>
      <c r="K20" s="47"/>
      <c r="L20" s="49"/>
      <c r="M20" s="47"/>
      <c r="N20" s="48"/>
      <c r="O20" s="47"/>
      <c r="P20" s="43"/>
    </row>
    <row r="21" spans="1:16" x14ac:dyDescent="0.25">
      <c r="A21" s="47"/>
      <c r="B21" s="47"/>
      <c r="C21" s="45"/>
      <c r="D21" s="45"/>
      <c r="E21" s="45"/>
      <c r="F21" s="45"/>
      <c r="G21" s="45"/>
      <c r="H21" s="47"/>
      <c r="I21" s="48"/>
      <c r="J21" s="47"/>
      <c r="K21" s="47"/>
      <c r="L21" s="49"/>
      <c r="M21" s="47"/>
      <c r="N21" s="48"/>
      <c r="O21" s="47"/>
      <c r="P21" s="43"/>
    </row>
    <row r="22" spans="1:16" x14ac:dyDescent="0.25">
      <c r="A22" s="47"/>
      <c r="B22" s="47"/>
      <c r="C22" s="45"/>
      <c r="D22" s="45"/>
      <c r="E22" s="45"/>
      <c r="F22" s="45"/>
      <c r="G22" s="45"/>
      <c r="H22" s="47"/>
      <c r="I22" s="48"/>
      <c r="J22" s="47"/>
      <c r="K22" s="47"/>
      <c r="L22" s="49"/>
      <c r="M22" s="47"/>
      <c r="N22" s="48"/>
      <c r="O22" s="47"/>
      <c r="P22" s="43"/>
    </row>
    <row r="23" spans="1:16" x14ac:dyDescent="0.25">
      <c r="A23" s="43"/>
      <c r="B23" s="43"/>
      <c r="C23" s="50"/>
      <c r="D23" s="50"/>
      <c r="E23" s="50"/>
      <c r="F23" s="50"/>
      <c r="G23" s="50"/>
      <c r="H23" s="43"/>
      <c r="I23" s="51"/>
      <c r="J23" s="43"/>
      <c r="K23" s="43"/>
      <c r="L23" s="52"/>
      <c r="M23" s="43"/>
      <c r="N23" s="51"/>
      <c r="O23" s="43"/>
      <c r="P23" s="43"/>
    </row>
  </sheetData>
  <conditionalFormatting sqref="G1:G1048576">
    <cfRule type="containsText" dxfId="7" priority="4" operator="containsText" text="Resolved">
      <formula>NOT(ISERROR(SEARCH("Resolved",G1)))</formula>
    </cfRule>
  </conditionalFormatting>
  <conditionalFormatting sqref="G2:G1048576">
    <cfRule type="containsText" dxfId="6" priority="1" operator="containsText" text="No Action">
      <formula>NOT(ISERROR(SEARCH("No Action",G2)))</formula>
    </cfRule>
    <cfRule type="containsText" dxfId="5" priority="2" operator="containsText" text="New">
      <formula>NOT(ISERROR(SEARCH("New",G2)))</formula>
    </cfRule>
    <cfRule type="containsText" dxfId="4" priority="3" operator="containsText" text="Retest In Progress">
      <formula>NOT(ISERROR(SEARCH("Retest In Progress",G2)))</formula>
    </cfRule>
    <cfRule type="containsText" dxfId="3" priority="5" operator="containsText" text="Return to Dev">
      <formula>NOT(ISERROR(SEARCH("Return to Dev",G2)))</formula>
    </cfRule>
  </conditionalFormatting>
  <conditionalFormatting sqref="M2:M1048576">
    <cfRule type="containsText" dxfId="2" priority="10" operator="containsText" text="Pass with Comments">
      <formula>NOT(ISERROR(SEARCH("Pass with Comments",M2)))</formula>
    </cfRule>
    <cfRule type="containsText" dxfId="1" priority="11" operator="containsText" text="Fail">
      <formula>NOT(ISERROR(SEARCH("Fail",M2)))</formula>
    </cfRule>
    <cfRule type="containsText" dxfId="0" priority="12" operator="containsText" text="Pass">
      <formula>NOT(ISERROR(SEARCH("Pass",M2)))</formula>
    </cfRule>
  </conditionalFormatting>
  <dataValidations count="1">
    <dataValidation type="list" allowBlank="1" showInputMessage="1" showErrorMessage="1" sqref="D2:D12"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M2:M12</xm:sqref>
        </x14:dataValidation>
        <x14:dataValidation type="list" allowBlank="1" showInputMessage="1" showErrorMessage="1" xr:uid="{3906557F-AEE2-41CE-81DC-5F122F965822}">
          <x14:formula1>
            <xm:f>Sheet2!$H$1:$H$2</xm:f>
          </x14:formula1>
          <xm:sqref>E2:E12</xm:sqref>
        </x14:dataValidation>
        <x14:dataValidation type="list" allowBlank="1" showInputMessage="1" showErrorMessage="1" xr:uid="{13D3BE25-BF98-4733-B1E7-AA4DB88ADC41}">
          <x14:formula1>
            <xm:f>Sheet2!$C$2:$C$6</xm:f>
          </x14:formula1>
          <xm:sqref>G2:G1048576</xm:sqref>
        </x14:dataValidation>
        <x14:dataValidation type="list" allowBlank="1" showInputMessage="1" showErrorMessage="1" xr:uid="{E7C9154B-8A5C-4F27-AF31-58E8AF26A163}">
          <x14:formula1>
            <xm:f>Sheet2!$F$1:$F$3</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x14ac:dyDescent="0.25"/>
  <cols>
    <col min="2" max="2" width="52.7109375" customWidth="1"/>
  </cols>
  <sheetData>
    <row r="1" spans="1:2" x14ac:dyDescent="0.25">
      <c r="A1" t="s">
        <v>95</v>
      </c>
      <c r="B1" s="10" t="s">
        <v>96</v>
      </c>
    </row>
    <row r="2" spans="1:2" x14ac:dyDescent="0.25">
      <c r="A2" t="s">
        <v>97</v>
      </c>
      <c r="B2" s="10" t="s">
        <v>98</v>
      </c>
    </row>
    <row r="3" spans="1:2" x14ac:dyDescent="0.25">
      <c r="A3" t="s">
        <v>99</v>
      </c>
      <c r="B3" s="10" t="s">
        <v>100</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46</v>
      </c>
      <c r="F1" t="s">
        <v>91</v>
      </c>
      <c r="H1" t="s">
        <v>6</v>
      </c>
    </row>
    <row r="2" spans="1:8" x14ac:dyDescent="0.25">
      <c r="A2" t="s">
        <v>101</v>
      </c>
      <c r="C2" t="s">
        <v>102</v>
      </c>
      <c r="F2" t="s">
        <v>7</v>
      </c>
      <c r="H2" t="s">
        <v>8</v>
      </c>
    </row>
    <row r="3" spans="1:8" x14ac:dyDescent="0.25">
      <c r="A3" t="s">
        <v>33</v>
      </c>
      <c r="C3" t="s">
        <v>103</v>
      </c>
      <c r="F3" t="s">
        <v>9</v>
      </c>
    </row>
    <row r="4" spans="1:8" x14ac:dyDescent="0.25">
      <c r="C4" t="s">
        <v>12</v>
      </c>
    </row>
    <row r="5" spans="1:8" x14ac:dyDescent="0.25">
      <c r="C5" t="s">
        <v>4</v>
      </c>
    </row>
    <row r="6" spans="1:8" x14ac:dyDescent="0.25">
      <c r="C6"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2.xml><?xml version="1.0" encoding="utf-8"?>
<ds:datastoreItem xmlns:ds="http://schemas.openxmlformats.org/officeDocument/2006/customXml" ds:itemID="{704EED5A-6E5F-40C5-9AEF-0B62B473C06D}">
  <ds:schemaRefs>
    <ds:schemaRef ds:uri="http://schemas.microsoft.com/office/2006/metadata/properties"/>
    <ds:schemaRef ds:uri="http://schemas.microsoft.com/office/infopath/2007/PartnerControls"/>
    <ds:schemaRef ds:uri="29065daa-3ce8-4783-94b0-fa366394ba57"/>
    <ds:schemaRef ds:uri="3d05c41d-42c7-4345-8236-8005f0c89855"/>
  </ds:schemaRefs>
</ds:datastoreItem>
</file>

<file path=customXml/itemProps3.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DEFECTS</vt:lpstr>
      <vt:lpstr>NG Links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David Chang</cp:lastModifiedBy>
  <cp:revision/>
  <dcterms:created xsi:type="dcterms:W3CDTF">2025-10-01T18:45:47Z</dcterms:created>
  <dcterms:modified xsi:type="dcterms:W3CDTF">2026-09-28T16:08:06Z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