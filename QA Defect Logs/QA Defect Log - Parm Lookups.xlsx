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hidePivotFieldList="1"/>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2024" documentId="8_{B3D88569-AB5D-4B6E-B060-A9DA68F6D214}" xr6:coauthVersionLast="47" xr6:coauthVersionMax="47" xr10:uidLastSave="{291879C1-44C0-4380-BF3E-3421FE5A9F9B}"/>
  <bookViews>
    <workbookView xWindow="-120" yWindow="-120" windowWidth="29040" windowHeight="15720" xr2:uid="{7496AAB9-9610-4154-B91D-ED1C66077D08}"/>
  </bookViews>
  <sheets>
    <sheet name="DEFECTS" sheetId="1" r:id="rId1"/>
    <sheet name="SUMMARY" sheetId="5" r:id="rId2"/>
    <sheet name="Screenshots" sheetId="4" r:id="rId3"/>
    <sheet name="Sheet2" sheetId="3" state="hidden" r:id="rId4"/>
  </sheets>
  <definedNames>
    <definedName name="_xlnm._FilterDatabase" localSheetId="0" hidden="1">DEFECTS!$A$1:$N$46</definedName>
  </definedNames>
  <calcPr calcId="191028"/>
  <pivotCaches>
    <pivotCache cacheId="349" r:id="rId5"/>
    <pivotCache cacheId="350" r:id="rId6"/>
    <pivotCache cacheId="351" r:id="rId7"/>
    <pivotCache cacheId="352" r:id="rId8"/>
    <pivotCache cacheId="35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5" i="1" l="1"/>
  <c r="A46" i="1"/>
  <c r="A44" i="1"/>
  <c r="A37" i="1"/>
  <c r="A38" i="1"/>
  <c r="A39" i="1"/>
  <c r="A40" i="1"/>
  <c r="A41" i="1"/>
  <c r="A42" i="1"/>
  <c r="A43" i="1"/>
  <c r="A29" i="1"/>
  <c r="A30" i="1"/>
  <c r="A31" i="1"/>
  <c r="A32" i="1"/>
  <c r="A33" i="1"/>
  <c r="A34" i="1"/>
  <c r="A35" i="1"/>
  <c r="A36" i="1"/>
  <c r="A28" i="1"/>
</calcChain>
</file>

<file path=xl/sharedStrings.xml><?xml version="1.0" encoding="utf-8"?>
<sst xmlns="http://schemas.openxmlformats.org/spreadsheetml/2006/main" count="613" uniqueCount="223">
  <si>
    <t>ID</t>
  </si>
  <si>
    <t>Date Tested</t>
  </si>
  <si>
    <t>Interface</t>
  </si>
  <si>
    <t>Scenario Type</t>
  </si>
  <si>
    <t>Bug Type</t>
  </si>
  <si>
    <t>Status</t>
  </si>
  <si>
    <t>Window
Column(s)</t>
  </si>
  <si>
    <t>Summary</t>
  </si>
  <si>
    <t>Defect
(NG Display, Scenario)</t>
  </si>
  <si>
    <t>BSA Comments</t>
  </si>
  <si>
    <t>Date
Retest</t>
  </si>
  <si>
    <t>Retest
Pass/Fail</t>
  </si>
  <si>
    <t>Dev Comments</t>
  </si>
  <si>
    <t>PB Only</t>
  </si>
  <si>
    <t>UI</t>
  </si>
  <si>
    <t>Minor</t>
  </si>
  <si>
    <t>No Action</t>
  </si>
  <si>
    <t>General</t>
  </si>
  <si>
    <t>Window Load</t>
  </si>
  <si>
    <t>Is it possible to display the loading wheel first? Currently the window flashes between white/gray then displays the loading wheel, then the window</t>
  </si>
  <si>
    <t>Might have been introduced with Tab Flash issue that was recently implemented</t>
  </si>
  <si>
    <r>
      <rPr>
        <b/>
        <sz val="11"/>
        <color theme="0" tint="-0.34998626667073579"/>
        <rFont val="Calibri"/>
        <family val="2"/>
      </rPr>
      <t xml:space="preserve">2/4: </t>
    </r>
    <r>
      <rPr>
        <sz val="11"/>
        <color theme="0" tint="-0.34998626667073579"/>
        <rFont val="Calibri"/>
        <family val="2"/>
      </rPr>
      <t>no action as item is PB defect</t>
    </r>
  </si>
  <si>
    <t>2/4: No action</t>
  </si>
  <si>
    <t>Both</t>
  </si>
  <si>
    <t>Window Width</t>
  </si>
  <si>
    <t>Window shall span entire width of window</t>
  </si>
  <si>
    <t>UI Guidelines ID #4</t>
  </si>
  <si>
    <t>Resolved</t>
  </si>
  <si>
    <t>Associated Dockets</t>
  </si>
  <si>
    <t>Row Height</t>
  </si>
  <si>
    <t>Row height of section header with "Associated Dockets:" should match row height of section header "Event Codes"</t>
  </si>
  <si>
    <t>UI Guidelines ID #11</t>
  </si>
  <si>
    <t>Pass</t>
  </si>
  <si>
    <t>2/4: Fixed</t>
  </si>
  <si>
    <t>Functionality</t>
  </si>
  <si>
    <t>Insert Row</t>
  </si>
  <si>
    <t>Add "Insert Row" to Description section</t>
  </si>
  <si>
    <t>"Insert Row" exists in bottom data section of window but should also be included in Description section</t>
  </si>
  <si>
    <t>2/4: Fixed, generic insert added to GridEventHelper</t>
  </si>
  <si>
    <t>Keyboard Shortcut Shift + F5</t>
  </si>
  <si>
    <t>Current window does not have it configured but wanted to see if we can create it since other windows will be using it?</t>
  </si>
  <si>
    <t>If this is not addressed now, will note it for later.</t>
  </si>
  <si>
    <r>
      <rPr>
        <b/>
        <sz val="11"/>
        <color theme="6"/>
        <rFont val="Calibri"/>
      </rPr>
      <t>3/25</t>
    </r>
    <r>
      <rPr>
        <sz val="11"/>
        <color theme="6"/>
        <rFont val="Calibri"/>
      </rPr>
      <t xml:space="preserve">: Not necessarily an NG defect. Insert Row Shift F5 is missing from the powerbuilder "Edit" menu. This may need to be configured in Q for the fix to work.
</t>
    </r>
    <r>
      <rPr>
        <b/>
        <sz val="11"/>
        <color theme="6"/>
        <rFont val="Calibri"/>
      </rPr>
      <t>4/9:</t>
    </r>
    <r>
      <rPr>
        <sz val="11"/>
        <color theme="6"/>
        <rFont val="Calibri"/>
      </rPr>
      <t xml:space="preserve"> Insert Row will be removed from context menu</t>
    </r>
  </si>
  <si>
    <t>2/5: Fixed, added
4/8: Need discussion, we decided that if you do not have that configuration you will not have that feature. For context menu, only show if it's a menu item.
4/9: Fixed, no more insert in context menu.</t>
  </si>
  <si>
    <t>LOOKUP_SEQ Section</t>
  </si>
  <si>
    <t>Highlight</t>
  </si>
  <si>
    <t>When LOOKUP_SEQ row is highlighted, labels are difficult to read as highlight/label color are similar shades of blue.</t>
  </si>
  <si>
    <r>
      <t xml:space="preserve">Remove highlight and  "pointer" to indicate selected row; current window uses finger pointer. Since there are no similar options in Office Fabric Syncfusion icons, therefore reocmmend </t>
    </r>
    <r>
      <rPr>
        <sz val="11"/>
        <color theme="1"/>
        <rFont val="Wingdings"/>
        <charset val="2"/>
      </rPr>
      <t>Ø</t>
    </r>
    <r>
      <rPr>
        <sz val="11"/>
        <color theme="1"/>
        <rFont val="Calibri"/>
        <family val="2"/>
      </rPr>
      <t>bullet-6 (PUA e763)</t>
    </r>
  </si>
  <si>
    <r>
      <rPr>
        <b/>
        <sz val="11"/>
        <color theme="6"/>
        <rFont val="Calibri"/>
      </rPr>
      <t xml:space="preserve">2/4: </t>
    </r>
    <r>
      <rPr>
        <sz val="11"/>
        <color theme="6"/>
        <rFont val="Calibri"/>
      </rPr>
      <t>instead of "pointer," decision made to update labels to white when row is selected</t>
    </r>
  </si>
  <si>
    <t>Default view looks like the row is always in edit mode
Once user enters edit mode, field heights remain the same</t>
  </si>
  <si>
    <t xml:space="preserve">UI Guidelines ID #26; Is there a way to match the row height of data in the Description section? </t>
  </si>
  <si>
    <r>
      <rPr>
        <b/>
        <sz val="11"/>
        <color theme="6"/>
        <rFont val="Calibri"/>
      </rPr>
      <t xml:space="preserve">2/5: </t>
    </r>
    <r>
      <rPr>
        <sz val="11"/>
        <color theme="6"/>
        <rFont val="Calibri"/>
      </rPr>
      <t>per Daily NG Meet, cells will be gray until user is in edit mode</t>
    </r>
  </si>
  <si>
    <t>2/5: Fixed</t>
  </si>
  <si>
    <t>FluentValidation formats</t>
  </si>
  <si>
    <t>Use font type, size, styling in Error Codes
Current version is a different font type, smaller font size, different color of red, and bolded)</t>
  </si>
  <si>
    <t>Major</t>
  </si>
  <si>
    <t>Tab key</t>
  </si>
  <si>
    <r>
      <rPr>
        <sz val="11"/>
        <color rgb="FF000000"/>
        <rFont val="Calibri"/>
      </rPr>
      <t xml:space="preserve">If user is </t>
    </r>
    <r>
      <rPr>
        <b/>
        <sz val="11"/>
        <color rgb="FF000000"/>
        <rFont val="Calibri"/>
      </rPr>
      <t xml:space="preserve">in edit mode </t>
    </r>
    <r>
      <rPr>
        <sz val="11"/>
        <color rgb="FF000000"/>
        <rFont val="Calibri"/>
      </rPr>
      <t>on row, tab key exists out of row rather than going to next field; when  tab is used, cursor moves to subsequent fields in following order:
     SEQ Description (cursor starts here)
     Lookup Table Name
     DW Object
     Datatype
     Code
     Filter Expr.</t>
    </r>
  </si>
  <si>
    <t>Currently, tab is exiting the row in its entirety per UI Guidelines #53 and moving to the next row rather than the next data field</t>
  </si>
  <si>
    <t xml:space="preserve">2/9: https://support.syncfusion.com/support/tickets/811480 2/11: Fixed </t>
  </si>
  <si>
    <t>Character Limits</t>
  </si>
  <si>
    <r>
      <rPr>
        <b/>
        <sz val="11"/>
        <color rgb="FF000000"/>
        <rFont val="Calibri"/>
      </rPr>
      <t xml:space="preserve">SEQ Description / Filter Expr.
</t>
    </r>
    <r>
      <rPr>
        <sz val="11"/>
        <color rgb="FF000000"/>
        <rFont val="Calibri"/>
      </rPr>
      <t xml:space="preserve">Does not have limit, however, fluent validation appears if &gt;255
</t>
    </r>
    <r>
      <rPr>
        <i/>
        <sz val="11"/>
        <color rgb="FF000000"/>
        <rFont val="Calibri"/>
      </rPr>
      <t>Existing window varies</t>
    </r>
    <r>
      <rPr>
        <sz val="11"/>
        <color rgb="FF000000"/>
        <rFont val="Calibri"/>
      </rPr>
      <t xml:space="preserve"> based on width of characters entered
Data base limit is 255
</t>
    </r>
    <r>
      <rPr>
        <b/>
        <sz val="11"/>
        <color rgb="FF000000"/>
        <rFont val="Calibri"/>
      </rPr>
      <t xml:space="preserve">Lookup Table:
</t>
    </r>
    <r>
      <rPr>
        <sz val="11"/>
        <color rgb="FF000000"/>
        <rFont val="Calibri"/>
      </rPr>
      <t xml:space="preserve">Does not have limit, however, fluent validation appears if &gt;30
</t>
    </r>
    <r>
      <rPr>
        <i/>
        <sz val="11"/>
        <color rgb="FF000000"/>
        <rFont val="Calibri"/>
      </rPr>
      <t>Existing window varies</t>
    </r>
    <r>
      <rPr>
        <sz val="11"/>
        <color rgb="FF000000"/>
        <rFont val="Calibri"/>
      </rPr>
      <t xml:space="preserve"> based on width of characters entered
Data base limit is 30
</t>
    </r>
    <r>
      <rPr>
        <b/>
        <sz val="11"/>
        <color rgb="FF000000"/>
        <rFont val="Calibri"/>
      </rPr>
      <t xml:space="preserve">Code:
</t>
    </r>
    <r>
      <rPr>
        <sz val="11"/>
        <color rgb="FF000000"/>
        <rFont val="Calibri"/>
      </rPr>
      <t xml:space="preserve">Does not have limit, however, fluent validation appears if &gt;12
</t>
    </r>
    <r>
      <rPr>
        <i/>
        <sz val="11"/>
        <color rgb="FF000000"/>
        <rFont val="Calibri"/>
      </rPr>
      <t>Existing window varies</t>
    </r>
    <r>
      <rPr>
        <sz val="11"/>
        <color rgb="FF000000"/>
        <rFont val="Calibri"/>
      </rPr>
      <t xml:space="preserve"> based on width of characters entered
Data base limit is 12</t>
    </r>
  </si>
  <si>
    <t>UI Guidelines ID #57; Current rule is to match front end limits; however, when it varies based on the character width, should no limit apply and only leave FluentValidation to catch limits?</t>
  </si>
  <si>
    <t>Pass with Comments</t>
  </si>
  <si>
    <r>
      <rPr>
        <b/>
        <sz val="11"/>
        <color theme="6"/>
        <rFont val="Calibri"/>
      </rPr>
      <t xml:space="preserve">4/3: </t>
    </r>
    <r>
      <rPr>
        <sz val="11"/>
        <color theme="6"/>
        <rFont val="Calibri"/>
      </rPr>
      <t>See Defect 32</t>
    </r>
  </si>
  <si>
    <t>2/4: We will rely on FluentValidation</t>
  </si>
  <si>
    <t>Delete last row loses focus</t>
  </si>
  <si>
    <t>1. LOOKUP_SEQ 2 deleted
2. User tries Ctrl + S and/or F3 on keyboard</t>
  </si>
  <si>
    <t>Focus is failing</t>
  </si>
  <si>
    <t>Newly added laste row loses focus</t>
  </si>
  <si>
    <t>1. LOOKUP_SEQ added as last row
2. User tries Ctrl + S  and/or F3 on keyboard</t>
  </si>
  <si>
    <t>Added Row not visible</t>
  </si>
  <si>
    <t>Scenario occurs when more than 4 LOOKUP_SEQ rows exist
1. Select Row then use Shift + F6 or Add Row (right click)
2. Window goes down to the last existing sequence number
3. User has to scroll down to get to newly added row</t>
  </si>
  <si>
    <t>UI guidelines have new added rows added to the top, however, this one has to behave differently as LOOKUP_SEQ needs to be assigned. Need to see if there is a way to focus on newly added row</t>
  </si>
  <si>
    <t>Double Click docket code feature missing</t>
  </si>
  <si>
    <t>PB window might be using same category as Minutes (PROFIL/DKT_MAINT_AC) but devs would need to confirm. CT_DEV profile should be able to double click docket code from Associated Dockets to launch Docket Code Maintenance window.</t>
  </si>
  <si>
    <t>UI Guidelines #72-73; In app version, should launch legacy Docket Code Maintenance window; in web, should display generic message that feature is unavailable in web (see Court Control, MOCS Defn. button)</t>
  </si>
  <si>
    <t>See Defect 29</t>
  </si>
  <si>
    <t>2/9: Fixed</t>
  </si>
  <si>
    <t>Pending Changes - Message Logic</t>
  </si>
  <si>
    <r>
      <t xml:space="preserve">Can this be triggered only if user is trying to refresh or close window? Current behavior is when user </t>
    </r>
    <r>
      <rPr>
        <b/>
        <sz val="11"/>
        <rFont val="Calibri"/>
        <family val="2"/>
      </rPr>
      <t>tabs</t>
    </r>
    <r>
      <rPr>
        <sz val="11"/>
        <rFont val="Calibri"/>
        <family val="2"/>
      </rPr>
      <t xml:space="preserve"> out of Description, message populates as changes were made. If user clicks cancel 
We have the bolded text to indicate pending changes so message seems redundant at this level.</t>
    </r>
  </si>
  <si>
    <t>2/5: Need to discuss
2/10: Fixed
4/8: Need discussion, currently ParmLookups NG will prompt the user when they attempt to select a Description entry after making a change. This is consistent with our other windows that prompt between changes, and also consistent with the current PB window. 
4/9: Fixed, this was related to deffect # 37</t>
  </si>
  <si>
    <t>Edit and Save a row</t>
  </si>
  <si>
    <t>1. User modifies row and saves (*MUTEST updated to ZMUTEST)
2. Row remains in current position (ZMUTEST is at top of list)
3. User F3 refresh and modified row then resorts (ZMUTEST resorts into bottom part of list)</t>
  </si>
  <si>
    <t>We need consistency in behavior of saving changes as this is different across windows. Error Codes resorts modified data after save</t>
  </si>
  <si>
    <t>Changed *BYTEST NG to ZBYTEST NG. Row moves to the bottom of Description section after save. Need to confirm if this is expected behavior.</t>
  </si>
  <si>
    <t>FluentValidation on PL Rows</t>
  </si>
  <si>
    <t>1. User selects row to delete (row is associated to old version of DC)
2. User tries to delete row
3. Fluentvalidation "Entry has associations, unable to delete"
4. User clicks out of row: Vision; The information entered does not pass validation and must be corrected before changes can be saved.
Close without saving changes?</t>
  </si>
  <si>
    <t>The message displayed does not make sense for scenario. User cannot correct changes as the row cannot be deleted. Also, don't believe it makes sense to have FluentValidation appear on first field for scenario.</t>
  </si>
  <si>
    <r>
      <rPr>
        <b/>
        <sz val="11"/>
        <color theme="6"/>
        <rFont val="Calibri"/>
      </rPr>
      <t xml:space="preserve">4/3: </t>
    </r>
    <r>
      <rPr>
        <sz val="11"/>
        <color theme="6"/>
        <rFont val="Calibri"/>
      </rPr>
      <t xml:space="preserve">Needs discussion with devs. This error message appears as a fluent validation rather than a row level validation
</t>
    </r>
    <r>
      <rPr>
        <b/>
        <sz val="11"/>
        <color theme="6"/>
        <rFont val="Calibri"/>
      </rPr>
      <t>4/16:</t>
    </r>
    <r>
      <rPr>
        <sz val="11"/>
        <color theme="6"/>
        <rFont val="Calibri"/>
      </rPr>
      <t xml:space="preserve"> Updated to no action.</t>
    </r>
  </si>
  <si>
    <t>2/5: Need to discuss
2/10: With fluent validation there, the message has to be targetted on a field unless we want to add another custom message box popup. User must cancel edit to remove validation messages before continuing.
4/8: Need discussion, fluent validations have to be tied to a field unless we want something custom.
4/9: Decided to keep validation on first row, this is our standard.</t>
  </si>
  <si>
    <t>Copy data from previous rows</t>
  </si>
  <si>
    <t>Cannot highlight data in read-only view when another row is in edit mode</t>
  </si>
  <si>
    <t>User has to exit edit mode, copy/paste, then return to edit mode</t>
  </si>
  <si>
    <t>4/3: Needs discussion with devs. We do not have a way to highlight/ copy read only fields while in edit mode. PB uses Ctrl + Shift + Click shortcut for this
4/9: No action</t>
  </si>
  <si>
    <t>2/10: The user will be allowed to highlight an entry regardless of edit mode or not, however any clicks outside the currently edited row will put it out of edit mode by default
4/8: Need discussion, this would be new.</t>
  </si>
  <si>
    <t>Filter applied displays unrelated LOOKUP_SEQ section</t>
  </si>
  <si>
    <t>1. User applies Description Filter on window
2. No rows selected, user sees LOOKUP_SEQ rows associated with last highlited row</t>
  </si>
  <si>
    <t>4/3: LOOKUP_SEQ data from the top row of the filtered Description section appears</t>
  </si>
  <si>
    <t>Black Border around window when refresh</t>
  </si>
  <si>
    <t>1. User clicks space to right of Associated Dockets
2. User selects F3 on keyboard &gt; blakc border temporarily appears on window, refreshes, then disappears</t>
  </si>
  <si>
    <t>Can this be removed? Also noticed that F2 on keyboard is displaying the border</t>
  </si>
  <si>
    <t xml:space="preserve">General </t>
  </si>
  <si>
    <t>F7/F8 Delay in loading</t>
  </si>
  <si>
    <t>1. User selects F8
2. Next row is higlighted in middle of field
3. Row then moves to top</t>
  </si>
  <si>
    <t>Next row is always at top in current window
Needs discussion</t>
  </si>
  <si>
    <r>
      <rPr>
        <b/>
        <sz val="11"/>
        <color theme="6"/>
        <rFont val="Calibri"/>
      </rPr>
      <t>4/3</t>
    </r>
    <r>
      <rPr>
        <sz val="11"/>
        <color theme="6"/>
        <rFont val="Calibri"/>
      </rPr>
      <t>: The row selected no longer changes, but now the middle row on the page is always selected.</t>
    </r>
  </si>
  <si>
    <t>2/10: https://support.syncfusion.com/support/tickets/811796 Turning on virtualization for top, but it causes issues for the bottom, should discuss
4/10: Fixed, issue was row height not being set correctly.</t>
  </si>
  <si>
    <t>Double Click from Docket Code Maintenance errors</t>
  </si>
  <si>
    <t>1. User double clicks Lookup Table from Docket code.
2. Menu Security Error displays "Unable to set security for w_ct_m_parm_lookups_bzr. The program not registered with the menu security or The current user is not authorized to operate this program!!!"</t>
  </si>
  <si>
    <t>Verified VNGWIN/PROFIL categories created; only able to test in PB window as blazor Docket Code Maintenance window not created yet.</t>
  </si>
  <si>
    <t>2/9: Sameer to address - fixed</t>
  </si>
  <si>
    <t>Right click in edit mode</t>
  </si>
  <si>
    <t>A gray line appears when right clicking in area outside of row when a row is in edit mode</t>
  </si>
  <si>
    <t>2/9: https://support.syncfusion.com/support/tickets/811784 Fixed with conditional styling</t>
  </si>
  <si>
    <t>Cannot edit Description and LOOKUP_SEQ data</t>
  </si>
  <si>
    <t>Current PB window allows for both updates while NG window errors. Not sure if this should be allowed?</t>
  </si>
  <si>
    <t>Save Loading transparent view not appearing</t>
  </si>
  <si>
    <t xml:space="preserve">Small loading symbols appear in each section rather than the one wheel / transparent view for the entire window
</t>
  </si>
  <si>
    <t>UI Guidelines #80-81</t>
  </si>
  <si>
    <t>2/5: Fixed
4/8: Fixed, added global styling to prevent spinners</t>
  </si>
  <si>
    <t>fluent Validation remains after entry</t>
  </si>
  <si>
    <t>After selecting a dropdown option in a fluent validation field, then clicking to another field, the fluent validation message remains. The message disappears if you click outside of the editted sequence number, or if you use tab</t>
  </si>
  <si>
    <t>4/8: Fixed, added logic to turn off validation message when focusing out after correction.</t>
  </si>
  <si>
    <t>Dropdown searches available for Datatype field</t>
  </si>
  <si>
    <t>Datatype field should not have the Search</t>
  </si>
  <si>
    <t>4/8: Need discussion, dropdown has scroll
4/9: Fixed, removed according to BSA</t>
  </si>
  <si>
    <t>Dropdown search not available for DW Object field</t>
  </si>
  <si>
    <t>DW Object field should have the Search</t>
  </si>
  <si>
    <t>4/8: Need discussion, search is there, this dropdown allows typing in the selected field
4/9: Fixed, already exists, it's just inline since it's a SF combo box</t>
  </si>
  <si>
    <t>RIght click actions when row limit is reached</t>
  </si>
  <si>
    <t>Needs discussion with devs. court.parm_lookups currently allows for 1 character (9 parameters) at most in the LOOKUP_SEQ column. We have a very low priority open AR VISAR-6608 to allow the lookup_seq number to be 2 characters (99), instead of one character (9). We may not want to grey out the add row/ insert row options available based on the current maximum number of parameters</t>
  </si>
  <si>
    <r>
      <rPr>
        <b/>
        <sz val="11"/>
        <color theme="6"/>
        <rFont val="Calibri"/>
      </rPr>
      <t xml:space="preserve">4/9: </t>
    </r>
    <r>
      <rPr>
        <sz val="11"/>
        <color theme="6"/>
        <rFont val="Calibri"/>
      </rPr>
      <t xml:space="preserve">NG window and CRMD region only parm_lookups table will allow for 99 parms. Once AR changes are made in higher regions, NG changes are expected to save &gt;10 parameters
</t>
    </r>
    <r>
      <rPr>
        <b/>
        <sz val="11"/>
        <color theme="6"/>
        <rFont val="Calibri"/>
      </rPr>
      <t xml:space="preserve">4/16: </t>
    </r>
    <r>
      <rPr>
        <sz val="11"/>
        <color theme="6"/>
        <rFont val="Calibri"/>
      </rPr>
      <t>CRMQ throws error when attempting to save 10 parms. CRMD allows you to save 10 parms.</t>
    </r>
  </si>
  <si>
    <t>4/8: Need discussion, instead of having a custom popup message or allowing the user to add an entry when they will not be able to commit it, I just prevent them from adding at all. That request sounds like an enhancement, and would require the database to be modified to allow more characters to be stored in that column.
Need to modify DB, VISAR-6608, prepare to accept 99 params.
4/9: Fixed, allowing 99 sequences now, will need Sameer to run script to update table, but he will address this when he gets to his AR.</t>
  </si>
  <si>
    <t>Regression</t>
  </si>
  <si>
    <t>Docket Code Maintenance</t>
  </si>
  <si>
    <t>Double Click to Parm Lookup window</t>
  </si>
  <si>
    <t>1. Open Docket Code Maintenance
2. Double Click a parm lookup - Editable version of Blazor window opens. 
Expected result is a read only version of the window opens for the selected parm lookup. Rest of the window remains read only as you navigate. The top row in the LOOKUP_SEQ section remains selected even if user clicks other rows.</t>
  </si>
  <si>
    <t>Needs discussion with Devs</t>
  </si>
  <si>
    <r>
      <rPr>
        <b/>
        <sz val="11"/>
        <color theme="6"/>
        <rFont val="Calibri"/>
      </rPr>
      <t>4/16:</t>
    </r>
    <r>
      <rPr>
        <sz val="11"/>
        <color theme="6"/>
        <rFont val="Calibri"/>
      </rPr>
      <t xml:space="preserve"> Defect is not resolved. Needs discussion with Jorge/ Nathan. Defect 43 is related
</t>
    </r>
    <r>
      <rPr>
        <b/>
        <sz val="11"/>
        <color theme="6"/>
        <rFont val="Calibri"/>
      </rPr>
      <t xml:space="preserve">4/23: </t>
    </r>
    <r>
      <rPr>
        <sz val="11"/>
        <color theme="6"/>
        <rFont val="Calibri"/>
      </rPr>
      <t>Might be related to Defect 46</t>
    </r>
  </si>
  <si>
    <t>4/9: Fixed, added generic profile checking, and also added URL checking to see if the user navigated to ParmLookups from another window with MODE=BROWSE. Sameer to implement PB side.
4/20: When navigating from Docket Maint, always readonly.</t>
  </si>
  <si>
    <t>Entering edit mode should have default cursor location</t>
  </si>
  <si>
    <t>Entering edit mode causes cursor to not select top field. User must click the desired field or press tab multiple times (2-4 times) to see the cursor.</t>
  </si>
  <si>
    <t>Added UI Guideline 95 to account for the default edit mode cursor location</t>
  </si>
  <si>
    <t>4/8: Fixed, added focus on first field. I also noticed that when double clicking, Microsoft Edge might pop up a menu that can interfere with the focus. The user can choose to disable it for the window and it won't pop up.</t>
  </si>
  <si>
    <t>Dropdown fields do not work when user uses 'Tile Horizontal' view</t>
  </si>
  <si>
    <t>1. Open PL Blazor Window
2. Open another Vision window
3. Select Window, Tile Horizontal
4. Enter edit mode
5. Modify Date or DW Object dropdown selection - Dropdown options sometimes do not appear. Hard to recreate
6. Exit edit mode - LOOKUP_SEQ section expands and the Description section is no longer visible unless you resize the window</t>
  </si>
  <si>
    <t>Occurs when manually resizing the window too.</t>
  </si>
  <si>
    <r>
      <rPr>
        <b/>
        <sz val="11"/>
        <color rgb="FFA5A5A5"/>
        <rFont val="Calibri"/>
      </rPr>
      <t xml:space="preserve">4/16: </t>
    </r>
    <r>
      <rPr>
        <sz val="11"/>
        <color rgb="FFA5A5A5"/>
        <rFont val="Calibri"/>
      </rPr>
      <t xml:space="preserve">Defect is not resolved. Demo video sent to devs
</t>
    </r>
    <r>
      <rPr>
        <b/>
        <sz val="11"/>
        <color rgb="FFA5A5A5"/>
        <rFont val="Calibri"/>
      </rPr>
      <t>4/23:</t>
    </r>
    <r>
      <rPr>
        <sz val="11"/>
        <color rgb="FFA5A5A5"/>
        <rFont val="Calibri"/>
      </rPr>
      <t xml:space="preserve"> Dropdown now appears in the correct position consistently, but the freezing still occurs. Difficult to recreate. There is a white area on the bottom of the window too when you minimize.
Can mark as no action if this cannot be resolved. BSAs will likely not use this view for the Parm Lookup window.
</t>
    </r>
    <r>
      <rPr>
        <b/>
        <sz val="11"/>
        <color rgb="FF000000"/>
        <rFont val="Calibri"/>
      </rPr>
      <t>4/28:</t>
    </r>
    <r>
      <rPr>
        <sz val="11"/>
        <color rgb="FF000000"/>
        <rFont val="Calibri"/>
      </rPr>
      <t xml:space="preserve"> Marked No Action</t>
    </r>
  </si>
  <si>
    <t>4/10: Unable to recreate
4/17: Updated styling for resizing, hopefully this fixes it.
4/23: No action.</t>
  </si>
  <si>
    <t>fluent Validation does not show character limit issues in edit mode</t>
  </si>
  <si>
    <t>fluent validation for character limits appear after attempting to exit edit mode, but do not appear when switching fields/ tabbing through fields</t>
  </si>
  <si>
    <t>Needs discussion with devs. The fluent validation appears when you exit edit mode for the optional fields, while required fields show the fluent validation when you switch fields.</t>
  </si>
  <si>
    <r>
      <rPr>
        <b/>
        <sz val="11"/>
        <color theme="6"/>
        <rFont val="Calibri"/>
      </rPr>
      <t>4/16:</t>
    </r>
    <r>
      <rPr>
        <sz val="11"/>
        <color theme="6"/>
        <rFont val="Calibri"/>
      </rPr>
      <t xml:space="preserve"> Devs will add the max lengths to DW Object field. Other fields work as expected with the max length updates</t>
    </r>
  </si>
  <si>
    <t>4/8: Fixed, added max lengths to fields to be like Event Codes.
4/17: Added max length to DW Object.</t>
  </si>
  <si>
    <t>Description Section</t>
  </si>
  <si>
    <t>Double Click between rows sometimes does not open edit mode</t>
  </si>
  <si>
    <t>1. Double click row 1 - edit mode opens
2. Double click row 2 - edit mode may or may not open. The edit mode does not open if the select is still loading. There might need to be a slight delay added to check for a second click (edit mode) before loading the first click (select)</t>
  </si>
  <si>
    <t>See Code Entries or LOOKUP_SEQ section for expected behavior</t>
  </si>
  <si>
    <t>4/13: Turning on virtualization helps prevent this issue.</t>
  </si>
  <si>
    <t>Modifying a row with column sort</t>
  </si>
  <si>
    <t>1. Apply column sort to description section
2. Change the code from *BYTEST NG to ZBYTEST NG
3. Press enter - Pending changes prompt appears while the row moves locations</t>
  </si>
  <si>
    <t>4/8: Need discussion, while a sort is applied the added entry will leave to be sorted, then the grid auto selects the current index. We would have to ignore this auto select in the base class and go to the index of the added entry. 
Get rid of sort on add.
4/10: Fixed, getting rid of sorting on add.</t>
  </si>
  <si>
    <t>Validation Error Message</t>
  </si>
  <si>
    <t>1. On an existing parm lookup, Add 256 characters to optional field  like SEQ Description
2. Switch description rows, see error message "The information entered does not pass validation and must be corrected before changes can be saved.
Close without saving changes?"</t>
  </si>
  <si>
    <t>Use validation error message from UI Guidelines 74,78,79. See bail schedule window for reference.</t>
  </si>
  <si>
    <t>4/8: Need discussion, we have separate messages for trying to save and trying to navigate away. The one for navigating away allows the user to leave the entry and discard changes, or remain to see what the issue is.
4/9: Fixed, uses same method as Bail Schedule.</t>
  </si>
  <si>
    <t>1. Add new description
2. Add new lookup sequence - do not fill in values
3. Switch description rows - receive 'Pending Changes' message twice. One instance is expected, but the second may be occuring because there are validation errors in the lookup_seq section</t>
  </si>
  <si>
    <t>4/17: Cancel editing in children when response to pending changes is "No"</t>
  </si>
  <si>
    <t>DW Object button</t>
  </si>
  <si>
    <t>Button height is taller than the DW Object field</t>
  </si>
  <si>
    <t>The button height goes below the DW Object field. See screenshots for ID 40.</t>
  </si>
  <si>
    <t>4/17: Added styling fix</t>
  </si>
  <si>
    <t>Focus changes after save</t>
  </si>
  <si>
    <t>1. Creating new description
2. Create new lookup_seq
3. Save changes with Ctrl + S - description row above the newly added description is selected, or the Description selection disappears while the lookup_seq continues to show the newly added row</t>
  </si>
  <si>
    <t>Using Description *BYTEST NG 2 showed the first behavior, and 3 - DBYTEST NG showed the second behavior
Needs discussion with Devs</t>
  </si>
  <si>
    <r>
      <rPr>
        <b/>
        <sz val="11"/>
        <color theme="6"/>
        <rFont val="Calibri"/>
      </rPr>
      <t>4/23:</t>
    </r>
    <r>
      <rPr>
        <sz val="11"/>
        <color theme="6"/>
        <rFont val="Calibri"/>
      </rPr>
      <t xml:space="preserve"> Changes work when the new description appears in the first 8-9 rows. Issue continues to occur when the new description does not appear on the first 8-9 rows. Changed to PB Only
</t>
    </r>
    <r>
      <rPr>
        <b/>
        <sz val="11"/>
        <color theme="6"/>
        <rFont val="Calibri"/>
      </rPr>
      <t>4/28:</t>
    </r>
    <r>
      <rPr>
        <sz val="11"/>
        <color theme="6"/>
        <rFont val="Calibri"/>
      </rPr>
      <t xml:space="preserve"> In PB after Ctrl + S save, no rows are selected, but the correct child record displays. In PB, middle row of the first page is selected. Web version has the same behavior.</t>
    </r>
  </si>
  <si>
    <t>4/17: Modified to find index of added row and scroll to it, or by default when deleting the next row is auto selected by SyncFusion
4/24: We will no longer refetch data on save in ParmLookups to mirror original. However, we still want to have a level of concurrency checking. Any change to a Lookup Nbr, whether it's adding a new Lookup Seq or editing any existing Lookup Seq, will cause a concurrency error in another window that has not retrieved the latest.</t>
  </si>
  <si>
    <t>Docket Code sort</t>
  </si>
  <si>
    <t>Double Clicking 'Docket Code' column to sort opens Docket Code Maintenance</t>
  </si>
  <si>
    <t>When you quickly change the sort under 'Docket Code' column, Docket Code maintenance may open for the top docket code. See Activity Process Codes PL as an example</t>
  </si>
  <si>
    <t>4/17: Added guard to double click to prevent header clicks from counting</t>
  </si>
  <si>
    <t>PB Docket Code Maintenance</t>
  </si>
  <si>
    <t>Opening the old version of PL</t>
  </si>
  <si>
    <t>Opening the old version of parm lookups window through Ctrl + Shift + Double Click no longer displays a read only version of the PB Parm Lookups window</t>
  </si>
  <si>
    <t>May be a defect related to Sameer's fix. Related to Defect 30</t>
  </si>
  <si>
    <r>
      <rPr>
        <b/>
        <sz val="11"/>
        <color theme="6"/>
        <rFont val="Calibri"/>
      </rPr>
      <t>4/23:</t>
    </r>
    <r>
      <rPr>
        <sz val="11"/>
        <color theme="6"/>
        <rFont val="Calibri"/>
      </rPr>
      <t xml:space="preserve"> Defect still exists</t>
    </r>
  </si>
  <si>
    <t>4/17: Sameer needed
4/24: Sameer should have fix and build.</t>
  </si>
  <si>
    <t>Window</t>
  </si>
  <si>
    <t>Window does not load data</t>
  </si>
  <si>
    <t>1. Open PL Blazor Window
2. Double Click an associated docket code
3. Close the PL Blazor Window with the Docket Code Maintenance window still selected
4. Open PL Blazor Window through Main &gt; Tables &gt; Parm Lookups - window loads with no data. See Screenshot ID 46.</t>
  </si>
  <si>
    <t>Able to recreate consistently between 1:05pm and 2:30pm 4/23, but could not recreate afterwards.</t>
  </si>
  <si>
    <r>
      <rPr>
        <b/>
        <sz val="11"/>
        <color rgb="FFA5A5A5"/>
        <rFont val="Calibri"/>
      </rPr>
      <t xml:space="preserve">4/23: </t>
    </r>
    <r>
      <rPr>
        <sz val="11"/>
        <color rgb="FFA5A5A5"/>
        <rFont val="Calibri"/>
      </rPr>
      <t xml:space="preserve">Can mark as no action if this cannot be consistently recreated.
</t>
    </r>
    <r>
      <rPr>
        <b/>
        <sz val="11"/>
        <color rgb="FF000000"/>
        <rFont val="Calibri"/>
      </rPr>
      <t>4/28:</t>
    </r>
    <r>
      <rPr>
        <sz val="11"/>
        <color rgb="FF000000"/>
        <rFont val="Calibri"/>
      </rPr>
      <t xml:space="preserve"> Marked No Action</t>
    </r>
  </si>
  <si>
    <t>4/24: No action for now, if this reoccurs frequently in other windows too we will address it.</t>
  </si>
  <si>
    <t>Docket Code</t>
  </si>
  <si>
    <t>Filter cuts off on the right side</t>
  </si>
  <si>
    <t>Column filter cuts off on the right side for the 'Docket Code' column.</t>
  </si>
  <si>
    <t>UI Guideline 22</t>
  </si>
  <si>
    <t>4/27: Added padding to Assoc grid to allow space.</t>
  </si>
  <si>
    <t>New</t>
  </si>
  <si>
    <t>Description and LOOKUP_SEQ sections</t>
  </si>
  <si>
    <t>Restore button</t>
  </si>
  <si>
    <t xml:space="preserve">Restore button can be removed from Description and LOOKUP_SEQ sections. </t>
  </si>
  <si>
    <t>4/29: Removed restore</t>
  </si>
  <si>
    <t>Right click empty area</t>
  </si>
  <si>
    <t>Scenario A
1. Select Description with 1 or 2 LOOKUP_SEQ numbers
2. Add a new parameter with valid entries
3. Exit edit mode
4. Right click area within LOOKUP_SEQ section without a row - the selected row changes
Scenario B
1. Select Description with 1 or 2 LOOKUP_SEQ numbers
2. Right click area within LOOKUP_SEQ section without a row - the selected row changes</t>
  </si>
  <si>
    <t>If user right clicks an empty area, the only option available will be to 'Add' a row. The previously selected option will remain selected.</t>
  </si>
  <si>
    <t>The following scenario occurs, and can be addressed in future windows if needed. This scenario does not occur under normal window use:
1. Open Description with 2 or 3 LOOKUP_SEQ numbers
2. Right click and delete one LOOKUP_SEQ number
3. Left click or right click the space in LOOKUP_SEQ section that does not have LOOKUP_SEQ number
4. Right click one of the remaining rows - 3 options are available, but the Edit and Delete options are greyed out. Expected result is the row would be selected.</t>
  </si>
  <si>
    <t>4/29: This is a SyncFusion datagrid bug. We have a ticket in.
https://blazorplayground.syncfusion.com/VtrdjTAttXQCilIr</t>
  </si>
  <si>
    <t>Double click displays no data</t>
  </si>
  <si>
    <t>Double click a parm lookup from Docket Code Maintenance loads the top lookup instead of the lookup selected in Docket Code Maintenance</t>
  </si>
  <si>
    <t>Count of Scenario Type</t>
  </si>
  <si>
    <t>Column Labels</t>
  </si>
  <si>
    <t>QA #</t>
  </si>
  <si>
    <t>HH:MM</t>
  </si>
  <si>
    <t>Row Labels</t>
  </si>
  <si>
    <t>Grand Total</t>
  </si>
  <si>
    <t>Count of Bug Type</t>
  </si>
  <si>
    <t>Count of Status</t>
  </si>
  <si>
    <t>Return to Dev</t>
  </si>
  <si>
    <t>Screenshots</t>
  </si>
  <si>
    <t>Fail</t>
  </si>
  <si>
    <t>Retest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</si>
</sst>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9">
    <font>
      <sz val="11"/>
      <color theme="1"/>
      <name val="Aptos Narrow"/>
      <family val="2"/>
      <scheme val="minor"/>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1"/>
      <color theme="0" tint="-0.34998626667073579"/>
      <name val="Calibri"/>
      <family val="2"/>
    </font>
    <font>
      <u/>
      <sz val="11"/>
      <color theme="10"/>
      <name val="Aptos Narrow"/>
      <family val="2"/>
      <scheme val="minor"/>
    </font>
    <font>
      <u/>
      <sz val="11"/>
      <color theme="10"/>
      <name val="Calibri"/>
      <family val="2"/>
    </font>
    <font>
      <b/>
      <sz val="11"/>
      <color theme="1"/>
      <name val="Calibri"/>
      <family val="2"/>
    </font>
    <font>
      <b/>
      <sz val="12"/>
      <color theme="1"/>
      <name val="Calibri"/>
      <family val="2"/>
    </font>
    <font>
      <b/>
      <sz val="12"/>
      <color theme="0"/>
      <name val="Calibri"/>
      <family val="2"/>
    </font>
    <font>
      <sz val="11"/>
      <color theme="1"/>
      <name val="Wingdings"/>
      <charset val="2"/>
    </font>
    <font>
      <sz val="12"/>
      <color theme="1"/>
      <name val="Calibri"/>
      <family val="2"/>
    </font>
    <font>
      <sz val="12"/>
      <color theme="0"/>
      <name val="Calibri"/>
      <family val="2"/>
    </font>
    <font>
      <b/>
      <sz val="11"/>
      <color rgb="FF000000"/>
      <name val="Calibri"/>
    </font>
    <font>
      <sz val="11"/>
      <color rgb="FF000000"/>
      <name val="Calibri"/>
    </font>
    <font>
      <i/>
      <sz val="11"/>
      <color rgb="FF000000"/>
      <name val="Calibri"/>
    </font>
    <font>
      <sz val="11"/>
      <color rgb="FF000000"/>
      <name val="Calibri"/>
      <family val="2"/>
    </font>
    <font>
      <b/>
      <sz val="11"/>
      <color theme="0" tint="-0.34998626667073579"/>
      <name val="Calibri"/>
      <family val="2"/>
    </font>
    <font>
      <sz val="11"/>
      <color rgb="FFA5A5A5"/>
      <name val="Calibri"/>
    </font>
    <font>
      <sz val="11"/>
      <color rgb="FF000000"/>
      <name val="Calibri"/>
      <charset val="1"/>
    </font>
    <font>
      <sz val="11"/>
      <color theme="6"/>
      <name val="Calibri"/>
    </font>
    <font>
      <b/>
      <sz val="11"/>
      <color theme="6"/>
      <name val="Calibri"/>
    </font>
    <font>
      <b/>
      <sz val="11"/>
      <color theme="1"/>
      <name val="Aptos Narrow"/>
      <family val="2"/>
      <scheme val="minor"/>
    </font>
    <font>
      <b/>
      <sz val="11"/>
      <color rgb="FFA5A5A5"/>
      <name val="Calibri"/>
    </font>
    <font>
      <sz val="11"/>
      <color theme="6"/>
      <name val="Calibri"/>
      <family val="2"/>
    </font>
    <font>
      <sz val="11"/>
      <color theme="1"/>
      <name val="Calibri"/>
    </font>
    <font>
      <b/>
      <sz val="12"/>
      <color theme="0"/>
      <name val="Calibri"/>
    </font>
  </fonts>
  <fills count="7">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0"/>
        <bgColor indexed="64"/>
      </patternFill>
    </fill>
  </fills>
  <borders count="2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theme="0" tint="-0.499984740745262"/>
      </left>
      <right style="thin">
        <color theme="0" tint="-0.499984740745262"/>
      </right>
      <top style="thin">
        <color theme="0" tint="-0.499984740745262"/>
      </top>
      <bottom/>
      <diagonal/>
    </border>
    <border>
      <left style="thin">
        <color rgb="FF000000"/>
      </left>
      <right style="thin">
        <color rgb="FF000000"/>
      </right>
      <top style="thin">
        <color rgb="FF000000"/>
      </top>
      <bottom/>
      <diagonal/>
    </border>
  </borders>
  <cellStyleXfs count="2">
    <xf numFmtId="0" fontId="0" fillId="0" borderId="0"/>
    <xf numFmtId="0" fontId="7" fillId="0" borderId="0" applyNumberFormat="0" applyFill="0" applyBorder="0" applyAlignment="0" applyProtection="0"/>
  </cellStyleXfs>
  <cellXfs count="111">
    <xf numFmtId="0" fontId="0" fillId="0" borderId="0" xfId="0"/>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6" fillId="0" borderId="1" xfId="0" applyFont="1" applyBorder="1" applyAlignment="1">
      <alignment vertical="top" wrapText="1"/>
    </xf>
    <xf numFmtId="0" fontId="6" fillId="0" borderId="1" xfId="0" applyFont="1" applyBorder="1" applyAlignment="1">
      <alignment horizontal="left" vertical="top" wrapText="1"/>
    </xf>
    <xf numFmtId="0" fontId="3" fillId="0" borderId="0" xfId="0" applyFont="1"/>
    <xf numFmtId="0" fontId="8" fillId="0" borderId="1" xfId="1" applyFont="1" applyBorder="1" applyAlignment="1">
      <alignment horizontal="left" vertical="top" wrapText="1"/>
    </xf>
    <xf numFmtId="0" fontId="3" fillId="0" borderId="0" xfId="0" applyFont="1" applyAlignment="1">
      <alignment vertical="top"/>
    </xf>
    <xf numFmtId="0" fontId="3" fillId="0" borderId="0" xfId="0" applyFont="1" applyAlignment="1">
      <alignment horizontal="left" vertical="top" wrapText="1"/>
    </xf>
    <xf numFmtId="0" fontId="3" fillId="0" borderId="0" xfId="0" applyFont="1" applyAlignment="1">
      <alignment vertical="top" wrapText="1"/>
    </xf>
    <xf numFmtId="0" fontId="9" fillId="0" borderId="2" xfId="0" applyFont="1" applyBorder="1"/>
    <xf numFmtId="0" fontId="2" fillId="0" borderId="0" xfId="0" applyFont="1"/>
    <xf numFmtId="0" fontId="9" fillId="0" borderId="6" xfId="0" applyFont="1" applyBorder="1"/>
    <xf numFmtId="0" fontId="9" fillId="0" borderId="7" xfId="0" applyFont="1" applyBorder="1"/>
    <xf numFmtId="0" fontId="10" fillId="3" borderId="2" xfId="0" applyFont="1" applyFill="1" applyBorder="1" applyAlignment="1">
      <alignment horizontal="center"/>
    </xf>
    <xf numFmtId="0" fontId="11" fillId="4" borderId="2" xfId="0" applyFont="1" applyFill="1" applyBorder="1" applyAlignment="1">
      <alignment horizontal="center"/>
    </xf>
    <xf numFmtId="0" fontId="13" fillId="0" borderId="0" xfId="0" applyFont="1"/>
    <xf numFmtId="0" fontId="13" fillId="0" borderId="0" xfId="0" pivotButton="1" applyFont="1"/>
    <xf numFmtId="0" fontId="13" fillId="0" borderId="2" xfId="0" applyFont="1" applyBorder="1"/>
    <xf numFmtId="0" fontId="13" fillId="0" borderId="2" xfId="0" applyNumberFormat="1" applyFont="1" applyBorder="1"/>
    <xf numFmtId="0" fontId="13" fillId="0" borderId="2" xfId="0" applyFont="1" applyBorder="1" applyAlignment="1">
      <alignment horizontal="left"/>
    </xf>
    <xf numFmtId="0" fontId="14" fillId="4" borderId="2" xfId="0" applyNumberFormat="1" applyFont="1" applyFill="1" applyBorder="1"/>
    <xf numFmtId="0" fontId="13" fillId="0" borderId="0" xfId="0" applyFont="1" applyAlignment="1">
      <alignment horizontal="left"/>
    </xf>
    <xf numFmtId="0" fontId="13" fillId="0" borderId="0" xfId="0" applyNumberFormat="1" applyFont="1"/>
    <xf numFmtId="0" fontId="10" fillId="3" borderId="3" xfId="0" applyFont="1" applyFill="1" applyBorder="1" applyAlignment="1">
      <alignment horizontal="center"/>
    </xf>
    <xf numFmtId="20" fontId="11" fillId="4" borderId="3" xfId="0" applyNumberFormat="1" applyFont="1" applyFill="1" applyBorder="1" applyAlignment="1">
      <alignment horizontal="center"/>
    </xf>
    <xf numFmtId="0" fontId="13" fillId="0" borderId="2" xfId="0" pivotButton="1" applyFont="1" applyBorder="1"/>
    <xf numFmtId="14" fontId="14" fillId="4" borderId="2" xfId="0" applyNumberFormat="1" applyFont="1" applyFill="1" applyBorder="1" applyAlignment="1">
      <alignment horizontal="left"/>
    </xf>
    <xf numFmtId="0" fontId="13" fillId="0" borderId="2" xfId="0" applyFont="1" applyBorder="1" applyAlignment="1">
      <alignment horizontal="left" indent="1"/>
    </xf>
    <xf numFmtId="0" fontId="13" fillId="0" borderId="2" xfId="0" applyFont="1" applyBorder="1" applyAlignment="1">
      <alignment horizontal="left" indent="2"/>
    </xf>
    <xf numFmtId="0" fontId="18"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0" fontId="1" fillId="0" borderId="1" xfId="0" applyFont="1" applyBorder="1" applyAlignment="1">
      <alignment vertical="top"/>
    </xf>
    <xf numFmtId="164" fontId="1" fillId="0" borderId="1" xfId="0" applyNumberFormat="1" applyFont="1" applyFill="1" applyBorder="1" applyAlignment="1">
      <alignment horizontal="center" vertical="top" wrapText="1"/>
    </xf>
    <xf numFmtId="0" fontId="1" fillId="0" borderId="1" xfId="0" applyFont="1" applyFill="1" applyBorder="1" applyAlignment="1">
      <alignment horizontal="center" vertical="top" wrapText="1"/>
    </xf>
    <xf numFmtId="0" fontId="1" fillId="0" borderId="0" xfId="0" applyFont="1" applyFill="1" applyAlignment="1">
      <alignment vertical="top"/>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164" fontId="1" fillId="0" borderId="1" xfId="0" applyNumberFormat="1" applyFont="1" applyBorder="1" applyAlignment="1">
      <alignment horizontal="center" vertical="top" wrapText="1"/>
    </xf>
    <xf numFmtId="0" fontId="1" fillId="0" borderId="1" xfId="0" applyFont="1" applyBorder="1" applyAlignment="1">
      <alignment horizontal="center" vertical="top"/>
    </xf>
    <xf numFmtId="0" fontId="1" fillId="0" borderId="3" xfId="0" applyFont="1" applyBorder="1"/>
    <xf numFmtId="0" fontId="1" fillId="0" borderId="4" xfId="0" applyFont="1" applyBorder="1"/>
    <xf numFmtId="0" fontId="1" fillId="0" borderId="5" xfId="0" applyFont="1" applyBorder="1"/>
    <xf numFmtId="0" fontId="1" fillId="0" borderId="9" xfId="0" applyFont="1" applyBorder="1"/>
    <xf numFmtId="0" fontId="1" fillId="0" borderId="10" xfId="0" applyFont="1" applyBorder="1"/>
    <xf numFmtId="0" fontId="1" fillId="0" borderId="7" xfId="0" applyFont="1" applyBorder="1"/>
    <xf numFmtId="0" fontId="1" fillId="0" borderId="0" xfId="0" applyFont="1" applyBorder="1"/>
    <xf numFmtId="0" fontId="1" fillId="0" borderId="11" xfId="0" applyFont="1" applyBorder="1"/>
    <xf numFmtId="0" fontId="1" fillId="0" borderId="8" xfId="0" applyFont="1" applyBorder="1"/>
    <xf numFmtId="0" fontId="1" fillId="0" borderId="12" xfId="0" applyFont="1" applyBorder="1"/>
    <xf numFmtId="0" fontId="1" fillId="0" borderId="13" xfId="0" applyFont="1" applyBorder="1"/>
    <xf numFmtId="0" fontId="1" fillId="0" borderId="14" xfId="0" applyFont="1" applyBorder="1"/>
    <xf numFmtId="0" fontId="1" fillId="0" borderId="15" xfId="0" applyFont="1" applyBorder="1"/>
    <xf numFmtId="0" fontId="1" fillId="0" borderId="16" xfId="0" applyFont="1" applyBorder="1"/>
    <xf numFmtId="0" fontId="1" fillId="0" borderId="0" xfId="0" applyFont="1"/>
    <xf numFmtId="0" fontId="16" fillId="0" borderId="1" xfId="0" applyFont="1" applyBorder="1" applyAlignment="1">
      <alignment vertical="top" wrapText="1"/>
    </xf>
    <xf numFmtId="0" fontId="16" fillId="0" borderId="1" xfId="0" applyFont="1" applyBorder="1" applyAlignment="1">
      <alignment horizontal="left" vertical="top" wrapText="1"/>
    </xf>
    <xf numFmtId="164" fontId="3" fillId="0" borderId="0" xfId="0" applyNumberFormat="1" applyFont="1" applyAlignment="1">
      <alignment horizontal="center" vertical="top" wrapText="1"/>
    </xf>
    <xf numFmtId="0" fontId="20" fillId="0" borderId="1" xfId="0" applyFont="1" applyBorder="1" applyAlignment="1">
      <alignment vertical="top" wrapText="1"/>
    </xf>
    <xf numFmtId="0" fontId="21" fillId="0" borderId="0" xfId="0" applyFont="1"/>
    <xf numFmtId="0" fontId="1" fillId="0" borderId="0" xfId="0" applyFont="1" applyAlignment="1">
      <alignment vertical="top"/>
    </xf>
    <xf numFmtId="0" fontId="1" fillId="0" borderId="0" xfId="0" applyFont="1" applyAlignment="1">
      <alignment vertical="top" wrapText="1"/>
    </xf>
    <xf numFmtId="164" fontId="1" fillId="0" borderId="0" xfId="0" applyNumberFormat="1" applyFont="1" applyAlignment="1">
      <alignment horizontal="center" vertical="top" wrapText="1"/>
    </xf>
    <xf numFmtId="0" fontId="22" fillId="0" borderId="1" xfId="0" applyFont="1" applyBorder="1" applyAlignment="1">
      <alignment vertical="top" wrapText="1"/>
    </xf>
    <xf numFmtId="0" fontId="22" fillId="0" borderId="1" xfId="0" applyFont="1" applyFill="1" applyBorder="1" applyAlignment="1">
      <alignment vertical="top" wrapText="1"/>
    </xf>
    <xf numFmtId="0" fontId="0" fillId="0" borderId="0" xfId="0" pivotButton="1"/>
    <xf numFmtId="0" fontId="0" fillId="0" borderId="17" xfId="0" pivotButton="1" applyBorder="1"/>
    <xf numFmtId="0" fontId="0" fillId="0" borderId="17" xfId="0" applyBorder="1"/>
    <xf numFmtId="164" fontId="0" fillId="0" borderId="17" xfId="0" applyNumberFormat="1" applyBorder="1" applyAlignment="1">
      <alignment horizontal="left"/>
    </xf>
    <xf numFmtId="0" fontId="0" fillId="0" borderId="17" xfId="0" applyNumberFormat="1" applyBorder="1"/>
    <xf numFmtId="0" fontId="0" fillId="0" borderId="17" xfId="0" applyBorder="1" applyAlignment="1">
      <alignment horizontal="left" indent="1"/>
    </xf>
    <xf numFmtId="0" fontId="0" fillId="0" borderId="17" xfId="0" applyBorder="1" applyAlignment="1">
      <alignment horizontal="left" indent="2"/>
    </xf>
    <xf numFmtId="0" fontId="24" fillId="5" borderId="17" xfId="0" applyFont="1" applyFill="1" applyBorder="1"/>
    <xf numFmtId="164" fontId="24" fillId="5" borderId="17" xfId="0" applyNumberFormat="1" applyFont="1" applyFill="1" applyBorder="1" applyAlignment="1">
      <alignment horizontal="left"/>
    </xf>
    <xf numFmtId="164" fontId="0" fillId="6" borderId="17" xfId="0" applyNumberFormat="1" applyFont="1" applyFill="1" applyBorder="1" applyAlignment="1">
      <alignment horizontal="left"/>
    </xf>
    <xf numFmtId="0" fontId="0" fillId="6" borderId="17" xfId="0" applyNumberFormat="1" applyFont="1" applyFill="1" applyBorder="1"/>
    <xf numFmtId="0" fontId="24" fillId="3" borderId="17" xfId="0" applyFont="1" applyFill="1" applyBorder="1"/>
    <xf numFmtId="0" fontId="0" fillId="0" borderId="17" xfId="0" applyNumberFormat="1" applyFont="1" applyBorder="1"/>
    <xf numFmtId="0" fontId="0" fillId="0" borderId="17" xfId="0" applyFont="1" applyBorder="1" applyAlignment="1">
      <alignment horizontal="left" indent="2"/>
    </xf>
    <xf numFmtId="14" fontId="1" fillId="0" borderId="1" xfId="0" applyNumberFormat="1" applyFont="1" applyBorder="1" applyAlignment="1">
      <alignment vertical="top"/>
    </xf>
    <xf numFmtId="0" fontId="1" fillId="6" borderId="1" xfId="0" applyFont="1" applyFill="1" applyBorder="1" applyAlignment="1">
      <alignment vertical="top"/>
    </xf>
    <xf numFmtId="0" fontId="1" fillId="6" borderId="1" xfId="0" applyFont="1" applyFill="1" applyBorder="1" applyAlignment="1">
      <alignment horizontal="center" vertical="top"/>
    </xf>
    <xf numFmtId="14" fontId="0" fillId="0" borderId="17" xfId="0" applyNumberFormat="1" applyBorder="1" applyAlignment="1">
      <alignment horizontal="left"/>
    </xf>
    <xf numFmtId="0" fontId="0" fillId="0" borderId="17" xfId="0" applyBorder="1" applyAlignment="1">
      <alignment horizontal="left"/>
    </xf>
    <xf numFmtId="0" fontId="26" fillId="0" borderId="1" xfId="0" applyFont="1" applyBorder="1" applyAlignment="1">
      <alignment vertical="top" wrapText="1"/>
    </xf>
    <xf numFmtId="0" fontId="1" fillId="0" borderId="17" xfId="0" applyFont="1" applyBorder="1" applyAlignment="1">
      <alignment vertical="top"/>
    </xf>
    <xf numFmtId="14" fontId="1" fillId="0" borderId="17" xfId="0" applyNumberFormat="1" applyFont="1" applyBorder="1" applyAlignment="1">
      <alignment vertical="top"/>
    </xf>
    <xf numFmtId="0" fontId="1" fillId="0" borderId="17" xfId="0" applyFont="1" applyBorder="1" applyAlignment="1">
      <alignment vertical="top" wrapText="1"/>
    </xf>
    <xf numFmtId="164" fontId="1" fillId="0" borderId="17" xfId="0" applyNumberFormat="1" applyFont="1" applyBorder="1" applyAlignment="1">
      <alignment horizontal="center" vertical="top" wrapText="1"/>
    </xf>
    <xf numFmtId="0" fontId="1" fillId="0" borderId="18" xfId="0" applyFont="1" applyBorder="1" applyAlignment="1">
      <alignment vertical="top"/>
    </xf>
    <xf numFmtId="14" fontId="1" fillId="0" borderId="18" xfId="0" applyNumberFormat="1" applyFont="1" applyBorder="1" applyAlignment="1">
      <alignment vertical="top"/>
    </xf>
    <xf numFmtId="164" fontId="1" fillId="0" borderId="18" xfId="0" applyNumberFormat="1" applyFont="1" applyBorder="1" applyAlignment="1">
      <alignment horizontal="center" vertical="top"/>
    </xf>
    <xf numFmtId="0" fontId="1" fillId="0" borderId="18" xfId="0" applyFont="1" applyBorder="1" applyAlignment="1">
      <alignment horizontal="left" vertical="top" wrapText="1"/>
    </xf>
    <xf numFmtId="0" fontId="1" fillId="0" borderId="18" xfId="0" applyFont="1" applyBorder="1" applyAlignment="1">
      <alignment vertical="top" wrapText="1"/>
    </xf>
    <xf numFmtId="164" fontId="1" fillId="0" borderId="18" xfId="0" applyNumberFormat="1" applyFont="1" applyBorder="1" applyAlignment="1">
      <alignment horizontal="center" vertical="top" wrapText="1"/>
    </xf>
    <xf numFmtId="0" fontId="16" fillId="0" borderId="18" xfId="0" applyFont="1" applyBorder="1" applyAlignment="1">
      <alignment vertical="top" wrapText="1"/>
    </xf>
    <xf numFmtId="0" fontId="1" fillId="0" borderId="19" xfId="0" applyFont="1" applyBorder="1" applyAlignment="1">
      <alignment vertical="top"/>
    </xf>
    <xf numFmtId="14" fontId="1" fillId="0" borderId="19" xfId="0" applyNumberFormat="1" applyFont="1" applyBorder="1" applyAlignment="1">
      <alignment vertical="top"/>
    </xf>
    <xf numFmtId="0" fontId="1" fillId="0" borderId="19" xfId="0" applyFont="1" applyBorder="1" applyAlignment="1">
      <alignment vertical="top" wrapText="1"/>
    </xf>
    <xf numFmtId="164" fontId="1" fillId="0" borderId="19" xfId="0" applyNumberFormat="1" applyFont="1" applyBorder="1" applyAlignment="1">
      <alignment horizontal="center" vertical="top" wrapText="1"/>
    </xf>
    <xf numFmtId="0" fontId="28" fillId="4" borderId="2" xfId="0" applyFont="1" applyFill="1" applyBorder="1" applyAlignment="1">
      <alignment horizontal="center"/>
    </xf>
    <xf numFmtId="20" fontId="28" fillId="4" borderId="3" xfId="0" applyNumberFormat="1" applyFont="1" applyFill="1" applyBorder="1" applyAlignment="1">
      <alignment horizontal="center"/>
    </xf>
    <xf numFmtId="0" fontId="0" fillId="0" borderId="19" xfId="0" applyBorder="1" applyAlignment="1">
      <alignment horizontal="left"/>
    </xf>
    <xf numFmtId="0" fontId="0" fillId="0" borderId="19" xfId="0" applyNumberFormat="1" applyBorder="1"/>
    <xf numFmtId="0" fontId="27" fillId="0" borderId="19" xfId="0" applyFont="1" applyBorder="1" applyAlignment="1">
      <alignment vertical="top" wrapText="1"/>
    </xf>
  </cellXfs>
  <cellStyles count="2">
    <cellStyle name="Hyperlink" xfId="1" builtinId="8"/>
    <cellStyle name="Normal" xfId="0" builtinId="0"/>
  </cellStyles>
  <dxfs count="171">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rgb="FF0070C0"/>
      </font>
    </dxf>
    <dxf>
      <font>
        <color rgb="FF00B050"/>
      </font>
    </dxf>
    <dxf>
      <font>
        <color theme="0" tint="-0.34998626667073579"/>
      </font>
    </dxf>
    <dxf>
      <font>
        <color theme="0" tint="-0.34998626667073579"/>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color theme="0"/>
      </font>
    </dxf>
    <dxf>
      <font>
        <color theme="0"/>
      </font>
    </dxf>
    <dxf>
      <fill>
        <patternFill>
          <bgColor theme="4"/>
        </patternFill>
      </fill>
    </dxf>
    <dxf>
      <fill>
        <patternFill>
          <bgColor theme="4"/>
        </patternFill>
      </fill>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left style="thin">
          <color indexed="64"/>
        </left>
        <top style="thin">
          <color indexed="64"/>
        </top>
        <vertical style="thin">
          <color indexed="64"/>
        </vertical>
        <horizontal style="thin">
          <color indexed="64"/>
        </horizontal>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left style="thin">
          <color indexed="64"/>
        </left>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sz val="12"/>
      </font>
    </dxf>
    <dxf>
      <font>
        <sz val="12"/>
      </font>
    </dxf>
    <dxf>
      <font>
        <sz val="12"/>
      </font>
    </dxf>
    <dxf>
      <font>
        <sz val="12"/>
      </font>
    </dxf>
    <dxf>
      <font>
        <sz val="12"/>
      </font>
    </dxf>
    <dxf>
      <font>
        <sz val="12"/>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1</xdr:row>
      <xdr:rowOff>47625</xdr:rowOff>
    </xdr:from>
    <xdr:to>
      <xdr:col>8</xdr:col>
      <xdr:colOff>143484</xdr:colOff>
      <xdr:row>3</xdr:row>
      <xdr:rowOff>114362</xdr:rowOff>
    </xdr:to>
    <xdr:pic>
      <xdr:nvPicPr>
        <xdr:cNvPr id="3" name="Picture 2">
          <a:extLst>
            <a:ext uri="{FF2B5EF4-FFF2-40B4-BE49-F238E27FC236}">
              <a16:creationId xmlns:a16="http://schemas.microsoft.com/office/drawing/2014/main" id="{E31C31EC-4C2A-F3E0-BB47-62787D4937E1}"/>
            </a:ext>
          </a:extLst>
        </xdr:cNvPr>
        <xdr:cNvPicPr>
          <a:picLocks noChangeAspect="1"/>
        </xdr:cNvPicPr>
      </xdr:nvPicPr>
      <xdr:blipFill>
        <a:blip xmlns:r="http://schemas.openxmlformats.org/officeDocument/2006/relationships" r:embed="rId1"/>
        <a:stretch>
          <a:fillRect/>
        </a:stretch>
      </xdr:blipFill>
      <xdr:spPr>
        <a:xfrm>
          <a:off x="657225" y="238125"/>
          <a:ext cx="4363059" cy="447737"/>
        </a:xfrm>
        <a:prstGeom prst="rect">
          <a:avLst/>
        </a:prstGeom>
      </xdr:spPr>
    </xdr:pic>
    <xdr:clientData/>
  </xdr:twoCellAnchor>
  <xdr:twoCellAnchor editAs="oneCell">
    <xdr:from>
      <xdr:col>1</xdr:col>
      <xdr:colOff>44124</xdr:colOff>
      <xdr:row>4</xdr:row>
      <xdr:rowOff>26964</xdr:rowOff>
    </xdr:from>
    <xdr:to>
      <xdr:col>19</xdr:col>
      <xdr:colOff>492359</xdr:colOff>
      <xdr:row>17</xdr:row>
      <xdr:rowOff>176283</xdr:rowOff>
    </xdr:to>
    <xdr:pic>
      <xdr:nvPicPr>
        <xdr:cNvPr id="7" name="Picture 6">
          <a:extLst>
            <a:ext uri="{FF2B5EF4-FFF2-40B4-BE49-F238E27FC236}">
              <a16:creationId xmlns:a16="http://schemas.microsoft.com/office/drawing/2014/main" id="{5BF36145-242C-4274-90AE-FD2D983469C1}"/>
            </a:ext>
          </a:extLst>
        </xdr:cNvPr>
        <xdr:cNvPicPr>
          <a:picLocks noChangeAspect="1"/>
        </xdr:cNvPicPr>
      </xdr:nvPicPr>
      <xdr:blipFill rotWithShape="1">
        <a:blip xmlns:r="http://schemas.openxmlformats.org/officeDocument/2006/relationships" r:embed="rId2"/>
        <a:srcRect r="26336"/>
        <a:stretch/>
      </xdr:blipFill>
      <xdr:spPr>
        <a:xfrm>
          <a:off x="651343" y="788964"/>
          <a:ext cx="11378172" cy="2625819"/>
        </a:xfrm>
        <a:prstGeom prst="rect">
          <a:avLst/>
        </a:prstGeom>
      </xdr:spPr>
    </xdr:pic>
    <xdr:clientData/>
  </xdr:twoCellAnchor>
  <xdr:twoCellAnchor editAs="oneCell">
    <xdr:from>
      <xdr:col>1</xdr:col>
      <xdr:colOff>0</xdr:colOff>
      <xdr:row>18</xdr:row>
      <xdr:rowOff>0</xdr:rowOff>
    </xdr:from>
    <xdr:to>
      <xdr:col>8</xdr:col>
      <xdr:colOff>295275</xdr:colOff>
      <xdr:row>29</xdr:row>
      <xdr:rowOff>85725</xdr:rowOff>
    </xdr:to>
    <xdr:pic>
      <xdr:nvPicPr>
        <xdr:cNvPr id="2" name="Picture 1">
          <a:extLst>
            <a:ext uri="{FF2B5EF4-FFF2-40B4-BE49-F238E27FC236}">
              <a16:creationId xmlns:a16="http://schemas.microsoft.com/office/drawing/2014/main" id="{2F593EA6-5F8A-06A2-DB4B-CAC7868CC720}"/>
            </a:ext>
            <a:ext uri="{147F2762-F138-4A5C-976F-8EAC2B608ADB}">
              <a16:predDERef xmlns:a16="http://schemas.microsoft.com/office/drawing/2014/main" pred="{5BF36145-242C-4274-90AE-FD2D983469C1}"/>
            </a:ext>
          </a:extLst>
        </xdr:cNvPr>
        <xdr:cNvPicPr>
          <a:picLocks noChangeAspect="1"/>
        </xdr:cNvPicPr>
      </xdr:nvPicPr>
      <xdr:blipFill>
        <a:blip xmlns:r="http://schemas.openxmlformats.org/officeDocument/2006/relationships" r:embed="rId3"/>
        <a:stretch>
          <a:fillRect/>
        </a:stretch>
      </xdr:blipFill>
      <xdr:spPr>
        <a:xfrm>
          <a:off x="219075" y="3429000"/>
          <a:ext cx="4562475" cy="2181225"/>
        </a:xfrm>
        <a:prstGeom prst="rect">
          <a:avLst/>
        </a:prstGeom>
      </xdr:spPr>
    </xdr:pic>
    <xdr:clientData/>
  </xdr:twoCellAnchor>
  <xdr:twoCellAnchor editAs="oneCell">
    <xdr:from>
      <xdr:col>1</xdr:col>
      <xdr:colOff>0</xdr:colOff>
      <xdr:row>30</xdr:row>
      <xdr:rowOff>0</xdr:rowOff>
    </xdr:from>
    <xdr:to>
      <xdr:col>8</xdr:col>
      <xdr:colOff>295275</xdr:colOff>
      <xdr:row>33</xdr:row>
      <xdr:rowOff>85725</xdr:rowOff>
    </xdr:to>
    <xdr:pic>
      <xdr:nvPicPr>
        <xdr:cNvPr id="4" name="Picture 3">
          <a:extLst>
            <a:ext uri="{FF2B5EF4-FFF2-40B4-BE49-F238E27FC236}">
              <a16:creationId xmlns:a16="http://schemas.microsoft.com/office/drawing/2014/main" id="{4E72216B-DDD1-7DB0-776D-0D1333873175}"/>
            </a:ext>
            <a:ext uri="{147F2762-F138-4A5C-976F-8EAC2B608ADB}">
              <a16:predDERef xmlns:a16="http://schemas.microsoft.com/office/drawing/2014/main" pred="{2F593EA6-5F8A-06A2-DB4B-CAC7868CC720}"/>
            </a:ext>
          </a:extLst>
        </xdr:cNvPr>
        <xdr:cNvPicPr>
          <a:picLocks noChangeAspect="1"/>
        </xdr:cNvPicPr>
      </xdr:nvPicPr>
      <xdr:blipFill>
        <a:blip xmlns:r="http://schemas.openxmlformats.org/officeDocument/2006/relationships" r:embed="rId4"/>
        <a:stretch>
          <a:fillRect/>
        </a:stretch>
      </xdr:blipFill>
      <xdr:spPr>
        <a:xfrm>
          <a:off x="219075" y="5715000"/>
          <a:ext cx="4562475" cy="657225"/>
        </a:xfrm>
        <a:prstGeom prst="rect">
          <a:avLst/>
        </a:prstGeom>
      </xdr:spPr>
    </xdr:pic>
    <xdr:clientData/>
  </xdr:twoCellAnchor>
  <xdr:twoCellAnchor editAs="oneCell">
    <xdr:from>
      <xdr:col>1</xdr:col>
      <xdr:colOff>0</xdr:colOff>
      <xdr:row>34</xdr:row>
      <xdr:rowOff>0</xdr:rowOff>
    </xdr:from>
    <xdr:to>
      <xdr:col>8</xdr:col>
      <xdr:colOff>304800</xdr:colOff>
      <xdr:row>41</xdr:row>
      <xdr:rowOff>9525</xdr:rowOff>
    </xdr:to>
    <xdr:pic>
      <xdr:nvPicPr>
        <xdr:cNvPr id="5" name="Picture 4">
          <a:extLst>
            <a:ext uri="{FF2B5EF4-FFF2-40B4-BE49-F238E27FC236}">
              <a16:creationId xmlns:a16="http://schemas.microsoft.com/office/drawing/2014/main" id="{78F4BEAB-FA83-71E9-EC5E-D5F585A0EC96}"/>
            </a:ext>
            <a:ext uri="{147F2762-F138-4A5C-976F-8EAC2B608ADB}">
              <a16:predDERef xmlns:a16="http://schemas.microsoft.com/office/drawing/2014/main" pred="{4E72216B-DDD1-7DB0-776D-0D1333873175}"/>
            </a:ext>
          </a:extLst>
        </xdr:cNvPr>
        <xdr:cNvPicPr>
          <a:picLocks noChangeAspect="1"/>
        </xdr:cNvPicPr>
      </xdr:nvPicPr>
      <xdr:blipFill>
        <a:blip xmlns:r="http://schemas.openxmlformats.org/officeDocument/2006/relationships" r:embed="rId5"/>
        <a:stretch>
          <a:fillRect/>
        </a:stretch>
      </xdr:blipFill>
      <xdr:spPr>
        <a:xfrm>
          <a:off x="219075" y="6286500"/>
          <a:ext cx="4572000" cy="1343025"/>
        </a:xfrm>
        <a:prstGeom prst="rect">
          <a:avLst/>
        </a:prstGeom>
      </xdr:spPr>
    </xdr:pic>
    <xdr:clientData/>
  </xdr:twoCellAnchor>
  <xdr:twoCellAnchor editAs="oneCell">
    <xdr:from>
      <xdr:col>1</xdr:col>
      <xdr:colOff>0</xdr:colOff>
      <xdr:row>41</xdr:row>
      <xdr:rowOff>0</xdr:rowOff>
    </xdr:from>
    <xdr:to>
      <xdr:col>8</xdr:col>
      <xdr:colOff>304800</xdr:colOff>
      <xdr:row>51</xdr:row>
      <xdr:rowOff>142875</xdr:rowOff>
    </xdr:to>
    <xdr:pic>
      <xdr:nvPicPr>
        <xdr:cNvPr id="6" name="Picture 5">
          <a:extLst>
            <a:ext uri="{FF2B5EF4-FFF2-40B4-BE49-F238E27FC236}">
              <a16:creationId xmlns:a16="http://schemas.microsoft.com/office/drawing/2014/main" id="{388069FB-A668-51B9-8F34-AF1D9C107911}"/>
            </a:ext>
            <a:ext uri="{147F2762-F138-4A5C-976F-8EAC2B608ADB}">
              <a16:predDERef xmlns:a16="http://schemas.microsoft.com/office/drawing/2014/main" pred="{78F4BEAB-FA83-71E9-EC5E-D5F585A0EC96}"/>
            </a:ext>
          </a:extLst>
        </xdr:cNvPr>
        <xdr:cNvPicPr>
          <a:picLocks noChangeAspect="1"/>
        </xdr:cNvPicPr>
      </xdr:nvPicPr>
      <xdr:blipFill>
        <a:blip xmlns:r="http://schemas.openxmlformats.org/officeDocument/2006/relationships" r:embed="rId6"/>
        <a:stretch>
          <a:fillRect/>
        </a:stretch>
      </xdr:blipFill>
      <xdr:spPr>
        <a:xfrm>
          <a:off x="219075" y="7810500"/>
          <a:ext cx="4572000" cy="2047875"/>
        </a:xfrm>
        <a:prstGeom prst="rect">
          <a:avLst/>
        </a:prstGeom>
      </xdr:spPr>
    </xdr:pic>
    <xdr:clientData/>
  </xdr:twoCellAnchor>
  <xdr:twoCellAnchor editAs="oneCell">
    <xdr:from>
      <xdr:col>1</xdr:col>
      <xdr:colOff>0</xdr:colOff>
      <xdr:row>52</xdr:row>
      <xdr:rowOff>0</xdr:rowOff>
    </xdr:from>
    <xdr:to>
      <xdr:col>8</xdr:col>
      <xdr:colOff>304800</xdr:colOff>
      <xdr:row>53</xdr:row>
      <xdr:rowOff>180975</xdr:rowOff>
    </xdr:to>
    <xdr:pic>
      <xdr:nvPicPr>
        <xdr:cNvPr id="8" name="Picture 7">
          <a:extLst>
            <a:ext uri="{FF2B5EF4-FFF2-40B4-BE49-F238E27FC236}">
              <a16:creationId xmlns:a16="http://schemas.microsoft.com/office/drawing/2014/main" id="{8CA2DB20-69C7-E975-4CC9-9C56EE6E3E40}"/>
            </a:ext>
            <a:ext uri="{147F2762-F138-4A5C-976F-8EAC2B608ADB}">
              <a16:predDERef xmlns:a16="http://schemas.microsoft.com/office/drawing/2014/main" pred="{388069FB-A668-51B9-8F34-AF1D9C107911}"/>
            </a:ext>
          </a:extLst>
        </xdr:cNvPr>
        <xdr:cNvPicPr>
          <a:picLocks noChangeAspect="1"/>
        </xdr:cNvPicPr>
      </xdr:nvPicPr>
      <xdr:blipFill>
        <a:blip xmlns:r="http://schemas.openxmlformats.org/officeDocument/2006/relationships" r:embed="rId7"/>
        <a:stretch>
          <a:fillRect/>
        </a:stretch>
      </xdr:blipFill>
      <xdr:spPr>
        <a:xfrm>
          <a:off x="219075" y="9906000"/>
          <a:ext cx="4572000" cy="371475"/>
        </a:xfrm>
        <a:prstGeom prst="rect">
          <a:avLst/>
        </a:prstGeom>
      </xdr:spPr>
    </xdr:pic>
    <xdr:clientData/>
  </xdr:twoCellAnchor>
  <xdr:twoCellAnchor editAs="oneCell">
    <xdr:from>
      <xdr:col>1</xdr:col>
      <xdr:colOff>0</xdr:colOff>
      <xdr:row>54</xdr:row>
      <xdr:rowOff>0</xdr:rowOff>
    </xdr:from>
    <xdr:to>
      <xdr:col>8</xdr:col>
      <xdr:colOff>304800</xdr:colOff>
      <xdr:row>66</xdr:row>
      <xdr:rowOff>171450</xdr:rowOff>
    </xdr:to>
    <xdr:pic>
      <xdr:nvPicPr>
        <xdr:cNvPr id="9" name="Picture 8">
          <a:extLst>
            <a:ext uri="{FF2B5EF4-FFF2-40B4-BE49-F238E27FC236}">
              <a16:creationId xmlns:a16="http://schemas.microsoft.com/office/drawing/2014/main" id="{45C26FF8-858D-0A1C-D01A-8CE707773C02}"/>
            </a:ext>
            <a:ext uri="{147F2762-F138-4A5C-976F-8EAC2B608ADB}">
              <a16:predDERef xmlns:a16="http://schemas.microsoft.com/office/drawing/2014/main" pred="{8CA2DB20-69C7-E975-4CC9-9C56EE6E3E40}"/>
            </a:ext>
          </a:extLst>
        </xdr:cNvPr>
        <xdr:cNvPicPr>
          <a:picLocks noChangeAspect="1"/>
        </xdr:cNvPicPr>
      </xdr:nvPicPr>
      <xdr:blipFill>
        <a:blip xmlns:r="http://schemas.openxmlformats.org/officeDocument/2006/relationships" r:embed="rId8"/>
        <a:stretch>
          <a:fillRect/>
        </a:stretch>
      </xdr:blipFill>
      <xdr:spPr>
        <a:xfrm>
          <a:off x="219075" y="10287000"/>
          <a:ext cx="4572000" cy="24574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51.603812499998" createdVersion="8" refreshedVersion="8" minRefreshableVersion="3" recordCount="52" xr:uid="{6430094C-B26C-411A-B593-2A56448EC7B2}">
  <cacheSource type="worksheet">
    <worksheetSource ref="B1:F1048576" sheet="DEFECTS"/>
  </cacheSource>
  <cacheFields count="5">
    <cacheField name="Date Tested" numFmtId="0">
      <sharedItems containsNonDate="0" containsDate="1" containsString="0" containsBlank="1" minDate="2026-01-29T00:00:00" maxDate="2026-01-30T00:00:00" count="2">
        <d v="2026-01-29T00:00:00"/>
        <m/>
      </sharedItems>
    </cacheField>
    <cacheField name="Interface" numFmtId="0">
      <sharedItems containsBlank="1"/>
    </cacheField>
    <cacheField name="Scenario Type" numFmtId="0">
      <sharedItems containsBlank="1" count="3">
        <s v="UI"/>
        <s v="Functionality"/>
        <m/>
      </sharedItems>
    </cacheField>
    <cacheField name="Bug Type" numFmtId="0">
      <sharedItems containsBlank="1" count="3">
        <s v="Minor"/>
        <s v="Major"/>
        <m/>
      </sharedItems>
    </cacheField>
    <cacheField name="Status" numFmtId="0">
      <sharedItems containsBlank="1" count="2">
        <s v="New"/>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20.368759837962" createdVersion="8" refreshedVersion="8" minRefreshableVersion="3" recordCount="33" xr:uid="{A3BD88BB-98A1-4832-A31A-CAB43D13A19F}">
  <cacheSource type="worksheet">
    <worksheetSource ref="B1:F34" sheet="DEFECTS"/>
  </cacheSource>
  <cacheFields count="5">
    <cacheField name="Date Tested" numFmtId="164">
      <sharedItems containsSemiMixedTypes="0" containsNonDate="0" containsDate="1" containsString="0" minDate="2026-01-29T00:00:00" maxDate="2026-04-04T00:00:00" count="2">
        <d v="2026-01-29T00:00:00"/>
        <d v="2026-04-03T00:00:00"/>
      </sharedItems>
    </cacheField>
    <cacheField name="Interface" numFmtId="164">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5">
        <s v="No Action"/>
        <s v="Resolved"/>
        <s v="Return to Dev"/>
        <s v="New"/>
        <s v="Retest In Progress"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2.435654398148" createdVersion="8" refreshedVersion="8" minRefreshableVersion="3" recordCount="46" xr:uid="{546E49ED-2BB5-46BA-8155-48CAA7EC85F7}">
  <cacheSource type="worksheet">
    <worksheetSource ref="C6:P52" sheet="Sheet1"/>
  </cacheSource>
  <cacheFields count="14">
    <cacheField name="ID" numFmtId="0">
      <sharedItems containsSemiMixedTypes="0" containsString="0" containsNumber="1" containsInteger="1" minValue="1" maxValue="50"/>
    </cacheField>
    <cacheField name="Date Tested" numFmtId="0">
      <sharedItems containsNonDate="0" containsDate="1" containsString="0" containsBlank="1" minDate="2026-01-29T00:00:00" maxDate="2026-04-17T00:00:00" count="5">
        <d v="2026-01-29T00:00:00"/>
        <d v="2026-04-03T00:00:00"/>
        <d v="2026-04-06T00:00:00"/>
        <d v="2026-04-16T00:00:00"/>
        <m/>
      </sharedItems>
    </cacheField>
    <cacheField name="Interface" numFmtId="164">
      <sharedItems containsBlank="1"/>
    </cacheField>
    <cacheField name="Scenario Type" numFmtId="0">
      <sharedItems containsBlank="1" count="3">
        <s v="UI"/>
        <s v="Functionality"/>
        <m/>
      </sharedItems>
    </cacheField>
    <cacheField name="Bug Type" numFmtId="0">
      <sharedItems containsBlank="1" count="4">
        <s v="Minor"/>
        <s v="Major"/>
        <s v="Regression"/>
        <m/>
      </sharedItems>
    </cacheField>
    <cacheField name="Status" numFmtId="0">
      <sharedItems containsBlank="1" count="5">
        <s v="No Action"/>
        <s v="Resolved"/>
        <s v="Return to Dev"/>
        <s v="New"/>
        <m/>
      </sharedItems>
    </cacheField>
    <cacheField name="Window_x000a_Column(s)" numFmtId="0">
      <sharedItems containsBlank="1"/>
    </cacheField>
    <cacheField name="Summary" numFmtId="0">
      <sharedItems containsBlank="1"/>
    </cacheField>
    <cacheField name="Defect_x000a_(NG Display, Scenario)" numFmtId="0">
      <sharedItems containsBlank="1" longText="1"/>
    </cacheField>
    <cacheField name="BSA Comments" numFmtId="0">
      <sharedItems containsBlank="1" longText="1"/>
    </cacheField>
    <cacheField name="Date_x000a_Retest" numFmtId="164">
      <sharedItems containsNonDate="0" containsDate="1" containsString="0" containsBlank="1" minDate="2026-03-25T00:00:00" maxDate="2026-04-17T00:00:00"/>
    </cacheField>
    <cacheField name="Retest_x000a_Pass/Fail" numFmtId="0">
      <sharedItems containsBlank="1"/>
    </cacheField>
    <cacheField name="BSA Comments2"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5.719100578703" createdVersion="8" refreshedVersion="8" minRefreshableVersion="3" recordCount="42" xr:uid="{A8A5CE6A-267D-471D-A01F-CE92AB77767D}">
  <cacheSource type="worksheet">
    <worksheetSource ref="C6:P48" sheet="Sheet1"/>
  </cacheSource>
  <cacheFields count="14">
    <cacheField name="ID" numFmtId="0">
      <sharedItems containsSemiMixedTypes="0" containsString="0" containsNumber="1" containsInteger="1" minValue="1" maxValue="46"/>
    </cacheField>
    <cacheField name="Date Tested" numFmtId="0">
      <sharedItems containsSemiMixedTypes="0" containsNonDate="0" containsDate="1" containsString="0" minDate="2026-01-29T00:00:00" maxDate="2026-04-24T00:00:00" count="5">
        <d v="2026-01-29T00:00:00"/>
        <d v="2026-04-03T00:00:00"/>
        <d v="2026-04-06T00:00:00"/>
        <d v="2026-04-16T00:00:00"/>
        <d v="2026-04-23T00:00:00"/>
      </sharedItems>
    </cacheField>
    <cacheField name="Interface" numFmtId="164">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4">
        <s v="No Action"/>
        <s v="Resolved"/>
        <s v="Return to Dev"/>
        <s v="New"/>
      </sharedItems>
    </cacheField>
    <cacheField name="Window_x000a_Column(s)" numFmtId="0">
      <sharedItems/>
    </cacheField>
    <cacheField name="Summary" numFmtId="0">
      <sharedItems containsBlank="1"/>
    </cacheField>
    <cacheField name="Defect_x000a_(NG Display, Scenario)" numFmtId="0">
      <sharedItems containsBlank="1" longText="1"/>
    </cacheField>
    <cacheField name="BSA Comments" numFmtId="0">
      <sharedItems containsBlank="1" longText="1"/>
    </cacheField>
    <cacheField name="Date_x000a_Retest" numFmtId="164">
      <sharedItems containsNonDate="0" containsDate="1" containsString="0" containsBlank="1" minDate="2026-03-25T00:00:00" maxDate="2026-04-24T00:00:00"/>
    </cacheField>
    <cacheField name="Retest_x000a_Pass/Fail" numFmtId="0">
      <sharedItems containsBlank="1"/>
    </cacheField>
    <cacheField name="BSA Comments2"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41.692242013887" createdVersion="8" refreshedVersion="8" minRefreshableVersion="3" recordCount="45" xr:uid="{668DF087-ACF0-4F3A-90C6-BBB4870930C2}">
  <cacheSource type="worksheet">
    <worksheetSource ref="C6:P51" sheet="Sheet3"/>
  </cacheSource>
  <cacheFields count="14">
    <cacheField name="ID" numFmtId="0">
      <sharedItems containsSemiMixedTypes="0" containsString="0" containsNumber="1" containsInteger="1" minValue="1" maxValue="45"/>
    </cacheField>
    <cacheField name="Date Tested" numFmtId="0">
      <sharedItems containsSemiMixedTypes="0" containsNonDate="0" containsDate="1" containsString="0" minDate="2026-01-29T00:00:00" maxDate="2026-04-30T00:00:00"/>
    </cacheField>
    <cacheField name="Interface" numFmtId="0">
      <sharedItems/>
    </cacheField>
    <cacheField name="Scenario Type" numFmtId="0">
      <sharedItems count="2">
        <s v="UI"/>
        <s v="Functionality"/>
      </sharedItems>
    </cacheField>
    <cacheField name="Bug Type" numFmtId="0">
      <sharedItems count="3">
        <s v="Minor"/>
        <s v="Major"/>
        <s v="Regression"/>
      </sharedItems>
    </cacheField>
    <cacheField name="Status" numFmtId="0">
      <sharedItems count="3">
        <s v="No Action"/>
        <s v="Resolved"/>
        <s v="New"/>
      </sharedItems>
    </cacheField>
    <cacheField name="Window_x000a_Column(s)" numFmtId="0">
      <sharedItems/>
    </cacheField>
    <cacheField name="Summary" numFmtId="0">
      <sharedItems containsBlank="1"/>
    </cacheField>
    <cacheField name="Defect_x000a_(NG Display, Scenario)" numFmtId="0">
      <sharedItems containsBlank="1" longText="1"/>
    </cacheField>
    <cacheField name="BSA Comments" numFmtId="0">
      <sharedItems containsBlank="1" longText="1"/>
    </cacheField>
    <cacheField name="Date_x000a_Retest" numFmtId="164">
      <sharedItems containsNonDate="0" containsDate="1" containsString="0" containsBlank="1" minDate="2026-03-25T00:00:00" maxDate="2026-04-30T00:00:00"/>
    </cacheField>
    <cacheField name="Retest_x000a_Pass/Fail" numFmtId="0">
      <sharedItems containsBlank="1"/>
    </cacheField>
    <cacheField name="BSA Comments2" numFmtId="0">
      <sharedItems containsBlank="1" longText="1"/>
    </cacheField>
    <cacheField name="Dev Comment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s v="PB Only"/>
    <x v="0"/>
    <x v="0"/>
    <x v="0"/>
  </r>
  <r>
    <x v="0"/>
    <s v="Both"/>
    <x v="0"/>
    <x v="0"/>
    <x v="0"/>
  </r>
  <r>
    <x v="0"/>
    <s v="Both"/>
    <x v="0"/>
    <x v="0"/>
    <x v="0"/>
  </r>
  <r>
    <x v="0"/>
    <s v="Both"/>
    <x v="1"/>
    <x v="0"/>
    <x v="0"/>
  </r>
  <r>
    <x v="0"/>
    <s v="Both"/>
    <x v="1"/>
    <x v="0"/>
    <x v="0"/>
  </r>
  <r>
    <x v="0"/>
    <s v="Both"/>
    <x v="0"/>
    <x v="0"/>
    <x v="0"/>
  </r>
  <r>
    <x v="0"/>
    <s v="Both"/>
    <x v="0"/>
    <x v="0"/>
    <x v="0"/>
  </r>
  <r>
    <x v="0"/>
    <s v="Both"/>
    <x v="0"/>
    <x v="0"/>
    <x v="0"/>
  </r>
  <r>
    <x v="0"/>
    <s v="Both"/>
    <x v="1"/>
    <x v="1"/>
    <x v="0"/>
  </r>
  <r>
    <x v="0"/>
    <s v="Both"/>
    <x v="1"/>
    <x v="1"/>
    <x v="0"/>
  </r>
  <r>
    <x v="0"/>
    <s v="Both"/>
    <x v="1"/>
    <x v="1"/>
    <x v="0"/>
  </r>
  <r>
    <x v="0"/>
    <s v="Both"/>
    <x v="1"/>
    <x v="1"/>
    <x v="0"/>
  </r>
  <r>
    <x v="0"/>
    <s v="Both"/>
    <x v="1"/>
    <x v="1"/>
    <x v="0"/>
  </r>
  <r>
    <x v="0"/>
    <s v="PB Only"/>
    <x v="1"/>
    <x v="1"/>
    <x v="0"/>
  </r>
  <r>
    <x v="0"/>
    <s v="Both"/>
    <x v="1"/>
    <x v="1"/>
    <x v="0"/>
  </r>
  <r>
    <x v="0"/>
    <s v="Both"/>
    <x v="1"/>
    <x v="1"/>
    <x v="0"/>
  </r>
  <r>
    <x v="0"/>
    <s v="Both"/>
    <x v="1"/>
    <x v="1"/>
    <x v="0"/>
  </r>
  <r>
    <x v="0"/>
    <s v="Both"/>
    <x v="1"/>
    <x v="0"/>
    <x v="0"/>
  </r>
  <r>
    <x v="0"/>
    <s v="Both"/>
    <x v="1"/>
    <x v="0"/>
    <x v="0"/>
  </r>
  <r>
    <x v="0"/>
    <s v="Both"/>
    <x v="0"/>
    <x v="0"/>
    <x v="0"/>
  </r>
  <r>
    <x v="0"/>
    <s v="Both"/>
    <x v="1"/>
    <x v="0"/>
    <x v="0"/>
  </r>
  <r>
    <x v="0"/>
    <s v="PB Only"/>
    <x v="1"/>
    <x v="1"/>
    <x v="0"/>
  </r>
  <r>
    <x v="0"/>
    <s v="Both"/>
    <x v="0"/>
    <x v="1"/>
    <x v="0"/>
  </r>
  <r>
    <x v="0"/>
    <s v="Both"/>
    <x v="1"/>
    <x v="1"/>
    <x v="0"/>
  </r>
  <r>
    <x v="0"/>
    <s v="Both"/>
    <x v="0"/>
    <x v="0"/>
    <x v="0"/>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r>
    <x v="1"/>
    <m/>
    <x v="2"/>
    <x v="2"/>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
  <r>
    <x v="0"/>
    <s v="PB Only"/>
    <x v="0"/>
    <x v="0"/>
    <x v="0"/>
  </r>
  <r>
    <x v="0"/>
    <s v="Both"/>
    <x v="0"/>
    <x v="0"/>
    <x v="0"/>
  </r>
  <r>
    <x v="0"/>
    <s v="Both"/>
    <x v="0"/>
    <x v="0"/>
    <x v="1"/>
  </r>
  <r>
    <x v="0"/>
    <s v="Both"/>
    <x v="1"/>
    <x v="0"/>
    <x v="1"/>
  </r>
  <r>
    <x v="0"/>
    <s v="Both"/>
    <x v="1"/>
    <x v="0"/>
    <x v="2"/>
  </r>
  <r>
    <x v="0"/>
    <s v="Both"/>
    <x v="0"/>
    <x v="0"/>
    <x v="1"/>
  </r>
  <r>
    <x v="0"/>
    <s v="Both"/>
    <x v="0"/>
    <x v="0"/>
    <x v="1"/>
  </r>
  <r>
    <x v="0"/>
    <s v="Both"/>
    <x v="0"/>
    <x v="0"/>
    <x v="1"/>
  </r>
  <r>
    <x v="0"/>
    <s v="Both"/>
    <x v="1"/>
    <x v="1"/>
    <x v="1"/>
  </r>
  <r>
    <x v="0"/>
    <s v="Both"/>
    <x v="1"/>
    <x v="1"/>
    <x v="3"/>
  </r>
  <r>
    <x v="0"/>
    <s v="Both"/>
    <x v="1"/>
    <x v="1"/>
    <x v="1"/>
  </r>
  <r>
    <x v="0"/>
    <s v="Both"/>
    <x v="1"/>
    <x v="1"/>
    <x v="1"/>
  </r>
  <r>
    <x v="0"/>
    <s v="Both"/>
    <x v="1"/>
    <x v="1"/>
    <x v="1"/>
  </r>
  <r>
    <x v="0"/>
    <s v="PB Only"/>
    <x v="1"/>
    <x v="1"/>
    <x v="1"/>
  </r>
  <r>
    <x v="0"/>
    <s v="Both"/>
    <x v="1"/>
    <x v="1"/>
    <x v="2"/>
  </r>
  <r>
    <x v="0"/>
    <s v="Both"/>
    <x v="1"/>
    <x v="1"/>
    <x v="1"/>
  </r>
  <r>
    <x v="0"/>
    <s v="Both"/>
    <x v="1"/>
    <x v="1"/>
    <x v="2"/>
  </r>
  <r>
    <x v="0"/>
    <s v="Both"/>
    <x v="1"/>
    <x v="0"/>
    <x v="2"/>
  </r>
  <r>
    <x v="0"/>
    <s v="Both"/>
    <x v="1"/>
    <x v="0"/>
    <x v="1"/>
  </r>
  <r>
    <x v="0"/>
    <s v="Both"/>
    <x v="0"/>
    <x v="0"/>
    <x v="1"/>
  </r>
  <r>
    <x v="0"/>
    <s v="Both"/>
    <x v="1"/>
    <x v="0"/>
    <x v="2"/>
  </r>
  <r>
    <x v="0"/>
    <s v="PB Only"/>
    <x v="1"/>
    <x v="1"/>
    <x v="1"/>
  </r>
  <r>
    <x v="0"/>
    <s v="Both"/>
    <x v="0"/>
    <x v="1"/>
    <x v="1"/>
  </r>
  <r>
    <x v="0"/>
    <s v="Both"/>
    <x v="1"/>
    <x v="1"/>
    <x v="1"/>
  </r>
  <r>
    <x v="0"/>
    <s v="Both"/>
    <x v="0"/>
    <x v="0"/>
    <x v="2"/>
  </r>
  <r>
    <x v="1"/>
    <s v="Both"/>
    <x v="1"/>
    <x v="0"/>
    <x v="3"/>
  </r>
  <r>
    <x v="1"/>
    <s v="Both"/>
    <x v="0"/>
    <x v="0"/>
    <x v="3"/>
  </r>
  <r>
    <x v="1"/>
    <s v="Both"/>
    <x v="0"/>
    <x v="0"/>
    <x v="3"/>
  </r>
  <r>
    <x v="1"/>
    <s v="Both"/>
    <x v="1"/>
    <x v="0"/>
    <x v="3"/>
  </r>
  <r>
    <x v="1"/>
    <s v="Both"/>
    <x v="1"/>
    <x v="2"/>
    <x v="3"/>
  </r>
  <r>
    <x v="1"/>
    <s v="Both"/>
    <x v="1"/>
    <x v="0"/>
    <x v="3"/>
  </r>
  <r>
    <x v="1"/>
    <s v="Both"/>
    <x v="1"/>
    <x v="1"/>
    <x v="3"/>
  </r>
  <r>
    <x v="1"/>
    <s v="Both"/>
    <x v="1"/>
    <x v="2"/>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n v="1"/>
    <x v="0"/>
    <s v="PB Only"/>
    <x v="0"/>
    <x v="0"/>
    <x v="0"/>
    <s v="General"/>
    <s v="Window Load"/>
    <s v="Is it possible to display the loading wheel first? Currently the window flashes between white/gray then displays the loading wheel, then the window"/>
    <s v="Might have been introduced with Tab Flash issue that was recently implemented"/>
    <m/>
    <m/>
    <s v="2/4: no action as item is PB defect"/>
    <s v="2/4: No action"/>
  </r>
  <r>
    <n v="2"/>
    <x v="0"/>
    <s v="Both"/>
    <x v="0"/>
    <x v="0"/>
    <x v="0"/>
    <s v="General"/>
    <s v="Window Width"/>
    <s v="Window shall span entire width of window"/>
    <s v="UI Guidelines ID #4"/>
    <m/>
    <m/>
    <m/>
    <s v="2/4: No action"/>
  </r>
  <r>
    <n v="3"/>
    <x v="0"/>
    <s v="Both"/>
    <x v="0"/>
    <x v="0"/>
    <x v="1"/>
    <s v="Associated Dockets"/>
    <s v="Row Height"/>
    <s v="Row height of section header with &quot;Associated Dockets:&quot; should match row height of section header &quot;Event Codes&quot;"/>
    <s v="UI Guidelines ID #11"/>
    <d v="2026-03-25T00:00:00"/>
    <s v="Pass"/>
    <m/>
    <s v="2/4: Fixed"/>
  </r>
  <r>
    <n v="4"/>
    <x v="0"/>
    <s v="Both"/>
    <x v="1"/>
    <x v="0"/>
    <x v="1"/>
    <s v="Insert Row"/>
    <s v="Add &quot;Insert Row&quot; to Description section"/>
    <s v="&quot;Insert Row&quot; exists in bottom data section of window but should also be included in Description section"/>
    <m/>
    <d v="2026-03-25T00:00:00"/>
    <s v="Pass"/>
    <m/>
    <s v="2/4: Fixed, generic insert added to GridEventHelper"/>
  </r>
  <r>
    <n v="5"/>
    <x v="0"/>
    <s v="Both"/>
    <x v="1"/>
    <x v="0"/>
    <x v="1"/>
    <s v="Insert Row"/>
    <s v="Keyboard Shortcut Shift + F5"/>
    <s v="Current window does not have it configured but wanted to see if we can create it since other windows will be using it?"/>
    <s v="If this is not addressed now, will note it for later."/>
    <d v="2026-04-16T00:00:00"/>
    <s v="Pass"/>
    <s v="3/25: Not necessarily an NG defect. Insert Row Shift F5 is missing from the powerbuilder &quot;Edit&quot; menu. This may need to be configured in Q for the fix to work._x000a_4/9: Insert Row will be removed from context menu"/>
    <s v="2/5: Fixed, added_x000a_4/8: Need discussion, we decided that if you do not have that configuration you will not have that feature. For context menu, only show if it's a menu item._x000a_4/9: Fixed, no more insert in context menu."/>
  </r>
  <r>
    <n v="6"/>
    <x v="0"/>
    <s v="Both"/>
    <x v="0"/>
    <x v="0"/>
    <x v="1"/>
    <s v="LOOKUP_SEQ Section"/>
    <s v="Highlight"/>
    <s v="When LOOKUP_SEQ row is highlighted, labels are difficult to read as highlight/label color are similar shades of blue."/>
    <s v="Remove highlight and  &quot;pointer&quot; to indicate selected row; current window uses finger pointer. Since there are no similar options in Office Fabric Syncfusion icons, therefore reocmmend Øbullet-6 (PUA e763)"/>
    <d v="2026-03-25T00:00:00"/>
    <s v="Pass"/>
    <s v="2/4: instead of &quot;pointer,&quot; decision made to update labels to white when row is selected"/>
    <s v="2/4: Fixed"/>
  </r>
  <r>
    <n v="7"/>
    <x v="0"/>
    <s v="Both"/>
    <x v="0"/>
    <x v="0"/>
    <x v="1"/>
    <s v="LOOKUP_SEQ Section"/>
    <s v="Row Height"/>
    <s v="Default view looks like the row is always in edit mode_x000a_Once user enters edit mode, field heights remain the same"/>
    <s v="UI Guidelines ID #26; Is there a way to match the row height of data in the Description section? "/>
    <d v="2026-04-03T00:00:00"/>
    <s v="Pass"/>
    <s v="2/5: per Daily NG Meet, cells will be gray until user is in edit mode"/>
    <s v="2/5: Fixed"/>
  </r>
  <r>
    <n v="8"/>
    <x v="0"/>
    <s v="Both"/>
    <x v="0"/>
    <x v="0"/>
    <x v="1"/>
    <s v="LOOKUP_SEQ Section"/>
    <s v="FluentValidation formats"/>
    <s v="Use font type, size, styling in Error Codes_x000a_Current version is a different font type, smaller font size, different color of red, and bolded)"/>
    <m/>
    <d v="2026-04-03T00:00:00"/>
    <s v="Pass"/>
    <m/>
    <s v="2/4: Fixed"/>
  </r>
  <r>
    <n v="9"/>
    <x v="0"/>
    <s v="Both"/>
    <x v="1"/>
    <x v="1"/>
    <x v="1"/>
    <s v="LOOKUP_SEQ Section"/>
    <s v="Tab key"/>
    <s v="If user is in edit mode on row, tab key exists out of row rather than going to next field; when  tab is used, cursor moves to subsequent fields in following order:_x000a_     SEQ Description (cursor starts here)_x000a_     Lookup Table Name_x000a_     DW Object_x000a_     Datatype_x000a_     Code_x000a_     Filter Expr."/>
    <s v="Currently, tab is exiting the row in its entirety per UI Guidelines #53 and moving to the next row rather than the next data field"/>
    <d v="2026-04-03T00:00:00"/>
    <s v="Pass"/>
    <m/>
    <s v="2/9: https://support.syncfusion.com/support/tickets/811480 2/11: Fixed "/>
  </r>
  <r>
    <n v="10"/>
    <x v="0"/>
    <s v="Both"/>
    <x v="1"/>
    <x v="1"/>
    <x v="1"/>
    <s v="LOOKUP_SEQ Section"/>
    <s v="Character Limits"/>
    <s v="SEQ Description / Filter Expr._x000a_Does not have limit, however, fluent validation appears if &gt;255_x000a_Existing window varies based on width of characters entered_x000a_Data base limit is 255_x000a_Lookup Table:_x000a_Does not have limit, however, fluent validation appears if &gt;30_x000a_Existing window varies based on width of characters entered_x000a_Data base limit is 30_x000a_Code:_x000a_Does not have limit, however, fluent validation appears if &gt;12_x000a_Existing window varies based on width of characters entered_x000a_Data base limit is 12"/>
    <s v="UI Guidelines ID #57; Current rule is to match front end limits; however, when it varies based on the character width, should no limit apply and only leave FluentValidation to catch limits?"/>
    <d v="2026-04-03T00:00:00"/>
    <s v="Pass with Comments"/>
    <s v="4/3: See Defect 32"/>
    <s v="2/4: We will rely on FluentValidation"/>
  </r>
  <r>
    <n v="11"/>
    <x v="0"/>
    <s v="Both"/>
    <x v="1"/>
    <x v="1"/>
    <x v="1"/>
    <s v="LOOKUP_SEQ Section"/>
    <s v="Delete last row loses focus"/>
    <s v="1. LOOKUP_SEQ 2 deleted_x000a_2. User tries Ctrl + S and/or F3 on keyboard"/>
    <s v="Focus is failing"/>
    <d v="2026-04-03T00:00:00"/>
    <s v="Pass"/>
    <m/>
    <s v="2/5: Fixed"/>
  </r>
  <r>
    <n v="12"/>
    <x v="0"/>
    <s v="Both"/>
    <x v="1"/>
    <x v="1"/>
    <x v="1"/>
    <s v="LOOKUP_SEQ Section"/>
    <s v="Newly added laste row loses focus"/>
    <s v="1. LOOKUP_SEQ added as last row_x000a_2. User tries Ctrl + S  and/or F3 on keyboard"/>
    <s v="Focus is failing"/>
    <d v="2026-04-03T00:00:00"/>
    <s v="Pass"/>
    <m/>
    <s v="2/5: Fixed"/>
  </r>
  <r>
    <n v="13"/>
    <x v="0"/>
    <s v="Both"/>
    <x v="1"/>
    <x v="1"/>
    <x v="1"/>
    <s v="General"/>
    <s v="Added Row not visible"/>
    <s v="Scenario occurs when more than 4 LOOKUP_SEQ rows exist_x000a_1. Select Row then use Shift + F6 or Add Row (right click)_x000a_2. Window goes down to the last existing sequence number_x000a_3. User has to scroll down to get to newly added row"/>
    <s v="UI guidelines have new added rows added to the top, however, this one has to behave differently as LOOKUP_SEQ needs to be assigned. Need to see if there is a way to focus on newly added row"/>
    <d v="2026-04-03T00:00:00"/>
    <s v="Pass"/>
    <m/>
    <s v="2/5: Fixed"/>
  </r>
  <r>
    <n v="14"/>
    <x v="0"/>
    <s v="PB Only"/>
    <x v="1"/>
    <x v="1"/>
    <x v="1"/>
    <s v="Associated Dockets"/>
    <s v="Double Click docket code feature missing"/>
    <s v="PB window might be using same category as Minutes (PROFIL/DKT_MAINT_AC) but devs would need to confirm. CT_DEV profile should be able to double click docket code from Associated Dockets to launch Docket Code Maintenance window."/>
    <s v="UI Guidelines #72-73; In app version, should launch legacy Docket Code Maintenance window; in web, should display generic message that feature is unavailable in web (see Court Control, MOCS Defn. button)"/>
    <d v="2026-04-03T00:00:00"/>
    <s v="Pass with Comments"/>
    <s v="See Defect 29"/>
    <s v="2/9: Fixed"/>
  </r>
  <r>
    <n v="15"/>
    <x v="0"/>
    <s v="Both"/>
    <x v="1"/>
    <x v="1"/>
    <x v="1"/>
    <s v="General"/>
    <s v="Pending Changes - Message Logic"/>
    <s v="Can this be triggered only if user is trying to refresh or close window? Current behavior is when user tabs out of Description, message populates as changes were made. If user clicks cancel _x000a__x000a_We have the bolded text to indicate pending changes so message seems redundant at this level."/>
    <m/>
    <d v="2026-04-16T00:00:00"/>
    <s v="Pass"/>
    <m/>
    <s v="2/5: Need to discuss_x000a_2/10: Fixed_x000a_4/8: Need discussion, currently ParmLookups NG will prompt the user when they attempt to select a Description entry after making a change. This is consistent with our other windows that prompt between changes, and also consistent with the current PB window. _x000a_4/9: Fixed, this was related to deffect # 37"/>
  </r>
  <r>
    <n v="16"/>
    <x v="0"/>
    <s v="Both"/>
    <x v="1"/>
    <x v="1"/>
    <x v="1"/>
    <s v="General"/>
    <s v="Edit and Save a row"/>
    <s v="1. User modifies row and saves (*MUTEST updated to ZMUTEST)_x000a_2. Row remains in current position (ZMUTEST is at top of list)_x000a_3. User F3 refresh and modified row then resorts (ZMUTEST resorts into bottom part of list)"/>
    <s v="We need consistency in behavior of saving changes as this is different across windows. Error Codes resorts modified data after save"/>
    <d v="2026-04-03T00:00:00"/>
    <s v="Pass with Comments"/>
    <s v="Changed *BYTEST NG to ZBYTEST NG. Row moves to the bottom of Description section after save. Need to confirm if this is expected behavior."/>
    <s v="2/5: Fixed"/>
  </r>
  <r>
    <n v="17"/>
    <x v="0"/>
    <s v="Both"/>
    <x v="1"/>
    <x v="1"/>
    <x v="0"/>
    <s v="General"/>
    <s v="FluentValidation on PL Rows"/>
    <s v="1. User selects row to delete (row is associated to old version of DC)_x000a_2. User tries to delete row_x000a_3. Fluentvalidation &quot;Entry has associations, unable to delete&quot;_x000a_4. User clicks out of row: Vision; The information entered does not pass validation and must be corrected before changes can be saved._x000a_Close without saving changes?"/>
    <s v="The message displayed does not make sense for scenario. User cannot correct changes as the row cannot be deleted. Also, don't believe it makes sense to have FluentValidation appear on first field for scenario."/>
    <m/>
    <m/>
    <s v="4/3: Needs discussion with devs. This error message appears as a fluent validation rather than a row level validation_x000a_4/16: Updated to no action."/>
    <s v="2/5: Need to discuss_x000a_2/10: With fluent validation there, the message has to be targetted on a field unless we want to add another custom message box popup. User must cancel edit to remove validation messages before continuing._x000a_4/8: Need discussion, fluent validations have to be tied to a field unless we want something custom._x000a_4/9: Decided to keep validation on first row, this is our standard."/>
  </r>
  <r>
    <n v="18"/>
    <x v="0"/>
    <s v="Both"/>
    <x v="1"/>
    <x v="0"/>
    <x v="0"/>
    <s v="General"/>
    <s v="Copy data from previous rows"/>
    <s v="Cannot highlight data in read-only view when another row is in edit mode"/>
    <s v="User has to exit edit mode, copy/paste, then return to edit mode"/>
    <d v="2026-04-03T00:00:00"/>
    <s v="Pass with Comments"/>
    <s v="4/3: Needs discussion with devs. We do not have a way to highlight/ copy read only fields while in edit mode. PB uses Ctrl + Shift + Click shortcut for this_x000a_4/9: No action"/>
    <s v="2/10: The user will be allowed to highlight an entry regardless of edit mode or not, however any clicks outside the currently edited row will put it out of edit mode by default_x000a_4/8: Need discussion, this would be new."/>
  </r>
  <r>
    <n v="19"/>
    <x v="0"/>
    <s v="Both"/>
    <x v="1"/>
    <x v="0"/>
    <x v="1"/>
    <s v="General"/>
    <s v="Filter applied displays unrelated LOOKUP_SEQ section"/>
    <s v="1. User applies Description Filter on window_x000a_2. No rows selected, user sees LOOKUP_SEQ rows associated with last highlited row"/>
    <m/>
    <d v="2026-04-03T00:00:00"/>
    <s v="Pass"/>
    <s v="4/3: LOOKUP_SEQ data from the top row of the filtered Description section appears"/>
    <s v="2/5: Fixed"/>
  </r>
  <r>
    <n v="20"/>
    <x v="0"/>
    <s v="Both"/>
    <x v="0"/>
    <x v="0"/>
    <x v="1"/>
    <s v="General"/>
    <s v="Black Border around window when refresh"/>
    <s v="1. User clicks space to right of Associated Dockets_x000a_2. User selects F3 on keyboard &gt; blakc border temporarily appears on window, refreshes, then disappears"/>
    <s v="Can this be removed? Also noticed that F2 on keyboard is displaying the border"/>
    <d v="2026-04-03T00:00:00"/>
    <s v="Pass"/>
    <m/>
    <s v="2/5: Fixed"/>
  </r>
  <r>
    <n v="21"/>
    <x v="0"/>
    <s v="Both"/>
    <x v="1"/>
    <x v="0"/>
    <x v="1"/>
    <s v="General "/>
    <s v="F7/F8 Delay in loading"/>
    <s v="1. User selects F8_x000a_2. Next row is higlighted in middle of field_x000a_3. Row then moves to top"/>
    <s v="Next row is always at top in current window_x000a__x000a_Needs discussion"/>
    <d v="2026-04-16T00:00:00"/>
    <s v="Pass"/>
    <s v="4/3: The row selected no longer changes, but now the middle row on the page is always selected."/>
    <s v="2/10: https://support.syncfusion.com/support/tickets/811796 Turning on virtualization for top, but it causes issues for the bottom, should discuss_x000a_4/10: Fixed, issue was row height not being set correctly."/>
  </r>
  <r>
    <n v="22"/>
    <x v="0"/>
    <s v="PB Only"/>
    <x v="1"/>
    <x v="1"/>
    <x v="1"/>
    <s v="General"/>
    <s v="Double Click from Docket Code Maintenance errors"/>
    <s v="1. User double clicks Lookup Table from Docket code._x000a_2. Menu Security Error displays &quot;Unable to set security for w_ct_m_parm_lookups_bzr. The program not registered with the menu security or The current user is not authorized to operate this program!!!&quot;"/>
    <s v="Verified VNGWIN/PROFIL categories created; only able to test in PB window as blazor Docket Code Maintenance window not created yet."/>
    <d v="2026-04-03T00:00:00"/>
    <s v="Pass"/>
    <m/>
    <s v="2/9: Sameer to address - fixed"/>
  </r>
  <r>
    <n v="23"/>
    <x v="0"/>
    <s v="Both"/>
    <x v="0"/>
    <x v="1"/>
    <x v="1"/>
    <s v="General"/>
    <s v="Right click in edit mode"/>
    <s v="A gray line appears when right clicking in area outside of row when a row is in edit mode"/>
    <m/>
    <d v="2026-04-03T00:00:00"/>
    <s v="Pass"/>
    <m/>
    <s v="2/9: https://support.syncfusion.com/support/tickets/811784 Fixed with conditional styling"/>
  </r>
  <r>
    <n v="24"/>
    <x v="0"/>
    <s v="Both"/>
    <x v="1"/>
    <x v="1"/>
    <x v="1"/>
    <s v="General"/>
    <s v="Cannot edit Description and LOOKUP_SEQ data"/>
    <s v="Current PB window allows for both updates while NG window errors. Not sure if this should be allowed?"/>
    <m/>
    <d v="2026-04-03T00:00:00"/>
    <s v="Pass"/>
    <m/>
    <s v="2/5: Fixed"/>
  </r>
  <r>
    <n v="25"/>
    <x v="0"/>
    <s v="Both"/>
    <x v="0"/>
    <x v="0"/>
    <x v="1"/>
    <s v="General"/>
    <s v="Save Loading transparent view not appearing"/>
    <s v="Small loading symbols appear in each section rather than the one wheel / transparent view for the entire window_x000a_"/>
    <s v="UI Guidelines #80-81"/>
    <d v="2026-04-16T00:00:00"/>
    <s v="Pass"/>
    <m/>
    <s v="2/5: Fixed_x000a_4/8: Fixed, added global styling to prevent spinners"/>
  </r>
  <r>
    <n v="26"/>
    <x v="1"/>
    <s v="Both"/>
    <x v="1"/>
    <x v="0"/>
    <x v="1"/>
    <s v="General "/>
    <s v="fluent Validation remains after entry"/>
    <s v="After selecting a dropdown option in a fluent validation field, then clicking to another field, the fluent validation message remains. The message disappears if you click outside of the editted sequence number, or if you use tab"/>
    <m/>
    <d v="2026-04-16T00:00:00"/>
    <s v="Pass"/>
    <m/>
    <s v="4/8: Fixed, added logic to turn off validation message when focusing out after correction."/>
  </r>
  <r>
    <n v="27"/>
    <x v="1"/>
    <s v="Both"/>
    <x v="0"/>
    <x v="0"/>
    <x v="1"/>
    <s v="General "/>
    <s v="Dropdown searches available for Datatype field"/>
    <s v="Datatype field should not have the Search"/>
    <m/>
    <d v="2026-04-16T00:00:00"/>
    <s v="Pass"/>
    <m/>
    <s v="4/8: Need discussion, dropdown has scroll_x000a_4/9: Fixed, removed according to BSA"/>
  </r>
  <r>
    <n v="28"/>
    <x v="1"/>
    <s v="Both"/>
    <x v="0"/>
    <x v="0"/>
    <x v="0"/>
    <s v="General "/>
    <s v="Dropdown search not available for DW Object field"/>
    <s v="DW Object field should have the Search"/>
    <m/>
    <m/>
    <m/>
    <m/>
    <s v="4/8: Need discussion, search is there, this dropdown allows typing in the selected field_x000a_4/9: Fixed, already exists, it's just inline since it's a SF combo box"/>
  </r>
  <r>
    <n v="29"/>
    <x v="1"/>
    <s v="Both"/>
    <x v="1"/>
    <x v="0"/>
    <x v="1"/>
    <s v="LOOKUP_SEQ Section"/>
    <s v="RIght click actions when row limit is reached"/>
    <m/>
    <s v="Needs discussion with devs. court.parm_lookups currently allows for 1 character (9 parameters) at most in the LOOKUP_SEQ column. We have a very low priority open AR VISAR-6608 to allow the lookup_seq number to be 2 characters (99), instead of one character (9). We may not want to grey out the add row/ insert row options available based on the current maximum number of parameters"/>
    <d v="2026-04-16T00:00:00"/>
    <s v="Pass with Comments"/>
    <s v="4/9: NG window and CRMD region only parm_lookups table will allow for 99 parms. Once AR changes are made in higher regions, NG changes are expected to save &gt;10 parameters_x000a_4/16: CRMQ throws error when attempting to save 10 parms. CRMD allows you to save 10 parms. Will limit test later"/>
    <s v="4/8: Need discussion, instead of having a custom popup message or allowing the user to add an entry when they will not be able to commit it, I just prevent them from adding at all. That request sounds like an enhancement, and would require the database to be modified to allow more characters to be stored in that column._x000a_Need to modify DB, VISAR-6608, prepare to accept 99 params._x000a_4/9: Fixed, allowing 99 sequences now, will need Sameer to run script to update table, but he will address this when he gets to his AR."/>
  </r>
  <r>
    <n v="30"/>
    <x v="1"/>
    <s v="Both"/>
    <x v="1"/>
    <x v="2"/>
    <x v="2"/>
    <s v="Docket Code Maintenance"/>
    <s v="Double Click to Parm Lookup window"/>
    <s v="1. Open Docket Code Maintenance_x000a_2. Double Click a parm lookup - Editable version of Blazor window opens. _x000a_Expected result is a read only version of the window opens for the selected parm lookup. Rest of the window remains read only as you navigate. The top row in the LOOKUP_SEQ section remains selected even if user clicks other rows."/>
    <s v="Needs discussion with Devs"/>
    <d v="2026-04-16T00:00:00"/>
    <s v="Fail"/>
    <s v="4/16: Defect is not resolved. Needs discussion with Jorge/ Nathan. Defect 43 is related"/>
    <s v="4/9: Fixed, added generic profile checking, and also added URL checking to see if the user navigated to ParmLookups from another window with MODE=BROWSE. Sameer to implement PB side._x000a_4/17: Discussion with Jorge and BSA needed, Jorge wants same permission checking even when opening ParmLookups from Docket Maint."/>
  </r>
  <r>
    <n v="31"/>
    <x v="1"/>
    <s v="Both"/>
    <x v="1"/>
    <x v="0"/>
    <x v="1"/>
    <s v="LOOKUP_SEQ Section"/>
    <s v="Entering edit mode should have default cursor location"/>
    <s v="Entering edit mode causes cursor to not select top field. User must click the desired field or press tab multiple times (2-4 times) to see the cursor."/>
    <s v="Added UI Guideline 95 to account for the default edit mode cursor location"/>
    <d v="2026-04-16T00:00:00"/>
    <s v="Pass"/>
    <m/>
    <s v="4/8: Fixed, added focus on first field. I also noticed that when double clicking, Microsoft Edge might pop up a menu that can interfere with the focus. The user can choose to disable it for the window and it won't pop up."/>
  </r>
  <r>
    <n v="32"/>
    <x v="1"/>
    <s v="Both"/>
    <x v="1"/>
    <x v="1"/>
    <x v="2"/>
    <s v="LOOKUP_SEQ Section"/>
    <s v="Dropdown fields do not work when user uses 'Tile Horizontal' view"/>
    <s v="1. Open PL Blazor Window_x000a_2. Open another Vision window_x000a_3. Select Window, Tile Horizontal_x000a_4. Enter edit mode_x000a_5. Modify Date or DW Object dropdown selection - Dropdown options sometimes do not appear. Hard to recreate_x000a_6. Exit edit mode - LOOKUP_SEQ section expands and the Description section is no longer visible unless you resize the window"/>
    <m/>
    <d v="2026-04-16T00:00:00"/>
    <s v="Fail"/>
    <s v="4/16: Defect is not resolved. Demo video sent to devs"/>
    <s v="4/10: Unable to recreate_x000a_4/17: Updated styling for resizing, hopefully this fixes it."/>
  </r>
  <r>
    <n v="33"/>
    <x v="1"/>
    <s v="Both"/>
    <x v="1"/>
    <x v="2"/>
    <x v="2"/>
    <s v="LOOKUP_SEQ Section"/>
    <s v="fluent Validation does not show character limit issues in edit mode"/>
    <s v="fluent validation for character limits appear after attempting to exit edit mode, but do not appear when switching fields/ tabbing through fields"/>
    <s v="Needs discussion with devs. The fluent validation appears when you exit edit mode for the optional fields, while required fields show the fluent validation when you switch fields."/>
    <d v="2026-04-16T00:00:00"/>
    <s v="Fail"/>
    <s v="4/16: Devs will add the max lengths to DW Object field. Other fields work as expected with the max length updates"/>
    <s v="4/8: Fixed, added max lengths to fields to be like Event Codes._x000a_4/17: Added max length to DW Object."/>
  </r>
  <r>
    <n v="34"/>
    <x v="1"/>
    <s v="Both"/>
    <x v="1"/>
    <x v="0"/>
    <x v="1"/>
    <s v="Description Section"/>
    <s v="Double Click between rows sometimes does not open edit mode"/>
    <s v="1. Double click row 1 - edit mode opens_x000a_2. Double click row 2 - edit mode may or may not open. The edit mode does not open if the select is still loading. There might need to be a slight delay added to check for a second click (edit mode) before loading the first click (select)"/>
    <s v="See Code Entries or LOOKUP_SEQ section for expected behavior"/>
    <d v="2026-04-16T00:00:00"/>
    <s v="Pass"/>
    <m/>
    <s v="4/13: Turning on virtualization helps prevent this issue."/>
  </r>
  <r>
    <n v="35"/>
    <x v="1"/>
    <s v="Both"/>
    <x v="1"/>
    <x v="0"/>
    <x v="0"/>
    <s v="Description Section"/>
    <s v="Modifying a row with column sort"/>
    <s v="1. Apply column sort to description section_x000a_2. Change the code from *BYTEST NG to ZBYTEST NG_x000a_3. Press enter - Pending changes prompt appears while the row moves locations"/>
    <m/>
    <m/>
    <m/>
    <m/>
    <s v="4/8: Need discussion, while a sort is applied the added entry will leave to be sorted, then the grid auto selects the current index. We would have to ignore this auto select in the base class and go to the index of the added entry. _x000a_Get rid of sort on add._x000a_4/10: Fixed, getting rid of sorting on add."/>
  </r>
  <r>
    <n v="37"/>
    <x v="2"/>
    <s v="Both"/>
    <x v="0"/>
    <x v="0"/>
    <x v="1"/>
    <s v="LOOKUP_SEQ Section"/>
    <s v="Validation Error Message"/>
    <s v="1. On an existing parm lookup, Add 256 characters to optional field  like SEQ Description_x000a_2. Switch description rows, see error message &quot;The information entered does not pass validation and must be corrected before changes can be saved._x000a_Close without saving changes?&quot;"/>
    <s v="Use validation error message from UI Guidelines 74,78,79. See bail schedule window for reference."/>
    <d v="2026-04-16T00:00:00"/>
    <s v="Pass"/>
    <m/>
    <s v="4/8: Need discussion, we have separate messages for trying to save and trying to navigate away. The one for navigating away allows the user to leave the entry and discard changes, or remain to see what the issue is._x000a_4/9: Fixed, uses same method as Bail Schedule."/>
  </r>
  <r>
    <n v="39"/>
    <x v="3"/>
    <s v="Both"/>
    <x v="1"/>
    <x v="0"/>
    <x v="3"/>
    <s v="Description Section"/>
    <m/>
    <s v="1. Add new description_x000a_2. Add new lookup sequence - do not fill in values_x000a_3. Switch description rows - receive 'Pending Changes' message twice. One instance is expected, but the second may be occuring because there are validation errors in the lookup_seq section"/>
    <s v="Remove"/>
    <m/>
    <m/>
    <m/>
    <s v="4/17: Cancel editing in children when response to pending changes is &quot;No&quot;"/>
  </r>
  <r>
    <n v="40"/>
    <x v="3"/>
    <s v="Both"/>
    <x v="0"/>
    <x v="0"/>
    <x v="3"/>
    <s v="DW Object button"/>
    <s v="Button height is taller than the DW Object field"/>
    <s v="The button height goes below the DW Object field. See screenshots for ID 40."/>
    <m/>
    <m/>
    <m/>
    <m/>
    <s v="4/17: Added styling fix"/>
  </r>
  <r>
    <n v="41"/>
    <x v="3"/>
    <s v="Both"/>
    <x v="1"/>
    <x v="0"/>
    <x v="3"/>
    <s v="Description Section"/>
    <s v="Focus changes after save"/>
    <s v="1. Creating new description_x000a_2. Create new lookup_seq_x000a_3. Save changes - description row above the newly added description is selected, or the Description selection disappears while the lookup_seq continues to show the newly added row"/>
    <s v="Using Description *BYTEST NG 2 showed the first behavior, and 3 - DBYTEST NG showed the second behavior_x000a__x000a_Needs discussion with Devs"/>
    <m/>
    <m/>
    <m/>
    <s v="4/17: Modified to find index of added row and scroll to it, or by default when deleting the next row is auto selected by SyncFusion"/>
  </r>
  <r>
    <n v="42"/>
    <x v="3"/>
    <s v="Both"/>
    <x v="1"/>
    <x v="0"/>
    <x v="3"/>
    <s v="Docket Code sort"/>
    <s v="Double Clicking 'Docket Code' column to sort opens Docket Code Maintenance"/>
    <s v="When you quickly change the sort under 'Docket Code' column, Docket Code maintenance may open for the top docket code. See Activity Process Codes PL as an example"/>
    <m/>
    <m/>
    <m/>
    <m/>
    <s v="4/17: Added guard to double click to prevent header clicks from counting"/>
  </r>
  <r>
    <n v="44"/>
    <x v="3"/>
    <s v="Both"/>
    <x v="1"/>
    <x v="2"/>
    <x v="3"/>
    <s v="PB Docket Code Maintenance"/>
    <s v="Opening the old version of PL"/>
    <s v="Opening the old version of parm lookups window through Ctrl + Shift + Double Click no longer displays a read only version of the PB Parm Lookups window"/>
    <s v="May be a defect related to Sameer's fix. Related to Defect 30"/>
    <m/>
    <m/>
    <m/>
    <s v="4/17: Sameer needed"/>
  </r>
  <r>
    <n v="46"/>
    <x v="4"/>
    <m/>
    <x v="2"/>
    <x v="3"/>
    <x v="4"/>
    <m/>
    <m/>
    <m/>
    <m/>
    <m/>
    <m/>
    <m/>
    <m/>
  </r>
  <r>
    <n v="47"/>
    <x v="4"/>
    <m/>
    <x v="2"/>
    <x v="3"/>
    <x v="4"/>
    <m/>
    <m/>
    <m/>
    <m/>
    <m/>
    <m/>
    <m/>
    <m/>
  </r>
  <r>
    <n v="48"/>
    <x v="4"/>
    <m/>
    <x v="2"/>
    <x v="3"/>
    <x v="4"/>
    <m/>
    <m/>
    <m/>
    <m/>
    <m/>
    <m/>
    <m/>
    <m/>
  </r>
  <r>
    <n v="49"/>
    <x v="4"/>
    <m/>
    <x v="2"/>
    <x v="3"/>
    <x v="4"/>
    <m/>
    <m/>
    <m/>
    <m/>
    <m/>
    <m/>
    <m/>
    <m/>
  </r>
  <r>
    <n v="50"/>
    <x v="4"/>
    <m/>
    <x v="2"/>
    <x v="3"/>
    <x v="4"/>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n v="1"/>
    <x v="0"/>
    <s v="PB Only"/>
    <x v="0"/>
    <x v="0"/>
    <x v="0"/>
    <s v="General"/>
    <s v="Window Load"/>
    <s v="Is it possible to display the loading wheel first? Currently the window flashes between white/gray then displays the loading wheel, then the window"/>
    <s v="Might have been introduced with Tab Flash issue that was recently implemented"/>
    <m/>
    <m/>
    <s v="2/4: no action as item is PB defect"/>
    <s v="2/4: No action"/>
  </r>
  <r>
    <n v="2"/>
    <x v="0"/>
    <s v="Both"/>
    <x v="0"/>
    <x v="0"/>
    <x v="0"/>
    <s v="General"/>
    <s v="Window Width"/>
    <s v="Window shall span entire width of window"/>
    <s v="UI Guidelines ID #4"/>
    <m/>
    <m/>
    <m/>
    <s v="2/4: No action"/>
  </r>
  <r>
    <n v="3"/>
    <x v="0"/>
    <s v="Both"/>
    <x v="0"/>
    <x v="0"/>
    <x v="1"/>
    <s v="Associated Dockets"/>
    <s v="Row Height"/>
    <s v="Row height of section header with &quot;Associated Dockets:&quot; should match row height of section header &quot;Event Codes&quot;"/>
    <s v="UI Guidelines ID #11"/>
    <d v="2026-03-25T00:00:00"/>
    <s v="Pass"/>
    <m/>
    <s v="2/4: Fixed"/>
  </r>
  <r>
    <n v="4"/>
    <x v="0"/>
    <s v="Both"/>
    <x v="1"/>
    <x v="0"/>
    <x v="1"/>
    <s v="Insert Row"/>
    <s v="Add &quot;Insert Row&quot; to Description section"/>
    <s v="&quot;Insert Row&quot; exists in bottom data section of window but should also be included in Description section"/>
    <m/>
    <d v="2026-03-25T00:00:00"/>
    <s v="Pass"/>
    <m/>
    <s v="2/4: Fixed, generic insert added to GridEventHelper"/>
  </r>
  <r>
    <n v="5"/>
    <x v="0"/>
    <s v="Both"/>
    <x v="1"/>
    <x v="0"/>
    <x v="1"/>
    <s v="Insert Row"/>
    <s v="Keyboard Shortcut Shift + F5"/>
    <s v="Current window does not have it configured but wanted to see if we can create it since other windows will be using it?"/>
    <s v="If this is not addressed now, will note it for later."/>
    <d v="2026-04-16T00:00:00"/>
    <s v="Pass"/>
    <s v="3/25: Not necessarily an NG defect. Insert Row Shift F5 is missing from the powerbuilder &quot;Edit&quot; menu. This may need to be configured in Q for the fix to work._x000a_4/9: Insert Row will be removed from context menu"/>
    <s v="2/5: Fixed, added_x000a_4/8: Need discussion, we decided that if you do not have that configuration you will not have that feature. For context menu, only show if it's a menu item._x000a_4/9: Fixed, no more insert in context menu."/>
  </r>
  <r>
    <n v="6"/>
    <x v="0"/>
    <s v="Both"/>
    <x v="0"/>
    <x v="0"/>
    <x v="1"/>
    <s v="LOOKUP_SEQ Section"/>
    <s v="Highlight"/>
    <s v="When LOOKUP_SEQ row is highlighted, labels are difficult to read as highlight/label color are similar shades of blue."/>
    <s v="Remove highlight and  &quot;pointer&quot; to indicate selected row; current window uses finger pointer. Since there are no similar options in Office Fabric Syncfusion icons, therefore reocmmend Øbullet-6 (PUA e763)"/>
    <d v="2026-03-25T00:00:00"/>
    <s v="Pass"/>
    <s v="2/4: instead of &quot;pointer,&quot; decision made to update labels to white when row is selected"/>
    <s v="2/4: Fixed"/>
  </r>
  <r>
    <n v="7"/>
    <x v="0"/>
    <s v="Both"/>
    <x v="0"/>
    <x v="0"/>
    <x v="1"/>
    <s v="LOOKUP_SEQ Section"/>
    <s v="Row Height"/>
    <s v="Default view looks like the row is always in edit mode_x000a_Once user enters edit mode, field heights remain the same"/>
    <s v="UI Guidelines ID #26; Is there a way to match the row height of data in the Description section? "/>
    <d v="2026-04-03T00:00:00"/>
    <s v="Pass"/>
    <s v="2/5: per Daily NG Meet, cells will be gray until user is in edit mode"/>
    <s v="2/5: Fixed"/>
  </r>
  <r>
    <n v="8"/>
    <x v="0"/>
    <s v="Both"/>
    <x v="0"/>
    <x v="0"/>
    <x v="1"/>
    <s v="LOOKUP_SEQ Section"/>
    <s v="FluentValidation formats"/>
    <s v="Use font type, size, styling in Error Codes_x000a_Current version is a different font type, smaller font size, different color of red, and bolded)"/>
    <m/>
    <d v="2026-04-03T00:00:00"/>
    <s v="Pass"/>
    <m/>
    <s v="2/4: Fixed"/>
  </r>
  <r>
    <n v="9"/>
    <x v="0"/>
    <s v="Both"/>
    <x v="1"/>
    <x v="1"/>
    <x v="1"/>
    <s v="LOOKUP_SEQ Section"/>
    <s v="Tab key"/>
    <s v="If user is in edit mode on row, tab key exists out of row rather than going to next field; when  tab is used, cursor moves to subsequent fields in following order:_x000a_     SEQ Description (cursor starts here)_x000a_     Lookup Table Name_x000a_     DW Object_x000a_     Datatype_x000a_     Code_x000a_     Filter Expr."/>
    <s v="Currently, tab is exiting the row in its entirety per UI Guidelines #53 and moving to the next row rather than the next data field"/>
    <d v="2026-04-03T00:00:00"/>
    <s v="Pass"/>
    <m/>
    <s v="2/9: https://support.syncfusion.com/support/tickets/811480 2/11: Fixed "/>
  </r>
  <r>
    <n v="10"/>
    <x v="0"/>
    <s v="Both"/>
    <x v="1"/>
    <x v="1"/>
    <x v="1"/>
    <s v="LOOKUP_SEQ Section"/>
    <s v="Character Limits"/>
    <s v="SEQ Description / Filter Expr._x000a_Does not have limit, however, fluent validation appears if &gt;255_x000a_Existing window varies based on width of characters entered_x000a_Data base limit is 255_x000a_Lookup Table:_x000a_Does not have limit, however, fluent validation appears if &gt;30_x000a_Existing window varies based on width of characters entered_x000a_Data base limit is 30_x000a_Code:_x000a_Does not have limit, however, fluent validation appears if &gt;12_x000a_Existing window varies based on width of characters entered_x000a_Data base limit is 12"/>
    <s v="UI Guidelines ID #57; Current rule is to match front end limits; however, when it varies based on the character width, should no limit apply and only leave FluentValidation to catch limits?"/>
    <d v="2026-04-03T00:00:00"/>
    <s v="Pass with Comments"/>
    <s v="4/3: See Defect 32"/>
    <s v="2/4: We will rely on FluentValidation"/>
  </r>
  <r>
    <n v="11"/>
    <x v="0"/>
    <s v="Both"/>
    <x v="1"/>
    <x v="1"/>
    <x v="1"/>
    <s v="LOOKUP_SEQ Section"/>
    <s v="Delete last row loses focus"/>
    <s v="1. LOOKUP_SEQ 2 deleted_x000a_2. User tries Ctrl + S and/or F3 on keyboard"/>
    <s v="Focus is failing"/>
    <d v="2026-04-03T00:00:00"/>
    <s v="Pass"/>
    <m/>
    <s v="2/5: Fixed"/>
  </r>
  <r>
    <n v="12"/>
    <x v="0"/>
    <s v="Both"/>
    <x v="1"/>
    <x v="1"/>
    <x v="1"/>
    <s v="LOOKUP_SEQ Section"/>
    <s v="Newly added laste row loses focus"/>
    <s v="1. LOOKUP_SEQ added as last row_x000a_2. User tries Ctrl + S  and/or F3 on keyboard"/>
    <s v="Focus is failing"/>
    <d v="2026-04-03T00:00:00"/>
    <s v="Pass"/>
    <m/>
    <s v="2/5: Fixed"/>
  </r>
  <r>
    <n v="13"/>
    <x v="0"/>
    <s v="Both"/>
    <x v="1"/>
    <x v="1"/>
    <x v="1"/>
    <s v="General"/>
    <s v="Added Row not visible"/>
    <s v="Scenario occurs when more than 4 LOOKUP_SEQ rows exist_x000a_1. Select Row then use Shift + F6 or Add Row (right click)_x000a_2. Window goes down to the last existing sequence number_x000a_3. User has to scroll down to get to newly added row"/>
    <s v="UI guidelines have new added rows added to the top, however, this one has to behave differently as LOOKUP_SEQ needs to be assigned. Need to see if there is a way to focus on newly added row"/>
    <d v="2026-04-03T00:00:00"/>
    <s v="Pass"/>
    <m/>
    <s v="2/5: Fixed"/>
  </r>
  <r>
    <n v="14"/>
    <x v="0"/>
    <s v="PB Only"/>
    <x v="1"/>
    <x v="1"/>
    <x v="1"/>
    <s v="Associated Dockets"/>
    <s v="Double Click docket code feature missing"/>
    <s v="PB window might be using same category as Minutes (PROFIL/DKT_MAINT_AC) but devs would need to confirm. CT_DEV profile should be able to double click docket code from Associated Dockets to launch Docket Code Maintenance window."/>
    <s v="UI Guidelines #72-73; In app version, should launch legacy Docket Code Maintenance window; in web, should display generic message that feature is unavailable in web (see Court Control, MOCS Defn. button)"/>
    <d v="2026-04-03T00:00:00"/>
    <s v="Pass with Comments"/>
    <s v="See Defect 29"/>
    <s v="2/9: Fixed"/>
  </r>
  <r>
    <n v="15"/>
    <x v="0"/>
    <s v="Both"/>
    <x v="1"/>
    <x v="1"/>
    <x v="1"/>
    <s v="General"/>
    <s v="Pending Changes - Message Logic"/>
    <s v="Can this be triggered only if user is trying to refresh or close window? Current behavior is when user tabs out of Description, message populates as changes were made. If user clicks cancel _x000a__x000a_We have the bolded text to indicate pending changes so message seems redundant at this level."/>
    <m/>
    <d v="2026-04-16T00:00:00"/>
    <s v="Pass"/>
    <m/>
    <s v="2/5: Need to discuss_x000a_2/10: Fixed_x000a_4/8: Need discussion, currently ParmLookups NG will prompt the user when they attempt to select a Description entry after making a change. This is consistent with our other windows that prompt between changes, and also consistent with the current PB window. _x000a_4/9: Fixed, this was related to deffect # 37"/>
  </r>
  <r>
    <n v="16"/>
    <x v="0"/>
    <s v="Both"/>
    <x v="1"/>
    <x v="1"/>
    <x v="1"/>
    <s v="General"/>
    <s v="Edit and Save a row"/>
    <s v="1. User modifies row and saves (*MUTEST updated to ZMUTEST)_x000a_2. Row remains in current position (ZMUTEST is at top of list)_x000a_3. User F3 refresh and modified row then resorts (ZMUTEST resorts into bottom part of list)"/>
    <s v="We need consistency in behavior of saving changes as this is different across windows. Error Codes resorts modified data after save"/>
    <d v="2026-04-03T00:00:00"/>
    <s v="Pass with Comments"/>
    <s v="Changed *BYTEST NG to ZBYTEST NG. Row moves to the bottom of Description section after save. Need to confirm if this is expected behavior."/>
    <s v="2/5: Fixed"/>
  </r>
  <r>
    <n v="17"/>
    <x v="0"/>
    <s v="Both"/>
    <x v="1"/>
    <x v="1"/>
    <x v="0"/>
    <s v="General"/>
    <s v="FluentValidation on PL Rows"/>
    <s v="1. User selects row to delete (row is associated to old version of DC)_x000a_2. User tries to delete row_x000a_3. Fluentvalidation &quot;Entry has associations, unable to delete&quot;_x000a_4. User clicks out of row: Vision; The information entered does not pass validation and must be corrected before changes can be saved._x000a_Close without saving changes?"/>
    <s v="The message displayed does not make sense for scenario. User cannot correct changes as the row cannot be deleted. Also, don't believe it makes sense to have FluentValidation appear on first field for scenario."/>
    <m/>
    <m/>
    <s v="4/3: Needs discussion with devs. This error message appears as a fluent validation rather than a row level validation_x000a_4/16: Updated to no action."/>
    <s v="2/5: Need to discuss_x000a_2/10: With fluent validation there, the message has to be targetted on a field unless we want to add another custom message box popup. User must cancel edit to remove validation messages before continuing._x000a_4/8: Need discussion, fluent validations have to be tied to a field unless we want something custom._x000a_4/9: Decided to keep validation on first row, this is our standard."/>
  </r>
  <r>
    <n v="18"/>
    <x v="0"/>
    <s v="Both"/>
    <x v="1"/>
    <x v="0"/>
    <x v="0"/>
    <s v="General"/>
    <s v="Copy data from previous rows"/>
    <s v="Cannot highlight data in read-only view when another row is in edit mode"/>
    <s v="User has to exit edit mode, copy/paste, then return to edit mode"/>
    <d v="2026-04-03T00:00:00"/>
    <s v="Pass with Comments"/>
    <s v="4/3: Needs discussion with devs. We do not have a way to highlight/ copy read only fields while in edit mode. PB uses Ctrl + Shift + Click shortcut for this_x000a_4/9: No action"/>
    <s v="2/10: The user will be allowed to highlight an entry regardless of edit mode or not, however any clicks outside the currently edited row will put it out of edit mode by default_x000a_4/8: Need discussion, this would be new."/>
  </r>
  <r>
    <n v="19"/>
    <x v="0"/>
    <s v="Both"/>
    <x v="1"/>
    <x v="0"/>
    <x v="1"/>
    <s v="General"/>
    <s v="Filter applied displays unrelated LOOKUP_SEQ section"/>
    <s v="1. User applies Description Filter on window_x000a_2. No rows selected, user sees LOOKUP_SEQ rows associated with last highlited row"/>
    <m/>
    <d v="2026-04-03T00:00:00"/>
    <s v="Pass"/>
    <s v="4/3: LOOKUP_SEQ data from the top row of the filtered Description section appears"/>
    <s v="2/5: Fixed"/>
  </r>
  <r>
    <n v="20"/>
    <x v="0"/>
    <s v="Both"/>
    <x v="0"/>
    <x v="0"/>
    <x v="1"/>
    <s v="General"/>
    <s v="Black Border around window when refresh"/>
    <s v="1. User clicks space to right of Associated Dockets_x000a_2. User selects F3 on keyboard &gt; blakc border temporarily appears on window, refreshes, then disappears"/>
    <s v="Can this be removed? Also noticed that F2 on keyboard is displaying the border"/>
    <d v="2026-04-03T00:00:00"/>
    <s v="Pass"/>
    <m/>
    <s v="2/5: Fixed"/>
  </r>
  <r>
    <n v="21"/>
    <x v="0"/>
    <s v="Both"/>
    <x v="1"/>
    <x v="0"/>
    <x v="1"/>
    <s v="General "/>
    <s v="F7/F8 Delay in loading"/>
    <s v="1. User selects F8_x000a_2. Next row is higlighted in middle of field_x000a_3. Row then moves to top"/>
    <s v="Next row is always at top in current window_x000a__x000a_Needs discussion"/>
    <d v="2026-04-16T00:00:00"/>
    <s v="Pass"/>
    <s v="4/3: The row selected no longer changes, but now the middle row on the page is always selected."/>
    <s v="2/10: https://support.syncfusion.com/support/tickets/811796 Turning on virtualization for top, but it causes issues for the bottom, should discuss_x000a_4/10: Fixed, issue was row height not being set correctly."/>
  </r>
  <r>
    <n v="22"/>
    <x v="0"/>
    <s v="PB Only"/>
    <x v="1"/>
    <x v="1"/>
    <x v="1"/>
    <s v="General"/>
    <s v="Double Click from Docket Code Maintenance errors"/>
    <s v="1. User double clicks Lookup Table from Docket code._x000a_2. Menu Security Error displays &quot;Unable to set security for w_ct_m_parm_lookups_bzr. The program not registered with the menu security or The current user is not authorized to operate this program!!!&quot;"/>
    <s v="Verified VNGWIN/PROFIL categories created; only able to test in PB window as blazor Docket Code Maintenance window not created yet."/>
    <d v="2026-04-03T00:00:00"/>
    <s v="Pass"/>
    <m/>
    <s v="2/9: Sameer to address - fixed"/>
  </r>
  <r>
    <n v="23"/>
    <x v="0"/>
    <s v="Both"/>
    <x v="0"/>
    <x v="1"/>
    <x v="1"/>
    <s v="General"/>
    <s v="Right click in edit mode"/>
    <s v="A gray line appears when right clicking in area outside of row when a row is in edit mode"/>
    <m/>
    <d v="2026-04-03T00:00:00"/>
    <s v="Pass"/>
    <m/>
    <s v="2/9: https://support.syncfusion.com/support/tickets/811784 Fixed with conditional styling"/>
  </r>
  <r>
    <n v="24"/>
    <x v="0"/>
    <s v="Both"/>
    <x v="1"/>
    <x v="1"/>
    <x v="1"/>
    <s v="General"/>
    <s v="Cannot edit Description and LOOKUP_SEQ data"/>
    <s v="Current PB window allows for both updates while NG window errors. Not sure if this should be allowed?"/>
    <m/>
    <d v="2026-04-03T00:00:00"/>
    <s v="Pass"/>
    <m/>
    <s v="2/5: Fixed"/>
  </r>
  <r>
    <n v="25"/>
    <x v="0"/>
    <s v="Both"/>
    <x v="0"/>
    <x v="0"/>
    <x v="1"/>
    <s v="General"/>
    <s v="Save Loading transparent view not appearing"/>
    <s v="Small loading symbols appear in each section rather than the one wheel / transparent view for the entire window_x000a_"/>
    <s v="UI Guidelines #80-81"/>
    <d v="2026-04-16T00:00:00"/>
    <s v="Pass"/>
    <m/>
    <s v="2/5: Fixed_x000a_4/8: Fixed, added global styling to prevent spinners"/>
  </r>
  <r>
    <n v="26"/>
    <x v="1"/>
    <s v="Both"/>
    <x v="1"/>
    <x v="0"/>
    <x v="1"/>
    <s v="General "/>
    <s v="fluent Validation remains after entry"/>
    <s v="After selecting a dropdown option in a fluent validation field, then clicking to another field, the fluent validation message remains. The message disappears if you click outside of the editted sequence number, or if you use tab"/>
    <m/>
    <d v="2026-04-16T00:00:00"/>
    <s v="Pass"/>
    <m/>
    <s v="4/8: Fixed, added logic to turn off validation message when focusing out after correction."/>
  </r>
  <r>
    <n v="27"/>
    <x v="1"/>
    <s v="Both"/>
    <x v="0"/>
    <x v="0"/>
    <x v="1"/>
    <s v="General "/>
    <s v="Dropdown searches available for Datatype field"/>
    <s v="Datatype field should not have the Search"/>
    <m/>
    <d v="2026-04-16T00:00:00"/>
    <s v="Pass"/>
    <m/>
    <s v="4/8: Need discussion, dropdown has scroll_x000a_4/9: Fixed, removed according to BSA"/>
  </r>
  <r>
    <n v="28"/>
    <x v="1"/>
    <s v="Both"/>
    <x v="0"/>
    <x v="0"/>
    <x v="0"/>
    <s v="General "/>
    <s v="Dropdown search not available for DW Object field"/>
    <s v="DW Object field should have the Search"/>
    <m/>
    <m/>
    <m/>
    <m/>
    <s v="4/8: Need discussion, search is there, this dropdown allows typing in the selected field_x000a_4/9: Fixed, already exists, it's just inline since it's a SF combo box"/>
  </r>
  <r>
    <n v="29"/>
    <x v="1"/>
    <s v="Both"/>
    <x v="1"/>
    <x v="0"/>
    <x v="1"/>
    <s v="LOOKUP_SEQ Section"/>
    <s v="RIght click actions when row limit is reached"/>
    <m/>
    <s v="Needs discussion with devs. court.parm_lookups currently allows for 1 character (9 parameters) at most in the LOOKUP_SEQ column. We have a very low priority open AR VISAR-6608 to allow the lookup_seq number to be 2 characters (99), instead of one character (9). We may not want to grey out the add row/ insert row options available based on the current maximum number of parameters"/>
    <d v="2026-04-16T00:00:00"/>
    <s v="Pass with Comments"/>
    <s v="4/9: NG window and CRMD region only parm_lookups table will allow for 99 parms. Once AR changes are made in higher regions, NG changes are expected to save &gt;10 parameters_x000a_4/16: CRMQ throws error when attempting to save 10 parms. CRMD allows you to save 10 parms."/>
    <s v="4/8: Need discussion, instead of having a custom popup message or allowing the user to add an entry when they will not be able to commit it, I just prevent them from adding at all. That request sounds like an enhancement, and would require the database to be modified to allow more characters to be stored in that column._x000a_Need to modify DB, VISAR-6608, prepare to accept 99 params._x000a_4/9: Fixed, allowing 99 sequences now, will need Sameer to run script to update table, but he will address this when he gets to his AR."/>
  </r>
  <r>
    <n v="30"/>
    <x v="1"/>
    <s v="Both"/>
    <x v="1"/>
    <x v="2"/>
    <x v="1"/>
    <s v="Docket Code Maintenance"/>
    <s v="Double Click to Parm Lookup window"/>
    <s v="1. Open Docket Code Maintenance_x000a_2. Double Click a parm lookup - Editable version of Blazor window opens. _x000a_Expected result is a read only version of the window opens for the selected parm lookup. Rest of the window remains read only as you navigate. The top row in the LOOKUP_SEQ section remains selected even if user clicks other rows."/>
    <s v="Needs discussion with Devs"/>
    <d v="2026-04-23T00:00:00"/>
    <s v="Pass with Comments"/>
    <s v="4/16: Defect is not resolved. Needs discussion with Jorge/ Nathan. Defect 43 is related_x000a_4/23: Might be related to Defect 46"/>
    <s v="4/9: Fixed, added generic profile checking, and also added URL checking to see if the user navigated to ParmLookups from another window with MODE=BROWSE. Sameer to implement PB side._x000a_4/20: When navigating from Docket Maint, always readonly."/>
  </r>
  <r>
    <n v="31"/>
    <x v="1"/>
    <s v="Both"/>
    <x v="1"/>
    <x v="0"/>
    <x v="1"/>
    <s v="LOOKUP_SEQ Section"/>
    <s v="Entering edit mode should have default cursor location"/>
    <s v="Entering edit mode causes cursor to not select top field. User must click the desired field or press tab multiple times (2-4 times) to see the cursor."/>
    <s v="Added UI Guideline 95 to account for the default edit mode cursor location"/>
    <d v="2026-04-16T00:00:00"/>
    <s v="Pass"/>
    <m/>
    <s v="4/8: Fixed, added focus on first field. I also noticed that when double clicking, Microsoft Edge might pop up a menu that can interfere with the focus. The user can choose to disable it for the window and it won't pop up."/>
  </r>
  <r>
    <n v="32"/>
    <x v="1"/>
    <s v="Both"/>
    <x v="1"/>
    <x v="1"/>
    <x v="2"/>
    <s v="LOOKUP_SEQ Section"/>
    <s v="Dropdown fields do not work when user uses 'Tile Horizontal' view"/>
    <s v="1. Open PL Blazor Window_x000a_2. Open another Vision window_x000a_3. Select Window, Tile Horizontal_x000a_4. Enter edit mode_x000a_5. Modify Date or DW Object dropdown selection - Dropdown options sometimes do not appear. Hard to recreate_x000a_6. Exit edit mode - LOOKUP_SEQ section expands and the Description section is no longer visible unless you resize the window"/>
    <s v="Occurs when manually resizing the window too."/>
    <d v="2026-04-23T00:00:00"/>
    <s v="Fail"/>
    <s v="4/16: Defect is not resolved. Demo video sent to devs_x000a_4/23: Dropdown now appears in the correct position consistently, but the freezing still occurs. Difficult to recreate. There is a white area on the bottom of the window too when you minimize."/>
    <s v="4/10: Unable to recreate_x000a_4/17: Updated styling for resizing, hopefully this fixes it."/>
  </r>
  <r>
    <n v="33"/>
    <x v="1"/>
    <s v="Both"/>
    <x v="1"/>
    <x v="2"/>
    <x v="1"/>
    <s v="LOOKUP_SEQ Section"/>
    <s v="fluent Validation does not show character limit issues in edit mode"/>
    <s v="fluent validation for character limits appear after attempting to exit edit mode, but do not appear when switching fields/ tabbing through fields"/>
    <s v="Needs discussion with devs. The fluent validation appears when you exit edit mode for the optional fields, while required fields show the fluent validation when you switch fields."/>
    <d v="2026-04-23T00:00:00"/>
    <s v="Pass"/>
    <s v="4/16: Devs will add the max lengths to DW Object field. Other fields work as expected with the max length updates"/>
    <s v="4/8: Fixed, added max lengths to fields to be like Event Codes._x000a_4/17: Added max length to DW Object."/>
  </r>
  <r>
    <n v="34"/>
    <x v="1"/>
    <s v="Both"/>
    <x v="1"/>
    <x v="0"/>
    <x v="1"/>
    <s v="Description Section"/>
    <s v="Double Click between rows sometimes does not open edit mode"/>
    <s v="1. Double click row 1 - edit mode opens_x000a_2. Double click row 2 - edit mode may or may not open. The edit mode does not open if the select is still loading. There might need to be a slight delay added to check for a second click (edit mode) before loading the first click (select)"/>
    <s v="See Code Entries or LOOKUP_SEQ section for expected behavior"/>
    <d v="2026-04-16T00:00:00"/>
    <s v="Pass"/>
    <m/>
    <s v="4/13: Turning on virtualization helps prevent this issue."/>
  </r>
  <r>
    <n v="35"/>
    <x v="1"/>
    <s v="Both"/>
    <x v="1"/>
    <x v="0"/>
    <x v="0"/>
    <s v="Description Section"/>
    <s v="Modifying a row with column sort"/>
    <s v="1. Apply column sort to description section_x000a_2. Change the code from *BYTEST NG to ZBYTEST NG_x000a_3. Press enter - Pending changes prompt appears while the row moves locations"/>
    <m/>
    <m/>
    <m/>
    <m/>
    <s v="4/8: Need discussion, while a sort is applied the added entry will leave to be sorted, then the grid auto selects the current index. We would have to ignore this auto select in the base class and go to the index of the added entry. _x000a_Get rid of sort on add._x000a_4/10: Fixed, getting rid of sorting on add."/>
  </r>
  <r>
    <n v="37"/>
    <x v="2"/>
    <s v="Both"/>
    <x v="0"/>
    <x v="0"/>
    <x v="1"/>
    <s v="LOOKUP_SEQ Section"/>
    <s v="Validation Error Message"/>
    <s v="1. On an existing parm lookup, Add 256 characters to optional field  like SEQ Description_x000a_2. Switch description rows, see error message &quot;The information entered does not pass validation and must be corrected before changes can be saved._x000a_Close without saving changes?&quot;"/>
    <s v="Use validation error message from UI Guidelines 74,78,79. See bail schedule window for reference."/>
    <d v="2026-04-16T00:00:00"/>
    <s v="Pass"/>
    <m/>
    <s v="4/8: Need discussion, we have separate messages for trying to save and trying to navigate away. The one for navigating away allows the user to leave the entry and discard changes, or remain to see what the issue is._x000a_4/9: Fixed, uses same method as Bail Schedule."/>
  </r>
  <r>
    <n v="39"/>
    <x v="3"/>
    <s v="Both"/>
    <x v="1"/>
    <x v="0"/>
    <x v="0"/>
    <s v="Description Section"/>
    <m/>
    <s v="1. Add new description_x000a_2. Add new lookup sequence - do not fill in values_x000a_3. Switch description rows - receive 'Pending Changes' message twice. One instance is expected, but the second may be occuring because there are validation errors in the lookup_seq section"/>
    <m/>
    <m/>
    <m/>
    <m/>
    <s v="4/17: Cancel editing in children when response to pending changes is &quot;No&quot;"/>
  </r>
  <r>
    <n v="40"/>
    <x v="3"/>
    <s v="Both"/>
    <x v="0"/>
    <x v="0"/>
    <x v="1"/>
    <s v="DW Object button"/>
    <s v="Button height is taller than the DW Object field"/>
    <s v="The button height goes below the DW Object field. See screenshots for ID 40."/>
    <m/>
    <d v="2026-04-23T00:00:00"/>
    <s v="Pass"/>
    <m/>
    <s v="4/17: Added styling fix"/>
  </r>
  <r>
    <n v="41"/>
    <x v="3"/>
    <s v="PB Only"/>
    <x v="1"/>
    <x v="0"/>
    <x v="2"/>
    <s v="Description Section"/>
    <s v="Focus changes after save"/>
    <s v="1. Creating new description_x000a_2. Create new lookup_seq_x000a_3. Save changes with Ctrl + S - description row above the newly added description is selected, or the Description selection disappears while the lookup_seq continues to show the newly added row"/>
    <s v="Using Description *BYTEST NG 2 showed the first behavior, and 3 - DBYTEST NG showed the second behavior_x000a__x000a_Needs discussion with Devs"/>
    <d v="2026-04-23T00:00:00"/>
    <s v="Fail"/>
    <s v="4/23: Changes work when the new description appears in the first 8-9 rows. Issue continues to occur when the new description does not appear on the first 8-9 rows. Changed to PB Only"/>
    <s v="4/17: Modified to find index of added row and scroll to it, or by default when deleting the next row is auto selected by SyncFusion"/>
  </r>
  <r>
    <n v="42"/>
    <x v="3"/>
    <s v="Both"/>
    <x v="1"/>
    <x v="0"/>
    <x v="1"/>
    <s v="Docket Code sort"/>
    <s v="Double Clicking 'Docket Code' column to sort opens Docket Code Maintenance"/>
    <s v="When you quickly change the sort under 'Docket Code' column, Docket Code maintenance may open for the top docket code. See Activity Process Codes PL as an example"/>
    <m/>
    <d v="2026-04-23T00:00:00"/>
    <s v="Pass"/>
    <m/>
    <s v="4/17: Added guard to double click to prevent header clicks from counting"/>
  </r>
  <r>
    <n v="44"/>
    <x v="3"/>
    <s v="Both"/>
    <x v="1"/>
    <x v="2"/>
    <x v="2"/>
    <s v="PB Docket Code Maintenance"/>
    <s v="Opening the old version of PL"/>
    <s v="Opening the old version of parm lookups window through Ctrl + Shift + Double Click no longer displays a read only version of the PB Parm Lookups window"/>
    <s v="May be a defect related to Sameer's fix. Related to Defect 30"/>
    <d v="2026-04-23T00:00:00"/>
    <s v="Fail"/>
    <s v="4/23: Defect still exists"/>
    <s v="4/17: Sameer needed"/>
  </r>
  <r>
    <n v="46"/>
    <x v="4"/>
    <s v="Both"/>
    <x v="1"/>
    <x v="2"/>
    <x v="3"/>
    <s v="Window"/>
    <s v="Window does not load data"/>
    <s v="1. Open PL Blazor Window_x000a_2. Double Click an associated docket code_x000a_3. Close the PL Blazor Window with the Docket Code Maintenance window still selected_x000a_4. Open PL Blazor Window through Main &gt; Tables &gt; Parm Lookups - window loads with no data. See Screenshot ID 46."/>
    <s v="Occured around 1:05pm 4/23 when I first opened PL for the afternoon. Issue consistently occurs with these steps, but I was not able to recreate what happened at 1:05pm 4/23."/>
    <m/>
    <m/>
    <s v="May remove if this can't be recreated"/>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n v="1"/>
    <d v="2026-01-29T00:00:00"/>
    <s v="PB Only"/>
    <x v="0"/>
    <x v="0"/>
    <x v="0"/>
    <s v="General"/>
    <s v="Window Load"/>
    <s v="Is it possible to display the loading wheel first? Currently the window flashes between white/gray then displays the loading wheel, then the window"/>
    <s v="Might have been introduced with Tab Flash issue that was recently implemented"/>
    <m/>
    <m/>
    <s v="2/4: no action as item is PB defect"/>
    <s v="2/4: No action"/>
  </r>
  <r>
    <n v="2"/>
    <d v="2026-01-29T00:00:00"/>
    <s v="Both"/>
    <x v="0"/>
    <x v="0"/>
    <x v="0"/>
    <s v="General"/>
    <s v="Window Width"/>
    <s v="Window shall span entire width of window"/>
    <s v="UI Guidelines ID #4"/>
    <m/>
    <m/>
    <m/>
    <s v="2/4: No action"/>
  </r>
  <r>
    <n v="3"/>
    <d v="2026-01-29T00:00:00"/>
    <s v="Both"/>
    <x v="0"/>
    <x v="0"/>
    <x v="1"/>
    <s v="Associated Dockets"/>
    <s v="Row Height"/>
    <s v="Row height of section header with &quot;Associated Dockets:&quot; should match row height of section header &quot;Event Codes&quot;"/>
    <s v="UI Guidelines ID #11"/>
    <d v="2026-03-25T00:00:00"/>
    <s v="Pass"/>
    <m/>
    <s v="2/4: Fixed"/>
  </r>
  <r>
    <n v="4"/>
    <d v="2026-01-29T00:00:00"/>
    <s v="Both"/>
    <x v="1"/>
    <x v="0"/>
    <x v="1"/>
    <s v="Insert Row"/>
    <s v="Add &quot;Insert Row&quot; to Description section"/>
    <s v="&quot;Insert Row&quot; exists in bottom data section of window but should also be included in Description section"/>
    <m/>
    <d v="2026-03-25T00:00:00"/>
    <s v="Pass"/>
    <m/>
    <s v="2/4: Fixed, generic insert added to GridEventHelper"/>
  </r>
  <r>
    <n v="5"/>
    <d v="2026-01-29T00:00:00"/>
    <s v="Both"/>
    <x v="1"/>
    <x v="0"/>
    <x v="1"/>
    <s v="Insert Row"/>
    <s v="Keyboard Shortcut Shift + F5"/>
    <s v="Current window does not have it configured but wanted to see if we can create it since other windows will be using it?"/>
    <s v="If this is not addressed now, will note it for later."/>
    <d v="2026-04-16T00:00:00"/>
    <s v="Pass"/>
    <s v="3/25: Not necessarily an NG defect. Insert Row Shift F5 is missing from the powerbuilder &quot;Edit&quot; menu. This may need to be configured in Q for the fix to work._x000a_4/9: Insert Row will be removed from context menu"/>
    <s v="2/5: Fixed, added_x000a_4/8: Need discussion, we decided that if you do not have that configuration you will not have that feature. For context menu, only show if it's a menu item._x000a_4/9: Fixed, no more insert in context menu."/>
  </r>
  <r>
    <n v="6"/>
    <d v="2026-01-29T00:00:00"/>
    <s v="Both"/>
    <x v="0"/>
    <x v="0"/>
    <x v="1"/>
    <s v="LOOKUP_SEQ Section"/>
    <s v="Highlight"/>
    <s v="When LOOKUP_SEQ row is highlighted, labels are difficult to read as highlight/label color are similar shades of blue."/>
    <s v="Remove highlight and  &quot;pointer&quot; to indicate selected row; current window uses finger pointer. Since there are no similar options in Office Fabric Syncfusion icons, therefore reocmmend Øbullet-6 (PUA e763)"/>
    <d v="2026-03-25T00:00:00"/>
    <s v="Pass"/>
    <s v="2/4: instead of &quot;pointer,&quot; decision made to update labels to white when row is selected"/>
    <s v="2/4: Fixed"/>
  </r>
  <r>
    <n v="7"/>
    <d v="2026-01-29T00:00:00"/>
    <s v="Both"/>
    <x v="0"/>
    <x v="0"/>
    <x v="1"/>
    <s v="LOOKUP_SEQ Section"/>
    <s v="Row Height"/>
    <s v="Default view looks like the row is always in edit mode_x000a_Once user enters edit mode, field heights remain the same"/>
    <s v="UI Guidelines ID #26; Is there a way to match the row height of data in the Description section? "/>
    <d v="2026-04-03T00:00:00"/>
    <s v="Pass"/>
    <s v="2/5: per Daily NG Meet, cells will be gray until user is in edit mode"/>
    <s v="2/5: Fixed"/>
  </r>
  <r>
    <n v="8"/>
    <d v="2026-01-29T00:00:00"/>
    <s v="Both"/>
    <x v="0"/>
    <x v="0"/>
    <x v="1"/>
    <s v="LOOKUP_SEQ Section"/>
    <s v="FluentValidation formats"/>
    <s v="Use font type, size, styling in Error Codes_x000a_Current version is a different font type, smaller font size, different color of red, and bolded)"/>
    <m/>
    <d v="2026-04-03T00:00:00"/>
    <s v="Pass"/>
    <m/>
    <s v="2/4: Fixed"/>
  </r>
  <r>
    <n v="9"/>
    <d v="2026-01-29T00:00:00"/>
    <s v="Both"/>
    <x v="1"/>
    <x v="1"/>
    <x v="1"/>
    <s v="LOOKUP_SEQ Section"/>
    <s v="Tab key"/>
    <s v="If user is in edit mode on row, tab key exists out of row rather than going to next field; when  tab is used, cursor moves to subsequent fields in following order:_x000a_     SEQ Description (cursor starts here)_x000a_     Lookup Table Name_x000a_     DW Object_x000a_     Datatype_x000a_     Code_x000a_     Filter Expr."/>
    <s v="Currently, tab is exiting the row in its entirety per UI Guidelines #53 and moving to the next row rather than the next data field"/>
    <d v="2026-04-03T00:00:00"/>
    <s v="Pass"/>
    <m/>
    <s v="2/9: https://support.syncfusion.com/support/tickets/811480 2/11: Fixed "/>
  </r>
  <r>
    <n v="10"/>
    <d v="2026-01-29T00:00:00"/>
    <s v="Both"/>
    <x v="1"/>
    <x v="1"/>
    <x v="1"/>
    <s v="LOOKUP_SEQ Section"/>
    <s v="Character Limits"/>
    <s v="SEQ Description / Filter Expr._x000a_Does not have limit, however, fluent validation appears if &gt;255_x000a_Existing window varies based on width of characters entered_x000a_Data base limit is 255_x000a_Lookup Table:_x000a_Does not have limit, however, fluent validation appears if &gt;30_x000a_Existing window varies based on width of characters entered_x000a_Data base limit is 30_x000a_Code:_x000a_Does not have limit, however, fluent validation appears if &gt;12_x000a_Existing window varies based on width of characters entered_x000a_Data base limit is 12"/>
    <s v="UI Guidelines ID #57; Current rule is to match front end limits; however, when it varies based on the character width, should no limit apply and only leave FluentValidation to catch limits?"/>
    <d v="2026-04-03T00:00:00"/>
    <s v="Pass with Comments"/>
    <s v="4/3: See Defect 32"/>
    <s v="2/4: We will rely on FluentValidation"/>
  </r>
  <r>
    <n v="11"/>
    <d v="2026-01-29T00:00:00"/>
    <s v="Both"/>
    <x v="1"/>
    <x v="1"/>
    <x v="1"/>
    <s v="LOOKUP_SEQ Section"/>
    <s v="Delete last row loses focus"/>
    <s v="1. LOOKUP_SEQ 2 deleted_x000a_2. User tries Ctrl + S and/or F3 on keyboard"/>
    <s v="Focus is failing"/>
    <d v="2026-04-03T00:00:00"/>
    <s v="Pass"/>
    <m/>
    <s v="2/5: Fixed"/>
  </r>
  <r>
    <n v="12"/>
    <d v="2026-01-29T00:00:00"/>
    <s v="Both"/>
    <x v="1"/>
    <x v="1"/>
    <x v="1"/>
    <s v="LOOKUP_SEQ Section"/>
    <s v="Newly added laste row loses focus"/>
    <s v="1. LOOKUP_SEQ added as last row_x000a_2. User tries Ctrl + S  and/or F3 on keyboard"/>
    <s v="Focus is failing"/>
    <d v="2026-04-03T00:00:00"/>
    <s v="Pass"/>
    <m/>
    <s v="2/5: Fixed"/>
  </r>
  <r>
    <n v="13"/>
    <d v="2026-01-29T00:00:00"/>
    <s v="Both"/>
    <x v="1"/>
    <x v="1"/>
    <x v="1"/>
    <s v="General"/>
    <s v="Added Row not visible"/>
    <s v="Scenario occurs when more than 4 LOOKUP_SEQ rows exist_x000a_1. Select Row then use Shift + F6 or Add Row (right click)_x000a_2. Window goes down to the last existing sequence number_x000a_3. User has to scroll down to get to newly added row"/>
    <s v="UI guidelines have new added rows added to the top, however, this one has to behave differently as LOOKUP_SEQ needs to be assigned. Need to see if there is a way to focus on newly added row"/>
    <d v="2026-04-03T00:00:00"/>
    <s v="Pass"/>
    <m/>
    <s v="2/5: Fixed"/>
  </r>
  <r>
    <n v="14"/>
    <d v="2026-01-29T00:00:00"/>
    <s v="PB Only"/>
    <x v="1"/>
    <x v="1"/>
    <x v="1"/>
    <s v="Associated Dockets"/>
    <s v="Double Click docket code feature missing"/>
    <s v="PB window might be using same category as Minutes (PROFIL/DKT_MAINT_AC) but devs would need to confirm. CT_DEV profile should be able to double click docket code from Associated Dockets to launch Docket Code Maintenance window."/>
    <s v="UI Guidelines #72-73; In app version, should launch legacy Docket Code Maintenance window; in web, should display generic message that feature is unavailable in web (see Court Control, MOCS Defn. button)"/>
    <d v="2026-04-03T00:00:00"/>
    <s v="Pass with Comments"/>
    <s v="See Defect 29"/>
    <s v="2/9: Fixed"/>
  </r>
  <r>
    <n v="15"/>
    <d v="2026-01-29T00:00:00"/>
    <s v="Both"/>
    <x v="1"/>
    <x v="1"/>
    <x v="1"/>
    <s v="General"/>
    <s v="Pending Changes - Message Logic"/>
    <s v="Can this be triggered only if user is trying to refresh or close window? Current behavior is when user tabs out of Description, message populates as changes were made. If user clicks cancel _x000a__x000a_We have the bolded text to indicate pending changes so message seems redundant at this level."/>
    <m/>
    <d v="2026-04-16T00:00:00"/>
    <s v="Pass"/>
    <m/>
    <s v="2/5: Need to discuss_x000a_2/10: Fixed_x000a_4/8: Need discussion, currently ParmLookups NG will prompt the user when they attempt to select a Description entry after making a change. This is consistent with our other windows that prompt between changes, and also consistent with the current PB window. _x000a_4/9: Fixed, this was related to deffect # 37"/>
  </r>
  <r>
    <n v="16"/>
    <d v="2026-01-29T00:00:00"/>
    <s v="Both"/>
    <x v="1"/>
    <x v="1"/>
    <x v="1"/>
    <s v="General"/>
    <s v="Edit and Save a row"/>
    <s v="1. User modifies row and saves (*MUTEST updated to ZMUTEST)_x000a_2. Row remains in current position (ZMUTEST is at top of list)_x000a_3. User F3 refresh and modified row then resorts (ZMUTEST resorts into bottom part of list)"/>
    <s v="We need consistency in behavior of saving changes as this is different across windows. Error Codes resorts modified data after save"/>
    <d v="2026-04-03T00:00:00"/>
    <s v="Pass with Comments"/>
    <s v="Changed *BYTEST NG to ZBYTEST NG. Row moves to the bottom of Description section after save. Need to confirm if this is expected behavior."/>
    <s v="2/5: Fixed"/>
  </r>
  <r>
    <n v="17"/>
    <d v="2026-01-29T00:00:00"/>
    <s v="Both"/>
    <x v="1"/>
    <x v="1"/>
    <x v="0"/>
    <s v="General"/>
    <s v="FluentValidation on PL Rows"/>
    <s v="1. User selects row to delete (row is associated to old version of DC)_x000a_2. User tries to delete row_x000a_3. Fluentvalidation &quot;Entry has associations, unable to delete&quot;_x000a_4. User clicks out of row: Vision; The information entered does not pass validation and must be corrected before changes can be saved._x000a_Close without saving changes?"/>
    <s v="The message displayed does not make sense for scenario. User cannot correct changes as the row cannot be deleted. Also, don't believe it makes sense to have FluentValidation appear on first field for scenario."/>
    <m/>
    <m/>
    <s v="4/3: Needs discussion with devs. This error message appears as a fluent validation rather than a row level validation_x000a_4/16: Updated to no action."/>
    <s v="2/5: Need to discuss_x000a_2/10: With fluent validation there, the message has to be targetted on a field unless we want to add another custom message box popup. User must cancel edit to remove validation messages before continuing._x000a_4/8: Need discussion, fluent validations have to be tied to a field unless we want something custom._x000a_4/9: Decided to keep validation on first row, this is our standard."/>
  </r>
  <r>
    <n v="18"/>
    <d v="2026-01-29T00:00:00"/>
    <s v="Both"/>
    <x v="1"/>
    <x v="0"/>
    <x v="0"/>
    <s v="General"/>
    <s v="Copy data from previous rows"/>
    <s v="Cannot highlight data in read-only view when another row is in edit mode"/>
    <s v="User has to exit edit mode, copy/paste, then return to edit mode"/>
    <d v="2026-04-03T00:00:00"/>
    <s v="Pass with Comments"/>
    <s v="4/3: Needs discussion with devs. We do not have a way to highlight/ copy read only fields while in edit mode. PB uses Ctrl + Shift + Click shortcut for this_x000a_4/9: No action"/>
    <s v="2/10: The user will be allowed to highlight an entry regardless of edit mode or not, however any clicks outside the currently edited row will put it out of edit mode by default_x000a_4/8: Need discussion, this would be new."/>
  </r>
  <r>
    <n v="19"/>
    <d v="2026-01-29T00:00:00"/>
    <s v="Both"/>
    <x v="1"/>
    <x v="0"/>
    <x v="1"/>
    <s v="General"/>
    <s v="Filter applied displays unrelated LOOKUP_SEQ section"/>
    <s v="1. User applies Description Filter on window_x000a_2. No rows selected, user sees LOOKUP_SEQ rows associated with last highlited row"/>
    <m/>
    <d v="2026-04-03T00:00:00"/>
    <s v="Pass"/>
    <s v="4/3: LOOKUP_SEQ data from the top row of the filtered Description section appears"/>
    <s v="2/5: Fixed"/>
  </r>
  <r>
    <n v="20"/>
    <d v="2026-01-29T00:00:00"/>
    <s v="Both"/>
    <x v="0"/>
    <x v="0"/>
    <x v="1"/>
    <s v="General"/>
    <s v="Black Border around window when refresh"/>
    <s v="1. User clicks space to right of Associated Dockets_x000a_2. User selects F3 on keyboard &gt; blakc border temporarily appears on window, refreshes, then disappears"/>
    <s v="Can this be removed? Also noticed that F2 on keyboard is displaying the border"/>
    <d v="2026-04-03T00:00:00"/>
    <s v="Pass"/>
    <m/>
    <s v="2/5: Fixed"/>
  </r>
  <r>
    <n v="21"/>
    <d v="2026-01-29T00:00:00"/>
    <s v="Both"/>
    <x v="1"/>
    <x v="0"/>
    <x v="1"/>
    <s v="General "/>
    <s v="F7/F8 Delay in loading"/>
    <s v="1. User selects F8_x000a_2. Next row is higlighted in middle of field_x000a_3. Row then moves to top"/>
    <s v="Next row is always at top in current window_x000a__x000a_Needs discussion"/>
    <d v="2026-04-16T00:00:00"/>
    <s v="Pass"/>
    <s v="4/3: The row selected no longer changes, but now the middle row on the page is always selected."/>
    <s v="2/10: https://support.syncfusion.com/support/tickets/811796 Turning on virtualization for top, but it causes issues for the bottom, should discuss_x000a_4/10: Fixed, issue was row height not being set correctly."/>
  </r>
  <r>
    <n v="22"/>
    <d v="2026-01-29T00:00:00"/>
    <s v="PB Only"/>
    <x v="1"/>
    <x v="1"/>
    <x v="1"/>
    <s v="General"/>
    <s v="Double Click from Docket Code Maintenance errors"/>
    <s v="1. User double clicks Lookup Table from Docket code._x000a_2. Menu Security Error displays &quot;Unable to set security for w_ct_m_parm_lookups_bzr. The program not registered with the menu security or The current user is not authorized to operate this program!!!&quot;"/>
    <s v="Verified VNGWIN/PROFIL categories created; only able to test in PB window as blazor Docket Code Maintenance window not created yet."/>
    <d v="2026-04-03T00:00:00"/>
    <s v="Pass"/>
    <m/>
    <s v="2/9: Sameer to address - fixed"/>
  </r>
  <r>
    <n v="23"/>
    <d v="2026-01-29T00:00:00"/>
    <s v="Both"/>
    <x v="0"/>
    <x v="1"/>
    <x v="1"/>
    <s v="General"/>
    <s v="Right click in edit mode"/>
    <s v="A gray line appears when right clicking in area outside of row when a row is in edit mode"/>
    <m/>
    <d v="2026-04-03T00:00:00"/>
    <s v="Pass"/>
    <m/>
    <s v="2/9: https://support.syncfusion.com/support/tickets/811784 Fixed with conditional styling"/>
  </r>
  <r>
    <n v="24"/>
    <d v="2026-01-29T00:00:00"/>
    <s v="Both"/>
    <x v="1"/>
    <x v="1"/>
    <x v="1"/>
    <s v="General"/>
    <s v="Cannot edit Description and LOOKUP_SEQ data"/>
    <s v="Current PB window allows for both updates while NG window errors. Not sure if this should be allowed?"/>
    <m/>
    <d v="2026-04-03T00:00:00"/>
    <s v="Pass"/>
    <m/>
    <s v="2/5: Fixed"/>
  </r>
  <r>
    <n v="25"/>
    <d v="2026-01-29T00:00:00"/>
    <s v="Both"/>
    <x v="0"/>
    <x v="0"/>
    <x v="1"/>
    <s v="General"/>
    <s v="Save Loading transparent view not appearing"/>
    <s v="Small loading symbols appear in each section rather than the one wheel / transparent view for the entire window_x000a_"/>
    <s v="UI Guidelines #80-81"/>
    <d v="2026-04-16T00:00:00"/>
    <s v="Pass"/>
    <m/>
    <s v="2/5: Fixed_x000a_4/8: Fixed, added global styling to prevent spinners"/>
  </r>
  <r>
    <n v="26"/>
    <d v="2026-04-03T00:00:00"/>
    <s v="Both"/>
    <x v="1"/>
    <x v="0"/>
    <x v="1"/>
    <s v="General "/>
    <s v="fluent Validation remains after entry"/>
    <s v="After selecting a dropdown option in a fluent validation field, then clicking to another field, the fluent validation message remains. The message disappears if you click outside of the editted sequence number, or if you use tab"/>
    <m/>
    <d v="2026-04-16T00:00:00"/>
    <s v="Pass"/>
    <m/>
    <s v="4/8: Fixed, added logic to turn off validation message when focusing out after correction."/>
  </r>
  <r>
    <n v="27"/>
    <d v="2026-04-03T00:00:00"/>
    <s v="Both"/>
    <x v="0"/>
    <x v="0"/>
    <x v="1"/>
    <s v="General "/>
    <s v="Dropdown searches available for Datatype field"/>
    <s v="Datatype field should not have the Search"/>
    <m/>
    <d v="2026-04-16T00:00:00"/>
    <s v="Pass"/>
    <m/>
    <s v="4/8: Need discussion, dropdown has scroll_x000a_4/9: Fixed, removed according to BSA"/>
  </r>
  <r>
    <n v="28"/>
    <d v="2026-04-03T00:00:00"/>
    <s v="Both"/>
    <x v="0"/>
    <x v="0"/>
    <x v="0"/>
    <s v="General "/>
    <s v="Dropdown search not available for DW Object field"/>
    <s v="DW Object field should have the Search"/>
    <m/>
    <m/>
    <m/>
    <m/>
    <s v="4/8: Need discussion, search is there, this dropdown allows typing in the selected field_x000a_4/9: Fixed, already exists, it's just inline since it's a SF combo box"/>
  </r>
  <r>
    <n v="29"/>
    <d v="2026-04-03T00:00:00"/>
    <s v="Both"/>
    <x v="1"/>
    <x v="0"/>
    <x v="1"/>
    <s v="LOOKUP_SEQ Section"/>
    <s v="RIght click actions when row limit is reached"/>
    <m/>
    <s v="Needs discussion with devs. court.parm_lookups currently allows for 1 character (9 parameters) at most in the LOOKUP_SEQ column. We have a very low priority open AR VISAR-6608 to allow the lookup_seq number to be 2 characters (99), instead of one character (9). We may not want to grey out the add row/ insert row options available based on the current maximum number of parameters"/>
    <d v="2026-04-16T00:00:00"/>
    <s v="Pass with Comments"/>
    <s v="4/9: NG window and CRMD region only parm_lookups table will allow for 99 parms. Once AR changes are made in higher regions, NG changes are expected to save &gt;10 parameters_x000a_4/16: CRMQ throws error when attempting to save 10 parms. CRMD allows you to save 10 parms."/>
    <s v="4/8: Need discussion, instead of having a custom popup message or allowing the user to add an entry when they will not be able to commit it, I just prevent them from adding at all. That request sounds like an enhancement, and would require the database to be modified to allow more characters to be stored in that column._x000a_Need to modify DB, VISAR-6608, prepare to accept 99 params._x000a_4/9: Fixed, allowing 99 sequences now, will need Sameer to run script to update table, but he will address this when he gets to his AR."/>
  </r>
  <r>
    <n v="30"/>
    <d v="2026-04-03T00:00:00"/>
    <s v="Both"/>
    <x v="1"/>
    <x v="2"/>
    <x v="1"/>
    <s v="Docket Code Maintenance"/>
    <s v="Double Click to Parm Lookup window"/>
    <s v="1. Open Docket Code Maintenance_x000a_2. Double Click a parm lookup - Editable version of Blazor window opens. _x000a_Expected result is a read only version of the window opens for the selected parm lookup. Rest of the window remains read only as you navigate. The top row in the LOOKUP_SEQ section remains selected even if user clicks other rows."/>
    <s v="Needs discussion with Devs"/>
    <d v="2026-04-23T00:00:00"/>
    <s v="Pass with Comments"/>
    <s v="4/16: Defect is not resolved. Needs discussion with Jorge/ Nathan. Defect 43 is related_x000a_4/23: Might be related to Defect 46"/>
    <s v="4/9: Fixed, added generic profile checking, and also added URL checking to see if the user navigated to ParmLookups from another window with MODE=BROWSE. Sameer to implement PB side._x000a_4/20: When navigating from Docket Maint, always readonly."/>
  </r>
  <r>
    <n v="31"/>
    <d v="2026-04-03T00:00:00"/>
    <s v="Both"/>
    <x v="1"/>
    <x v="0"/>
    <x v="1"/>
    <s v="LOOKUP_SEQ Section"/>
    <s v="Entering edit mode should have default cursor location"/>
    <s v="Entering edit mode causes cursor to not select top field. User must click the desired field or press tab multiple times (2-4 times) to see the cursor."/>
    <s v="Added UI Guideline 95 to account for the default edit mode cursor location"/>
    <d v="2026-04-16T00:00:00"/>
    <s v="Pass"/>
    <m/>
    <s v="4/8: Fixed, added focus on first field. I also noticed that when double clicking, Microsoft Edge might pop up a menu that can interfere with the focus. The user can choose to disable it for the window and it won't pop up."/>
  </r>
  <r>
    <n v="32"/>
    <d v="2026-04-03T00:00:00"/>
    <s v="Both"/>
    <x v="1"/>
    <x v="1"/>
    <x v="0"/>
    <s v="LOOKUP_SEQ Section"/>
    <s v="Dropdown fields do not work when user uses 'Tile Horizontal' view"/>
    <s v="1. Open PL Blazor Window_x000a_2. Open another Vision window_x000a_3. Select Window, Tile Horizontal_x000a_4. Enter edit mode_x000a_5. Modify Date or DW Object dropdown selection - Dropdown options sometimes do not appear. Hard to recreate_x000a_6. Exit edit mode - LOOKUP_SEQ section expands and the Description section is no longer visible unless you resize the window"/>
    <s v="Occurs when manually resizing the window too."/>
    <m/>
    <m/>
    <s v="4/16: Defect is not resolved. Demo video sent to devs_x000a_4/23: Dropdown now appears in the correct position consistently, but the freezing still occurs. Difficult to recreate. There is a white area on the bottom of the window too when you minimize._x000a__x000a_Can mark as no action if this cannot be resolved. BSAs will likely not use this view for the Parm Lookup window._x000a_4/28: Marked No Action"/>
    <s v="4/10: Unable to recreate_x000a_4/17: Updated styling for resizing, hopefully this fixes it._x000a_4/23: No action."/>
  </r>
  <r>
    <n v="33"/>
    <d v="2026-04-03T00:00:00"/>
    <s v="Both"/>
    <x v="1"/>
    <x v="2"/>
    <x v="1"/>
    <s v="LOOKUP_SEQ Section"/>
    <s v="fluent Validation does not show character limit issues in edit mode"/>
    <s v="fluent validation for character limits appear after attempting to exit edit mode, but do not appear when switching fields/ tabbing through fields"/>
    <s v="Needs discussion with devs. The fluent validation appears when you exit edit mode for the optional fields, while required fields show the fluent validation when you switch fields."/>
    <d v="2026-04-23T00:00:00"/>
    <s v="Pass"/>
    <s v="4/16: Devs will add the max lengths to DW Object field. Other fields work as expected with the max length updates"/>
    <s v="4/8: Fixed, added max lengths to fields to be like Event Codes._x000a_4/17: Added max length to DW Object."/>
  </r>
  <r>
    <n v="34"/>
    <d v="2026-04-03T00:00:00"/>
    <s v="Both"/>
    <x v="1"/>
    <x v="0"/>
    <x v="1"/>
    <s v="Description Section"/>
    <s v="Double Click between rows sometimes does not open edit mode"/>
    <s v="1. Double click row 1 - edit mode opens_x000a_2. Double click row 2 - edit mode may or may not open. The edit mode does not open if the select is still loading. There might need to be a slight delay added to check for a second click (edit mode) before loading the first click (select)"/>
    <s v="See Code Entries or LOOKUP_SEQ section for expected behavior"/>
    <d v="2026-04-16T00:00:00"/>
    <s v="Pass"/>
    <m/>
    <s v="4/13: Turning on virtualization helps prevent this issue."/>
  </r>
  <r>
    <n v="35"/>
    <d v="2026-04-03T00:00:00"/>
    <s v="Both"/>
    <x v="1"/>
    <x v="0"/>
    <x v="0"/>
    <s v="Description Section"/>
    <s v="Modifying a row with column sort"/>
    <s v="1. Apply column sort to description section_x000a_2. Change the code from *BYTEST NG to ZBYTEST NG_x000a_3. Press enter - Pending changes prompt appears while the row moves locations"/>
    <m/>
    <m/>
    <m/>
    <m/>
    <s v="4/8: Need discussion, while a sort is applied the added entry will leave to be sorted, then the grid auto selects the current index. We would have to ignore this auto select in the base class and go to the index of the added entry. _x000a_Get rid of sort on add._x000a_4/10: Fixed, getting rid of sorting on add."/>
  </r>
  <r>
    <n v="36"/>
    <d v="2026-04-06T00:00:00"/>
    <s v="Both"/>
    <x v="0"/>
    <x v="0"/>
    <x v="1"/>
    <s v="LOOKUP_SEQ Section"/>
    <s v="Validation Error Message"/>
    <s v="1. On an existing parm lookup, Add 256 characters to optional field  like SEQ Description_x000a_2. Switch description rows, see error message &quot;The information entered does not pass validation and must be corrected before changes can be saved._x000a_Close without saving changes?&quot;"/>
    <s v="Use validation error message from UI Guidelines 74,78,79. See bail schedule window for reference."/>
    <d v="2026-04-16T00:00:00"/>
    <s v="Pass"/>
    <m/>
    <s v="4/8: Need discussion, we have separate messages for trying to save and trying to navigate away. The one for navigating away allows the user to leave the entry and discard changes, or remain to see what the issue is._x000a_4/9: Fixed, uses same method as Bail Schedule."/>
  </r>
  <r>
    <n v="37"/>
    <d v="2026-04-16T00:00:00"/>
    <s v="Both"/>
    <x v="1"/>
    <x v="0"/>
    <x v="0"/>
    <s v="Description Section"/>
    <m/>
    <s v="1. Add new description_x000a_2. Add new lookup sequence - do not fill in values_x000a_3. Switch description rows - receive 'Pending Changes' message twice. One instance is expected, but the second may be occuring because there are validation errors in the lookup_seq section"/>
    <m/>
    <m/>
    <m/>
    <m/>
    <s v="4/17: Cancel editing in children when response to pending changes is &quot;No&quot;"/>
  </r>
  <r>
    <n v="38"/>
    <d v="2026-04-16T00:00:00"/>
    <s v="Both"/>
    <x v="0"/>
    <x v="0"/>
    <x v="1"/>
    <s v="DW Object button"/>
    <s v="Button height is taller than the DW Object field"/>
    <s v="The button height goes below the DW Object field. See screenshots for ID 40."/>
    <m/>
    <d v="2026-04-23T00:00:00"/>
    <s v="Pass"/>
    <m/>
    <s v="4/17: Added styling fix"/>
  </r>
  <r>
    <n v="39"/>
    <d v="2026-04-16T00:00:00"/>
    <s v="PB Only"/>
    <x v="1"/>
    <x v="0"/>
    <x v="1"/>
    <s v="Description Section"/>
    <s v="Focus changes after save"/>
    <s v="1. Creating new description_x000a_2. Create new lookup_seq_x000a_3. Save changes with Ctrl + S - description row above the newly added description is selected, or the Description selection disappears while the lookup_seq continues to show the newly added row"/>
    <s v="Using Description *BYTEST NG 2 showed the first behavior, and 3 - DBYTEST NG showed the second behavior_x000a__x000a_Needs discussion with Devs"/>
    <d v="2026-04-29T00:00:00"/>
    <s v="Pass"/>
    <s v="4/23: Changes work when the new description appears in the first 8-9 rows. Issue continues to occur when the new description does not appear on the first 8-9 rows. Changed to PB Only_x000a_4/28: In PB after Ctrl + S save, no rows are selected, but the correct child record displays. In PB, middle row of the first page is selected. Web version has the same behavior."/>
    <s v="4/17: Modified to find index of added row and scroll to it, or by default when deleting the next row is auto selected by SyncFusion_x000a_4/24: We will no longer refetch data on save in ParmLookups to mirror original. However, we still want to have a level of concurrency checking. Any change to a Lookup Nbr, whether it's adding a new Lookup Seq or editing any existing Lookup Seq, will cause a concurrency error in another window that has not retrieved the latest."/>
  </r>
  <r>
    <n v="40"/>
    <d v="2026-04-16T00:00:00"/>
    <s v="Both"/>
    <x v="1"/>
    <x v="0"/>
    <x v="1"/>
    <s v="Docket Code sort"/>
    <s v="Double Clicking 'Docket Code' column to sort opens Docket Code Maintenance"/>
    <s v="When you quickly change the sort under 'Docket Code' column, Docket Code maintenance may open for the top docket code. See Activity Process Codes PL as an example"/>
    <m/>
    <d v="2026-04-23T00:00:00"/>
    <s v="Pass"/>
    <m/>
    <s v="4/17: Added guard to double click to prevent header clicks from counting"/>
  </r>
  <r>
    <n v="41"/>
    <d v="2026-04-16T00:00:00"/>
    <s v="Both"/>
    <x v="1"/>
    <x v="2"/>
    <x v="1"/>
    <s v="PB Docket Code Maintenance"/>
    <s v="Opening the old version of PL"/>
    <s v="Opening the old version of parm lookups window through Ctrl + Shift + Double Click no longer displays a read only version of the PB Parm Lookups window"/>
    <s v="May be a defect related to Sameer's fix. Related to Defect 30"/>
    <d v="2026-04-28T00:00:00"/>
    <s v="Pass"/>
    <s v="4/23: Defect still exists"/>
    <s v="4/17: Sameer needed_x000a_4/24: Sameer should have fix and build."/>
  </r>
  <r>
    <n v="42"/>
    <d v="2026-04-23T00:00:00"/>
    <s v="Both"/>
    <x v="1"/>
    <x v="0"/>
    <x v="0"/>
    <s v="Window"/>
    <s v="Window does not load data"/>
    <s v="1. Open PL Blazor Window_x000a_2. Double Click an associated docket code_x000a_3. Close the PL Blazor Window with the Docket Code Maintenance window still selected_x000a_4. Open PL Blazor Window through Main &gt; Tables &gt; Parm Lookups - window loads with no data. See Screenshot ID 46."/>
    <s v="Able to recreate consistently between 1:05pm and 2:30pm 4/23, but could not recreate afterwards."/>
    <m/>
    <m/>
    <s v="4/23: Can mark as no action if this cannot be consistently recreated._x000a_4/28: Marked No Action"/>
    <s v="4/24: No action for now, if this reoccurs frequently in other windows too we will address it."/>
  </r>
  <r>
    <n v="43"/>
    <d v="2026-04-27T00:00:00"/>
    <s v="Both"/>
    <x v="0"/>
    <x v="0"/>
    <x v="1"/>
    <s v="Docket Code"/>
    <s v="Filter cuts off on the right side"/>
    <s v="Column filter cuts off on the right side for the 'Docket Code' column."/>
    <s v="UI Guideline 22"/>
    <d v="2026-04-28T00:00:00"/>
    <s v="Pass"/>
    <m/>
    <s v="4/27: Added padding to Assoc grid to allow space."/>
  </r>
  <r>
    <n v="44"/>
    <d v="2026-04-29T00:00:00"/>
    <s v="Both"/>
    <x v="0"/>
    <x v="0"/>
    <x v="2"/>
    <s v="Description and LOOKUP_SEQ sections"/>
    <s v="Restore button"/>
    <s v="Restore button can be removed from Description and LOOKUP_SEQ sections. "/>
    <m/>
    <m/>
    <m/>
    <m/>
    <m/>
  </r>
  <r>
    <n v="45"/>
    <d v="2026-04-29T00:00:00"/>
    <s v="Both"/>
    <x v="0"/>
    <x v="0"/>
    <x v="2"/>
    <s v="LOOKUP_SEQ Section"/>
    <s v="Right click empty area"/>
    <s v="Scenario A_x000a_1. Select Description with 1 or 2 LOOKUP_SEQ numbers_x000a_2. Add a new parameter with valid entries_x000a_3. Exit edit mode_x000a_4. Right click area within LOOKUP_SEQ section without a row - the selected row changes_x000a__x000a_Scenario B_x000a_1. Select Description with 1 or 2 LOOKUP_SEQ numbers_x000a_2. Right click area within LOOKUP_SEQ section without a row - the selected row changes"/>
    <s v="If user right clicks an empty area, the only option available will be to 'Add' a row."/>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CF22BB-EF36-4E96-9720-460A567789E2}" name="PivotTable2"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5">
    <pivotField showAll="0"/>
    <pivotField showAll="0"/>
    <pivotField showAll="0"/>
    <pivotField axis="axisRow" dataField="1" showAll="0">
      <items count="4">
        <item x="1"/>
        <item x="0"/>
        <item h="1" x="2"/>
        <item t="default"/>
      </items>
    </pivotField>
    <pivotField showAll="0"/>
  </pivotFields>
  <rowFields count="1">
    <field x="3"/>
  </rowFields>
  <rowItems count="3">
    <i>
      <x/>
    </i>
    <i>
      <x v="1"/>
    </i>
    <i t="grand">
      <x/>
    </i>
  </rowItems>
  <colItems count="1">
    <i/>
  </colItems>
  <dataFields count="1">
    <dataField name="Count of Bug Type" fld="3" subtotal="count" baseField="0" baseItem="0"/>
  </dataFields>
  <formats count="12">
    <format dxfId="159">
      <pivotArea type="all" dataOnly="0" outline="0" fieldPosition="0"/>
    </format>
    <format dxfId="160">
      <pivotArea outline="0" collapsedLevelsAreSubtotals="1" fieldPosition="0"/>
    </format>
    <format dxfId="161">
      <pivotArea field="3" type="button" dataOnly="0" labelOnly="1" outline="0" axis="axisRow" fieldPosition="0"/>
    </format>
    <format dxfId="162">
      <pivotArea dataOnly="0" labelOnly="1" fieldPosition="0">
        <references count="1">
          <reference field="3" count="0"/>
        </references>
      </pivotArea>
    </format>
    <format dxfId="163">
      <pivotArea dataOnly="0" labelOnly="1" grandRow="1" outline="0" fieldPosition="0"/>
    </format>
    <format dxfId="164">
      <pivotArea dataOnly="0" labelOnly="1" outline="0" axis="axisValues" fieldPosition="0"/>
    </format>
    <format dxfId="165">
      <pivotArea type="all" dataOnly="0" outline="0" fieldPosition="0"/>
    </format>
    <format dxfId="166">
      <pivotArea outline="0" collapsedLevelsAreSubtotals="1" fieldPosition="0"/>
    </format>
    <format dxfId="167">
      <pivotArea field="3" type="button" dataOnly="0" labelOnly="1" outline="0" axis="axisRow" fieldPosition="0"/>
    </format>
    <format dxfId="168">
      <pivotArea dataOnly="0" labelOnly="1" fieldPosition="0">
        <references count="1">
          <reference field="3" count="0"/>
        </references>
      </pivotArea>
    </format>
    <format dxfId="169">
      <pivotArea dataOnly="0" labelOnly="1" grandRow="1" outline="0" fieldPosition="0"/>
    </format>
    <format dxfId="1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EE84C1-295C-44F3-999C-4D3E8F357793}" name="PivotTable1"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E10" firstHeaderRow="1" firstDataRow="2" firstDataCol="1"/>
  <pivotFields count="5">
    <pivotField axis="axisRow" showAll="0">
      <items count="3">
        <item x="0"/>
        <item x="1"/>
        <item t="default"/>
      </items>
    </pivotField>
    <pivotField showAll="0"/>
    <pivotField axis="axisRow" dataField="1" showAll="0">
      <items count="4">
        <item x="1"/>
        <item x="0"/>
        <item h="1" x="2"/>
        <item t="default"/>
      </items>
    </pivotField>
    <pivotField axis="axisRow" showAll="0">
      <items count="4">
        <item x="1"/>
        <item x="0"/>
        <item x="2"/>
        <item t="default"/>
      </items>
    </pivotField>
    <pivotField axis="axisCol" showAll="0">
      <items count="3">
        <item x="0"/>
        <item h="1" x="1"/>
        <item t="default"/>
      </items>
    </pivotField>
  </pivotFields>
  <rowFields count="3">
    <field x="0"/>
    <field x="2"/>
    <field x="3"/>
  </rowFields>
  <rowItems count="8">
    <i>
      <x/>
    </i>
    <i r="1">
      <x/>
    </i>
    <i r="2">
      <x/>
    </i>
    <i r="2">
      <x v="1"/>
    </i>
    <i r="1">
      <x v="1"/>
    </i>
    <i r="2">
      <x/>
    </i>
    <i r="2">
      <x v="1"/>
    </i>
    <i t="grand">
      <x/>
    </i>
  </rowItems>
  <colFields count="1">
    <field x="4"/>
  </colFields>
  <colItems count="2">
    <i>
      <x/>
    </i>
    <i t="grand">
      <x/>
    </i>
  </colItems>
  <dataFields count="1">
    <dataField name="Count of Scenario Type" fld="2" subtotal="count" baseField="0" baseItem="0"/>
  </dataFields>
  <formats count="71">
    <format dxfId="88">
      <pivotArea type="all" dataOnly="0" outline="0" fieldPosition="0"/>
    </format>
    <format dxfId="89">
      <pivotArea outline="0" collapsedLevelsAreSubtotals="1" fieldPosition="0"/>
    </format>
    <format dxfId="90">
      <pivotArea dataOnly="0" labelOnly="1" grandRow="1" outline="0" fieldPosition="0"/>
    </format>
    <format dxfId="91">
      <pivotArea dataOnly="0" labelOnly="1" fieldPosition="0">
        <references count="1">
          <reference field="4" count="1">
            <x v="0"/>
          </reference>
        </references>
      </pivotArea>
    </format>
    <format dxfId="92">
      <pivotArea dataOnly="0" labelOnly="1" grandCol="1" outline="0" fieldPosition="0"/>
    </format>
    <format dxfId="93">
      <pivotArea outline="0" collapsedLevelsAreSubtotals="1" fieldPosition="0"/>
    </format>
    <format dxfId="94">
      <pivotArea dataOnly="0" labelOnly="1" grandRow="1" outline="0" fieldPosition="0"/>
    </format>
    <format dxfId="95">
      <pivotArea dataOnly="0" labelOnly="1" fieldPosition="0">
        <references count="1">
          <reference field="4" count="1">
            <x v="0"/>
          </reference>
        </references>
      </pivotArea>
    </format>
    <format dxfId="96">
      <pivotArea dataOnly="0" labelOnly="1" grandCol="1" outline="0" fieldPosition="0"/>
    </format>
    <format dxfId="97">
      <pivotArea type="all" dataOnly="0" outline="0" fieldPosition="0"/>
    </format>
    <format dxfId="98">
      <pivotArea outline="0" collapsedLevelsAreSubtotals="1" fieldPosition="0"/>
    </format>
    <format dxfId="99">
      <pivotArea type="origin" dataOnly="0" labelOnly="1" outline="0" fieldPosition="0"/>
    </format>
    <format dxfId="100">
      <pivotArea field="4" type="button" dataOnly="0" labelOnly="1" outline="0" axis="axisCol" fieldPosition="0"/>
    </format>
    <format dxfId="101">
      <pivotArea type="topRight" dataOnly="0" labelOnly="1" outline="0" fieldPosition="0"/>
    </format>
    <format dxfId="102">
      <pivotArea field="0" type="button" dataOnly="0" labelOnly="1" outline="0" axis="axisRow" fieldPosition="0"/>
    </format>
    <format dxfId="103">
      <pivotArea dataOnly="0" labelOnly="1" fieldPosition="0">
        <references count="1">
          <reference field="0" count="1">
            <x v="0"/>
          </reference>
        </references>
      </pivotArea>
    </format>
    <format dxfId="104">
      <pivotArea dataOnly="0" labelOnly="1" grandRow="1" outline="0" fieldPosition="0"/>
    </format>
    <format dxfId="105">
      <pivotArea dataOnly="0" labelOnly="1" fieldPosition="0">
        <references count="2">
          <reference field="0" count="1" selected="0">
            <x v="0"/>
          </reference>
          <reference field="2" count="0"/>
        </references>
      </pivotArea>
    </format>
    <format dxfId="106">
      <pivotArea dataOnly="0" labelOnly="1" fieldPosition="0">
        <references count="3">
          <reference field="0" count="1" selected="0">
            <x v="0"/>
          </reference>
          <reference field="2" count="1" selected="0">
            <x v="0"/>
          </reference>
          <reference field="3" count="2">
            <x v="0"/>
            <x v="1"/>
          </reference>
        </references>
      </pivotArea>
    </format>
    <format dxfId="107">
      <pivotArea dataOnly="0" labelOnly="1" fieldPosition="0">
        <references count="3">
          <reference field="0" count="1" selected="0">
            <x v="0"/>
          </reference>
          <reference field="2" count="1" selected="0">
            <x v="1"/>
          </reference>
          <reference field="3" count="1">
            <x v="1"/>
          </reference>
        </references>
      </pivotArea>
    </format>
    <format dxfId="108">
      <pivotArea dataOnly="0" labelOnly="1" fieldPosition="0">
        <references count="1">
          <reference field="4" count="0"/>
        </references>
      </pivotArea>
    </format>
    <format dxfId="109">
      <pivotArea dataOnly="0" labelOnly="1" grandCol="1" outline="0" fieldPosition="0"/>
    </format>
    <format dxfId="110">
      <pivotArea type="all" dataOnly="0" outline="0" fieldPosition="0"/>
    </format>
    <format dxfId="111">
      <pivotArea outline="0" collapsedLevelsAreSubtotals="1" fieldPosition="0"/>
    </format>
    <format dxfId="112">
      <pivotArea type="origin" dataOnly="0" labelOnly="1" outline="0" fieldPosition="0"/>
    </format>
    <format dxfId="113">
      <pivotArea field="4" type="button" dataOnly="0" labelOnly="1" outline="0" axis="axisCol" fieldPosition="0"/>
    </format>
    <format dxfId="114">
      <pivotArea type="topRight" dataOnly="0" labelOnly="1" outline="0" fieldPosition="0"/>
    </format>
    <format dxfId="115">
      <pivotArea field="0" type="button" dataOnly="0" labelOnly="1" outline="0" axis="axisRow" fieldPosition="0"/>
    </format>
    <format dxfId="116">
      <pivotArea dataOnly="0" labelOnly="1" fieldPosition="0">
        <references count="1">
          <reference field="0" count="1">
            <x v="0"/>
          </reference>
        </references>
      </pivotArea>
    </format>
    <format dxfId="117">
      <pivotArea dataOnly="0" labelOnly="1" grandRow="1" outline="0" fieldPosition="0"/>
    </format>
    <format dxfId="118">
      <pivotArea dataOnly="0" labelOnly="1" fieldPosition="0">
        <references count="2">
          <reference field="0" count="1" selected="0">
            <x v="0"/>
          </reference>
          <reference field="2" count="0"/>
        </references>
      </pivotArea>
    </format>
    <format dxfId="119">
      <pivotArea dataOnly="0" labelOnly="1" fieldPosition="0">
        <references count="3">
          <reference field="0" count="1" selected="0">
            <x v="0"/>
          </reference>
          <reference field="2" count="1" selected="0">
            <x v="0"/>
          </reference>
          <reference field="3" count="2">
            <x v="0"/>
            <x v="1"/>
          </reference>
        </references>
      </pivotArea>
    </format>
    <format dxfId="120">
      <pivotArea dataOnly="0" labelOnly="1" fieldPosition="0">
        <references count="3">
          <reference field="0" count="1" selected="0">
            <x v="0"/>
          </reference>
          <reference field="2" count="1" selected="0">
            <x v="1"/>
          </reference>
          <reference field="3" count="1">
            <x v="1"/>
          </reference>
        </references>
      </pivotArea>
    </format>
    <format dxfId="121">
      <pivotArea dataOnly="0" labelOnly="1" fieldPosition="0">
        <references count="1">
          <reference field="4" count="0"/>
        </references>
      </pivotArea>
    </format>
    <format dxfId="122">
      <pivotArea dataOnly="0" labelOnly="1" grandCol="1" outline="0" fieldPosition="0"/>
    </format>
    <format dxfId="123">
      <pivotArea collapsedLevelsAreSubtotals="1" fieldPosition="0">
        <references count="1">
          <reference field="0" count="1">
            <x v="0"/>
          </reference>
        </references>
      </pivotArea>
    </format>
    <format dxfId="124">
      <pivotArea dataOnly="0" labelOnly="1" fieldPosition="0">
        <references count="1">
          <reference field="0" count="1">
            <x v="0"/>
          </reference>
        </references>
      </pivotArea>
    </format>
    <format dxfId="125">
      <pivotArea collapsedLevelsAreSubtotals="1" fieldPosition="0">
        <references count="1">
          <reference field="0" count="1">
            <x v="0"/>
          </reference>
        </references>
      </pivotArea>
    </format>
    <format dxfId="126">
      <pivotArea dataOnly="0" labelOnly="1" fieldPosition="0">
        <references count="1">
          <reference field="0" count="1">
            <x v="0"/>
          </reference>
        </references>
      </pivotArea>
    </format>
    <format dxfId="127">
      <pivotArea collapsedLevelsAreSubtotals="1" fieldPosition="0">
        <references count="2">
          <reference field="0" count="1" selected="0">
            <x v="0"/>
          </reference>
          <reference field="2" count="1">
            <x v="0"/>
          </reference>
        </references>
      </pivotArea>
    </format>
    <format dxfId="128">
      <pivotArea collapsedLevelsAreSubtotals="1" fieldPosition="0">
        <references count="3">
          <reference field="0" count="1" selected="0">
            <x v="0"/>
          </reference>
          <reference field="2" count="1" selected="0">
            <x v="0"/>
          </reference>
          <reference field="3" count="2">
            <x v="0"/>
            <x v="1"/>
          </reference>
        </references>
      </pivotArea>
    </format>
    <format dxfId="129">
      <pivotArea collapsedLevelsAreSubtotals="1" fieldPosition="0">
        <references count="2">
          <reference field="0" count="1" selected="0">
            <x v="0"/>
          </reference>
          <reference field="2" count="1">
            <x v="1"/>
          </reference>
        </references>
      </pivotArea>
    </format>
    <format dxfId="130">
      <pivotArea collapsedLevelsAreSubtotals="1" fieldPosition="0">
        <references count="3">
          <reference field="0" count="1" selected="0">
            <x v="0"/>
          </reference>
          <reference field="2" count="1" selected="0">
            <x v="1"/>
          </reference>
          <reference field="3" count="1">
            <x v="1"/>
          </reference>
        </references>
      </pivotArea>
    </format>
    <format dxfId="131">
      <pivotArea grandRow="1" outline="0" collapsedLevelsAreSubtotals="1" fieldPosition="0"/>
    </format>
    <format dxfId="132">
      <pivotArea dataOnly="0" labelOnly="1" grandRow="1" outline="0" fieldPosition="0"/>
    </format>
    <format dxfId="133">
      <pivotArea dataOnly="0" labelOnly="1" fieldPosition="0">
        <references count="2">
          <reference field="0" count="1" selected="0">
            <x v="0"/>
          </reference>
          <reference field="2" count="0"/>
        </references>
      </pivotArea>
    </format>
    <format dxfId="134">
      <pivotArea dataOnly="0" labelOnly="1" fieldPosition="0">
        <references count="3">
          <reference field="0" count="1" selected="0">
            <x v="0"/>
          </reference>
          <reference field="2" count="1" selected="0">
            <x v="0"/>
          </reference>
          <reference field="3" count="2">
            <x v="0"/>
            <x v="1"/>
          </reference>
        </references>
      </pivotArea>
    </format>
    <format dxfId="135">
      <pivotArea dataOnly="0" labelOnly="1" fieldPosition="0">
        <references count="3">
          <reference field="0" count="1" selected="0">
            <x v="0"/>
          </reference>
          <reference field="2" count="1" selected="0">
            <x v="1"/>
          </reference>
          <reference field="3" count="1">
            <x v="1"/>
          </reference>
        </references>
      </pivotArea>
    </format>
    <format dxfId="136">
      <pivotArea collapsedLevelsAreSubtotals="1" fieldPosition="0">
        <references count="1">
          <reference field="0" count="1">
            <x v="0"/>
          </reference>
        </references>
      </pivotArea>
    </format>
    <format dxfId="137">
      <pivotArea field="0" type="button" dataOnly="0" labelOnly="1" outline="0" axis="axisRow" fieldPosition="0"/>
    </format>
    <format dxfId="138">
      <pivotArea dataOnly="0" labelOnly="1" fieldPosition="0">
        <references count="1">
          <reference field="0" count="1">
            <x v="0"/>
          </reference>
        </references>
      </pivotArea>
    </format>
    <format dxfId="139">
      <pivotArea dataOnly="0" labelOnly="1" fieldPosition="0">
        <references count="1">
          <reference field="4" count="0"/>
        </references>
      </pivotArea>
    </format>
    <format dxfId="140">
      <pivotArea dataOnly="0" labelOnly="1" grandCol="1" outline="0" fieldPosition="0"/>
    </format>
    <format dxfId="141">
      <pivotArea outline="0" collapsedLevelsAreSubtotals="1" fieldPosition="0"/>
    </format>
    <format dxfId="142">
      <pivotArea field="0" type="button" dataOnly="0" labelOnly="1" outline="0" axis="axisRow" fieldPosition="0"/>
    </format>
    <format dxfId="143">
      <pivotArea dataOnly="0" labelOnly="1" fieldPosition="0">
        <references count="1">
          <reference field="0" count="1">
            <x v="0"/>
          </reference>
        </references>
      </pivotArea>
    </format>
    <format dxfId="144">
      <pivotArea dataOnly="0" labelOnly="1" grandRow="1" outline="0" fieldPosition="0"/>
    </format>
    <format dxfId="145">
      <pivotArea dataOnly="0" labelOnly="1" fieldPosition="0">
        <references count="2">
          <reference field="0" count="1" selected="0">
            <x v="0"/>
          </reference>
          <reference field="2" count="0"/>
        </references>
      </pivotArea>
    </format>
    <format dxfId="146">
      <pivotArea dataOnly="0" labelOnly="1" fieldPosition="0">
        <references count="3">
          <reference field="0" count="1" selected="0">
            <x v="0"/>
          </reference>
          <reference field="2" count="1" selected="0">
            <x v="0"/>
          </reference>
          <reference field="3" count="2">
            <x v="0"/>
            <x v="1"/>
          </reference>
        </references>
      </pivotArea>
    </format>
    <format dxfId="147">
      <pivotArea dataOnly="0" labelOnly="1" fieldPosition="0">
        <references count="3">
          <reference field="0" count="1" selected="0">
            <x v="0"/>
          </reference>
          <reference field="2" count="1" selected="0">
            <x v="1"/>
          </reference>
          <reference field="3" count="2">
            <x v="0"/>
            <x v="1"/>
          </reference>
        </references>
      </pivotArea>
    </format>
    <format dxfId="148">
      <pivotArea dataOnly="0" labelOnly="1" fieldPosition="0">
        <references count="1">
          <reference field="4" count="0"/>
        </references>
      </pivotArea>
    </format>
    <format dxfId="149">
      <pivotArea dataOnly="0" labelOnly="1" grandCol="1" outline="0" fieldPosition="0"/>
    </format>
    <format dxfId="150">
      <pivotArea outline="0" collapsedLevelsAreSubtotals="1" fieldPosition="0"/>
    </format>
    <format dxfId="151">
      <pivotArea field="0" type="button" dataOnly="0" labelOnly="1" outline="0" axis="axisRow" fieldPosition="0"/>
    </format>
    <format dxfId="152">
      <pivotArea dataOnly="0" labelOnly="1" fieldPosition="0">
        <references count="1">
          <reference field="0" count="1">
            <x v="0"/>
          </reference>
        </references>
      </pivotArea>
    </format>
    <format dxfId="153">
      <pivotArea dataOnly="0" labelOnly="1" grandRow="1" outline="0" fieldPosition="0"/>
    </format>
    <format dxfId="154">
      <pivotArea dataOnly="0" labelOnly="1" fieldPosition="0">
        <references count="2">
          <reference field="0" count="1" selected="0">
            <x v="0"/>
          </reference>
          <reference field="2" count="0"/>
        </references>
      </pivotArea>
    </format>
    <format dxfId="155">
      <pivotArea dataOnly="0" labelOnly="1" fieldPosition="0">
        <references count="3">
          <reference field="0" count="1" selected="0">
            <x v="0"/>
          </reference>
          <reference field="2" count="1" selected="0">
            <x v="0"/>
          </reference>
          <reference field="3" count="2">
            <x v="0"/>
            <x v="1"/>
          </reference>
        </references>
      </pivotArea>
    </format>
    <format dxfId="156">
      <pivotArea dataOnly="0" labelOnly="1" fieldPosition="0">
        <references count="3">
          <reference field="0" count="1" selected="0">
            <x v="0"/>
          </reference>
          <reference field="2" count="1" selected="0">
            <x v="1"/>
          </reference>
          <reference field="3" count="2">
            <x v="0"/>
            <x v="1"/>
          </reference>
        </references>
      </pivotArea>
    </format>
    <format dxfId="157">
      <pivotArea dataOnly="0" labelOnly="1" fieldPosition="0">
        <references count="1">
          <reference field="4" count="0"/>
        </references>
      </pivotArea>
    </format>
    <format dxfId="15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66245-10C2-4297-81B7-2C2BF8A328C1}" name="PivotTable4" cacheId="3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15:H31" firstHeaderRow="1" firstDataRow="2" firstDataCol="1"/>
  <pivotFields count="5">
    <pivotField axis="axisRow" numFmtId="164" showAll="0" defaultSubtotal="0">
      <items count="2">
        <item x="0"/>
        <item x="1"/>
      </items>
    </pivotField>
    <pivotField compact="0" outline="0" showAll="0"/>
    <pivotField axis="axisRow" dataField="1" showAll="0" defaultSubtotal="0">
      <items count="2">
        <item x="1"/>
        <item x="0"/>
      </items>
    </pivotField>
    <pivotField axis="axisRow" compact="0" outline="0" showAll="0" defaultSubtotal="0">
      <items count="3">
        <item x="1"/>
        <item x="0"/>
        <item x="2"/>
      </items>
    </pivotField>
    <pivotField axis="axisCol" compact="0" outline="0" showAll="0">
      <items count="6">
        <item x="3"/>
        <item x="0"/>
        <item x="1"/>
        <item m="1" x="4"/>
        <item x="2"/>
        <item t="default"/>
      </items>
    </pivotField>
  </pivotFields>
  <rowFields count="3">
    <field x="0"/>
    <field x="2"/>
    <field x="3"/>
  </rowFields>
  <rowItems count="15">
    <i>
      <x/>
    </i>
    <i r="1">
      <x/>
    </i>
    <i r="2">
      <x/>
    </i>
    <i r="2">
      <x v="1"/>
    </i>
    <i r="1">
      <x v="1"/>
    </i>
    <i r="2">
      <x/>
    </i>
    <i r="2">
      <x v="1"/>
    </i>
    <i>
      <x v="1"/>
    </i>
    <i r="1">
      <x/>
    </i>
    <i r="2">
      <x/>
    </i>
    <i r="2">
      <x v="1"/>
    </i>
    <i r="2">
      <x v="2"/>
    </i>
    <i r="1">
      <x v="1"/>
    </i>
    <i r="2">
      <x v="1"/>
    </i>
    <i t="grand">
      <x/>
    </i>
  </rowItems>
  <colFields count="1">
    <field x="4"/>
  </colFields>
  <colItems count="5">
    <i>
      <x/>
    </i>
    <i>
      <x v="1"/>
    </i>
    <i>
      <x v="2"/>
    </i>
    <i>
      <x v="4"/>
    </i>
    <i t="grand">
      <x/>
    </i>
  </colItems>
  <dataFields count="1">
    <dataField name="Count of Scenario Type" fld="2" subtotal="count" baseField="0" baseItem="0"/>
  </dataFields>
  <formats count="16">
    <format dxfId="72">
      <pivotArea outline="0" collapsedLevelsAreSubtotals="1" fieldPosition="0"/>
    </format>
    <format dxfId="73">
      <pivotArea field="0" type="button" dataOnly="0" labelOnly="1" outline="0" axis="axisRow" fieldPosition="0"/>
    </format>
    <format dxfId="74">
      <pivotArea dataOnly="0" labelOnly="1" fieldPosition="0">
        <references count="1">
          <reference field="0" count="0"/>
        </references>
      </pivotArea>
    </format>
    <format dxfId="75">
      <pivotArea dataOnly="0" labelOnly="1" grandRow="1" outline="0" fieldPosition="0"/>
    </format>
    <format dxfId="76">
      <pivotArea dataOnly="0" labelOnly="1" fieldPosition="0">
        <references count="2">
          <reference field="0" count="1" selected="0">
            <x v="0"/>
          </reference>
          <reference field="2" count="0"/>
        </references>
      </pivotArea>
    </format>
    <format dxfId="77">
      <pivotArea dataOnly="0" labelOnly="1" fieldPosition="0">
        <references count="2">
          <reference field="0" count="1" selected="0">
            <x v="1"/>
          </reference>
          <reference field="2" count="0"/>
        </references>
      </pivotArea>
    </format>
    <format dxfId="78">
      <pivotArea dataOnly="0" labelOnly="1" outline="0" fieldPosition="0">
        <references count="3">
          <reference field="0" count="1" selected="0">
            <x v="0"/>
          </reference>
          <reference field="2" count="1" selected="0">
            <x v="0"/>
          </reference>
          <reference field="3" count="2">
            <x v="0"/>
            <x v="1"/>
          </reference>
        </references>
      </pivotArea>
    </format>
    <format dxfId="79">
      <pivotArea dataOnly="0" labelOnly="1" outline="0" fieldPosition="0">
        <references count="3">
          <reference field="0" count="1" selected="0">
            <x v="0"/>
          </reference>
          <reference field="2" count="1" selected="0">
            <x v="1"/>
          </reference>
          <reference field="3" count="2">
            <x v="0"/>
            <x v="1"/>
          </reference>
        </references>
      </pivotArea>
    </format>
    <format dxfId="80">
      <pivotArea dataOnly="0" labelOnly="1" outline="0" fieldPosition="0">
        <references count="3">
          <reference field="0" count="1" selected="0">
            <x v="1"/>
          </reference>
          <reference field="2" count="1" selected="0">
            <x v="0"/>
          </reference>
          <reference field="3" count="0"/>
        </references>
      </pivotArea>
    </format>
    <format dxfId="81">
      <pivotArea dataOnly="0" labelOnly="1" outline="0" fieldPosition="0">
        <references count="3">
          <reference field="0" count="1" selected="0">
            <x v="1"/>
          </reference>
          <reference field="2" count="1" selected="0">
            <x v="1"/>
          </reference>
          <reference field="3" count="1">
            <x v="1"/>
          </reference>
        </references>
      </pivotArea>
    </format>
    <format dxfId="82">
      <pivotArea dataOnly="0" labelOnly="1" outline="0" fieldPosition="0">
        <references count="1">
          <reference field="4" count="0"/>
        </references>
      </pivotArea>
    </format>
    <format dxfId="83">
      <pivotArea dataOnly="0" labelOnly="1" grandCol="1" outline="0" fieldPosition="0"/>
    </format>
    <format dxfId="84">
      <pivotArea collapsedLevelsAreSubtotals="1" fieldPosition="0">
        <references count="4">
          <reference field="0" count="1" selected="0">
            <x v="0"/>
          </reference>
          <reference field="2" count="1" selected="0">
            <x v="1"/>
          </reference>
          <reference field="3" count="2">
            <x v="0"/>
            <x v="1"/>
          </reference>
          <reference field="4" count="3" selected="0">
            <x v="1"/>
            <x v="2"/>
            <x v="4"/>
          </reference>
        </references>
      </pivotArea>
    </format>
    <format dxfId="85">
      <pivotArea field="3" grandCol="1" collapsedLevelsAreSubtotals="1" axis="axisRow" fieldPosition="2">
        <references count="3">
          <reference field="0" count="1" selected="0">
            <x v="0"/>
          </reference>
          <reference field="2" count="1" selected="0">
            <x v="1"/>
          </reference>
          <reference field="3" count="2">
            <x v="0"/>
            <x v="1"/>
          </reference>
        </references>
      </pivotArea>
    </format>
    <format dxfId="86">
      <pivotArea collapsedLevelsAreSubtotals="1" fieldPosition="0">
        <references count="3">
          <reference field="0" count="1" selected="0">
            <x v="0"/>
          </reference>
          <reference field="2" count="1" selected="0">
            <x v="0"/>
          </reference>
          <reference field="3" count="2">
            <x v="0"/>
            <x v="1"/>
          </reference>
        </references>
      </pivotArea>
    </format>
    <format dxfId="87">
      <pivotArea dataOnly="0" labelOnly="1" outline="0" fieldPosition="0">
        <references count="3">
          <reference field="0" count="1" selected="0">
            <x v="0"/>
          </reference>
          <reference field="2" count="1" selected="0">
            <x v="0"/>
          </reference>
          <reference field="3"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A0FDC8-A0BD-4B4B-97C9-BCA1306DC1FF}" name="PivotTable6" cacheId="35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58:H86" firstHeaderRow="1" firstDataRow="2" firstDataCol="1"/>
  <pivotFields count="14">
    <pivotField compact="0" outline="0" showAll="0"/>
    <pivotField axis="axisRow" showAll="0">
      <items count="6">
        <item x="0"/>
        <item x="1"/>
        <item x="2"/>
        <item x="3"/>
        <item x="4"/>
        <item t="default"/>
      </items>
    </pivotField>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5">
        <item x="3"/>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
    <field x="3"/>
    <field x="4"/>
  </rowFields>
  <rowItems count="27">
    <i>
      <x/>
    </i>
    <i r="1">
      <x/>
    </i>
    <i r="2">
      <x/>
    </i>
    <i r="2">
      <x v="1"/>
    </i>
    <i r="1">
      <x v="1"/>
    </i>
    <i r="2">
      <x/>
    </i>
    <i r="2">
      <x v="1"/>
    </i>
    <i>
      <x v="1"/>
    </i>
    <i r="1">
      <x/>
    </i>
    <i r="2">
      <x/>
    </i>
    <i r="2">
      <x v="1"/>
    </i>
    <i r="2">
      <x v="2"/>
    </i>
    <i r="1">
      <x v="1"/>
    </i>
    <i r="2">
      <x v="1"/>
    </i>
    <i>
      <x v="2"/>
    </i>
    <i r="1">
      <x v="1"/>
    </i>
    <i r="2">
      <x v="1"/>
    </i>
    <i>
      <x v="3"/>
    </i>
    <i r="1">
      <x/>
    </i>
    <i r="2">
      <x v="1"/>
    </i>
    <i r="2">
      <x v="2"/>
    </i>
    <i r="1">
      <x v="1"/>
    </i>
    <i r="2">
      <x v="1"/>
    </i>
    <i>
      <x v="4"/>
    </i>
    <i r="1">
      <x/>
    </i>
    <i r="2">
      <x v="2"/>
    </i>
    <i t="grand">
      <x/>
    </i>
  </rowItems>
  <colFields count="1">
    <field x="5"/>
  </colFields>
  <colItems count="5">
    <i>
      <x/>
    </i>
    <i>
      <x v="1"/>
    </i>
    <i>
      <x v="2"/>
    </i>
    <i>
      <x v="3"/>
    </i>
    <i t="grand">
      <x/>
    </i>
  </colItems>
  <dataFields count="1">
    <dataField name="Count of Status" fld="5" subtotal="count" baseField="0" baseItem="0"/>
  </dataFields>
  <formats count="23">
    <format dxfId="49">
      <pivotArea type="all" dataOnly="0" outline="0" fieldPosition="0"/>
    </format>
    <format dxfId="50">
      <pivotArea outline="0" collapsedLevelsAreSubtotals="1" fieldPosition="0"/>
    </format>
    <format dxfId="51">
      <pivotArea type="origin" dataOnly="0" labelOnly="1" outline="0" fieldPosition="0"/>
    </format>
    <format dxfId="52">
      <pivotArea field="5" type="button" dataOnly="0" labelOnly="1" outline="0" axis="axisCol" fieldPosition="0"/>
    </format>
    <format dxfId="53">
      <pivotArea type="topRight" dataOnly="0" labelOnly="1" outline="0" fieldPosition="0"/>
    </format>
    <format dxfId="54">
      <pivotArea field="1" type="button" dataOnly="0" labelOnly="1" outline="0" axis="axisRow" fieldPosition="0"/>
    </format>
    <format dxfId="55">
      <pivotArea dataOnly="0" labelOnly="1" fieldPosition="0">
        <references count="1">
          <reference field="1" count="0"/>
        </references>
      </pivotArea>
    </format>
    <format dxfId="56">
      <pivotArea dataOnly="0" labelOnly="1" grandRow="1" outline="0" fieldPosition="0"/>
    </format>
    <format dxfId="57">
      <pivotArea dataOnly="0" labelOnly="1" fieldPosition="0">
        <references count="2">
          <reference field="1" count="1" selected="0">
            <x v="0"/>
          </reference>
          <reference field="3" count="0"/>
        </references>
      </pivotArea>
    </format>
    <format dxfId="58">
      <pivotArea dataOnly="0" labelOnly="1" fieldPosition="0">
        <references count="2">
          <reference field="1" count="1" selected="0">
            <x v="1"/>
          </reference>
          <reference field="3" count="0"/>
        </references>
      </pivotArea>
    </format>
    <format dxfId="59">
      <pivotArea dataOnly="0" labelOnly="1" fieldPosition="0">
        <references count="2">
          <reference field="1" count="1" selected="0">
            <x v="2"/>
          </reference>
          <reference field="3" count="1">
            <x v="1"/>
          </reference>
        </references>
      </pivotArea>
    </format>
    <format dxfId="60">
      <pivotArea dataOnly="0" labelOnly="1" fieldPosition="0">
        <references count="2">
          <reference field="1" count="1" selected="0">
            <x v="3"/>
          </reference>
          <reference field="3" count="0"/>
        </references>
      </pivotArea>
    </format>
    <format dxfId="61">
      <pivotArea dataOnly="0" labelOnly="1" fieldPosition="0">
        <references count="2">
          <reference field="1" count="1" selected="0">
            <x v="4"/>
          </reference>
          <reference field="3" count="1">
            <x v="0"/>
          </reference>
        </references>
      </pivotArea>
    </format>
    <format dxfId="62">
      <pivotArea dataOnly="0" labelOnly="1" outline="0" fieldPosition="0">
        <references count="3">
          <reference field="1" count="1" selected="0">
            <x v="0"/>
          </reference>
          <reference field="3" count="1" selected="0">
            <x v="0"/>
          </reference>
          <reference field="4" count="2">
            <x v="0"/>
            <x v="1"/>
          </reference>
        </references>
      </pivotArea>
    </format>
    <format dxfId="63">
      <pivotArea dataOnly="0" labelOnly="1" outline="0" fieldPosition="0">
        <references count="3">
          <reference field="1" count="1" selected="0">
            <x v="0"/>
          </reference>
          <reference field="3" count="1" selected="0">
            <x v="1"/>
          </reference>
          <reference field="4" count="2">
            <x v="0"/>
            <x v="1"/>
          </reference>
        </references>
      </pivotArea>
    </format>
    <format dxfId="64">
      <pivotArea dataOnly="0" labelOnly="1" outline="0" fieldPosition="0">
        <references count="3">
          <reference field="1" count="1" selected="0">
            <x v="1"/>
          </reference>
          <reference field="3" count="1" selected="0">
            <x v="0"/>
          </reference>
          <reference field="4" count="0"/>
        </references>
      </pivotArea>
    </format>
    <format dxfId="65">
      <pivotArea dataOnly="0" labelOnly="1" outline="0" fieldPosition="0">
        <references count="3">
          <reference field="1" count="1" selected="0">
            <x v="1"/>
          </reference>
          <reference field="3" count="1" selected="0">
            <x v="1"/>
          </reference>
          <reference field="4" count="1">
            <x v="1"/>
          </reference>
        </references>
      </pivotArea>
    </format>
    <format dxfId="66">
      <pivotArea dataOnly="0" labelOnly="1" outline="0" fieldPosition="0">
        <references count="3">
          <reference field="1" count="1" selected="0">
            <x v="2"/>
          </reference>
          <reference field="3" count="1" selected="0">
            <x v="1"/>
          </reference>
          <reference field="4" count="1">
            <x v="1"/>
          </reference>
        </references>
      </pivotArea>
    </format>
    <format dxfId="67">
      <pivotArea dataOnly="0" labelOnly="1" outline="0" fieldPosition="0">
        <references count="3">
          <reference field="1" count="1" selected="0">
            <x v="3"/>
          </reference>
          <reference field="3" count="1" selected="0">
            <x v="0"/>
          </reference>
          <reference field="4" count="2">
            <x v="1"/>
            <x v="2"/>
          </reference>
        </references>
      </pivotArea>
    </format>
    <format dxfId="68">
      <pivotArea dataOnly="0" labelOnly="1" outline="0" fieldPosition="0">
        <references count="3">
          <reference field="1" count="1" selected="0">
            <x v="3"/>
          </reference>
          <reference field="3" count="1" selected="0">
            <x v="1"/>
          </reference>
          <reference field="4" count="1">
            <x v="1"/>
          </reference>
        </references>
      </pivotArea>
    </format>
    <format dxfId="69">
      <pivotArea dataOnly="0" labelOnly="1" outline="0" fieldPosition="0">
        <references count="3">
          <reference field="1" count="1" selected="0">
            <x v="4"/>
          </reference>
          <reference field="3" count="1" selected="0">
            <x v="0"/>
          </reference>
          <reference field="4" count="1">
            <x v="2"/>
          </reference>
        </references>
      </pivotArea>
    </format>
    <format dxfId="70">
      <pivotArea dataOnly="0" labelOnly="1" outline="0" fieldPosition="0">
        <references count="1">
          <reference field="5" count="0"/>
        </references>
      </pivotArea>
    </format>
    <format dxfId="7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BB1B22-8040-4A7E-8845-050C63E313EA}" name="PivotTable7" cacheId="35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87:G96" firstHeaderRow="1" firstDataRow="2" firstDataCol="1"/>
  <pivotFields count="14">
    <pivotField compact="0" outline="0" showAll="0"/>
    <pivotField compact="0" outline="0" showAll="0"/>
    <pivotField compact="0" outline="0" showAll="0"/>
    <pivotField axis="axisRow" showAll="0" defaultSubtotal="0">
      <items count="2">
        <item x="1"/>
        <item x="0"/>
      </items>
    </pivotField>
    <pivotField axis="axisRow" compact="0" outline="0" showAll="0" defaultSubtotal="0">
      <items count="3">
        <item x="1"/>
        <item x="0"/>
        <item x="2"/>
      </items>
    </pivotField>
    <pivotField axis="axisCol" dataField="1"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3"/>
    <field x="4"/>
  </rowFields>
  <rowItems count="8">
    <i>
      <x/>
    </i>
    <i r="1">
      <x/>
    </i>
    <i r="1">
      <x v="1"/>
    </i>
    <i r="1">
      <x v="2"/>
    </i>
    <i>
      <x v="1"/>
    </i>
    <i r="1">
      <x/>
    </i>
    <i r="1">
      <x v="1"/>
    </i>
    <i t="grand">
      <x/>
    </i>
  </rowItems>
  <colFields count="1">
    <field x="5"/>
  </colFields>
  <colItems count="4">
    <i>
      <x/>
    </i>
    <i>
      <x v="1"/>
    </i>
    <i>
      <x v="2"/>
    </i>
    <i t="grand">
      <x/>
    </i>
  </colItems>
  <dataFields count="1">
    <dataField name="Count of Status" fld="5" subtotal="count" baseField="0" baseItem="0"/>
  </dataFields>
  <formats count="12">
    <format dxfId="37">
      <pivotArea type="all" dataOnly="0" outline="0" fieldPosition="0"/>
    </format>
    <format dxfId="38">
      <pivotArea outline="0" collapsedLevelsAreSubtotals="1" fieldPosition="0"/>
    </format>
    <format dxfId="39">
      <pivotArea type="origin" dataOnly="0" labelOnly="1" outline="0" fieldPosition="0"/>
    </format>
    <format dxfId="40">
      <pivotArea field="5" type="button" dataOnly="0" labelOnly="1" outline="0" axis="axisCol" fieldPosition="0"/>
    </format>
    <format dxfId="41">
      <pivotArea type="topRight" dataOnly="0" labelOnly="1" outline="0" fieldPosition="0"/>
    </format>
    <format dxfId="42">
      <pivotArea field="3" type="button" dataOnly="0" labelOnly="1" outline="0" axis="axisRow" fieldPosition="0"/>
    </format>
    <format dxfId="43">
      <pivotArea dataOnly="0" labelOnly="1" fieldPosition="0">
        <references count="1">
          <reference field="3" count="0"/>
        </references>
      </pivotArea>
    </format>
    <format dxfId="44">
      <pivotArea dataOnly="0" labelOnly="1" grandRow="1" outline="0" fieldPosition="0"/>
    </format>
    <format dxfId="45">
      <pivotArea dataOnly="0" labelOnly="1" outline="0" fieldPosition="0">
        <references count="2">
          <reference field="3" count="1" selected="0">
            <x v="0"/>
          </reference>
          <reference field="4" count="0"/>
        </references>
      </pivotArea>
    </format>
    <format dxfId="46">
      <pivotArea dataOnly="0" labelOnly="1" outline="0" fieldPosition="0">
        <references count="2">
          <reference field="3" count="1" selected="0">
            <x v="1"/>
          </reference>
          <reference field="4" count="2">
            <x v="0"/>
            <x v="1"/>
          </reference>
        </references>
      </pivotArea>
    </format>
    <format dxfId="47">
      <pivotArea dataOnly="0" labelOnly="1" outline="0" fieldPosition="0">
        <references count="1">
          <reference field="5" count="0"/>
        </references>
      </pivotArea>
    </format>
    <format dxfId="4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6FDF78-92D8-41B5-923E-4CCF29F43C4D}" name="PivotTable3" cacheId="3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5" firstHeaderRow="1" firstDataRow="1" firstDataCol="1"/>
  <pivotFields count="5">
    <pivotField showAll="0"/>
    <pivotField showAll="0"/>
    <pivotField showAll="0"/>
    <pivotField showAll="0"/>
    <pivotField axis="axisRow" dataField="1" showAll="0">
      <items count="3">
        <item x="0"/>
        <item h="1" x="1"/>
        <item t="default"/>
      </items>
    </pivotField>
  </pivotFields>
  <rowFields count="1">
    <field x="4"/>
  </rowFields>
  <rowItems count="2">
    <i>
      <x/>
    </i>
    <i t="grand">
      <x/>
    </i>
  </rowItems>
  <colItems count="1">
    <i/>
  </colItems>
  <dataFields count="1">
    <dataField name="Count of Status" fld="4" subtotal="count" baseField="0" baseItem="0"/>
  </dataFields>
  <formats count="12">
    <format dxfId="25">
      <pivotArea type="all" dataOnly="0" outline="0" fieldPosition="0"/>
    </format>
    <format dxfId="26">
      <pivotArea outline="0" collapsedLevelsAreSubtotals="1" fieldPosition="0"/>
    </format>
    <format dxfId="27">
      <pivotArea field="4" type="button" dataOnly="0" labelOnly="1" outline="0" axis="axisRow" fieldPosition="0"/>
    </format>
    <format dxfId="28">
      <pivotArea dataOnly="0" labelOnly="1" fieldPosition="0">
        <references count="1">
          <reference field="4" count="0"/>
        </references>
      </pivotArea>
    </format>
    <format dxfId="29">
      <pivotArea dataOnly="0" labelOnly="1" grandRow="1" outline="0" fieldPosition="0"/>
    </format>
    <format dxfId="30">
      <pivotArea dataOnly="0" labelOnly="1" outline="0" axis="axisValues" fieldPosition="0"/>
    </format>
    <format dxfId="31">
      <pivotArea type="all" dataOnly="0" outline="0" fieldPosition="0"/>
    </format>
    <format dxfId="32">
      <pivotArea outline="0" collapsedLevelsAreSubtotals="1" fieldPosition="0"/>
    </format>
    <format dxfId="33">
      <pivotArea field="4" type="button" dataOnly="0" labelOnly="1" outline="0" axis="axisRow" fieldPosition="0"/>
    </format>
    <format dxfId="34">
      <pivotArea dataOnly="0" labelOnly="1" fieldPosition="0">
        <references count="1">
          <reference field="4" count="0"/>
        </references>
      </pivotArea>
    </format>
    <format dxfId="35">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5756BF-8161-4DFC-B78E-F4E761DC3166}" name="PivotTable5" cacheId="35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2:H57" firstHeaderRow="1" firstDataRow="2" firstDataCol="1"/>
  <pivotFields count="14">
    <pivotField compact="0" outline="0" showAll="0"/>
    <pivotField axis="axisRow" showAll="0">
      <items count="6">
        <item x="0"/>
        <item x="1"/>
        <item x="2"/>
        <item x="3"/>
        <item h="1" x="4"/>
        <item t="default"/>
      </items>
    </pivotField>
    <pivotField compact="0" outline="0" showAll="0"/>
    <pivotField axis="axisRow" showAll="0" defaultSubtotal="0">
      <items count="3">
        <item x="1"/>
        <item x="0"/>
        <item x="2"/>
      </items>
    </pivotField>
    <pivotField axis="axisRow" compact="0" outline="0" showAll="0">
      <items count="5">
        <item x="1"/>
        <item x="0"/>
        <item x="2"/>
        <item x="3"/>
        <item t="default"/>
      </items>
    </pivotField>
    <pivotField axis="axisCol" dataField="1" compact="0" outline="0" showAll="0">
      <items count="6">
        <item x="3"/>
        <item x="0"/>
        <item x="1"/>
        <item x="2"/>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1"/>
    <field x="3"/>
    <field x="4"/>
  </rowFields>
  <rowItems count="24">
    <i>
      <x/>
    </i>
    <i r="1">
      <x/>
    </i>
    <i r="2">
      <x/>
    </i>
    <i r="2">
      <x v="1"/>
    </i>
    <i r="1">
      <x v="1"/>
    </i>
    <i r="2">
      <x/>
    </i>
    <i r="2">
      <x v="1"/>
    </i>
    <i>
      <x v="1"/>
    </i>
    <i r="1">
      <x/>
    </i>
    <i r="2">
      <x/>
    </i>
    <i r="2">
      <x v="1"/>
    </i>
    <i r="2">
      <x v="2"/>
    </i>
    <i r="1">
      <x v="1"/>
    </i>
    <i r="2">
      <x v="1"/>
    </i>
    <i>
      <x v="2"/>
    </i>
    <i r="1">
      <x v="1"/>
    </i>
    <i r="2">
      <x v="1"/>
    </i>
    <i>
      <x v="3"/>
    </i>
    <i r="1">
      <x/>
    </i>
    <i r="2">
      <x v="1"/>
    </i>
    <i r="2">
      <x v="2"/>
    </i>
    <i r="1">
      <x v="1"/>
    </i>
    <i r="2">
      <x v="1"/>
    </i>
    <i t="grand">
      <x/>
    </i>
  </rowItems>
  <colFields count="1">
    <field x="5"/>
  </colFields>
  <colItems count="5">
    <i>
      <x/>
    </i>
    <i>
      <x v="1"/>
    </i>
    <i>
      <x v="2"/>
    </i>
    <i>
      <x v="3"/>
    </i>
    <i t="grand">
      <x/>
    </i>
  </colItems>
  <dataFields count="1">
    <dataField name="Count of Status" fld="5" subtotal="count" baseField="0" baseItem="0"/>
  </dataFields>
  <formats count="17">
    <format dxfId="8">
      <pivotArea outline="0" collapsedLevelsAreSubtotals="1" fieldPosition="0"/>
    </format>
    <format dxfId="9">
      <pivotArea field="1" type="button" dataOnly="0" labelOnly="1" outline="0" axis="axisRow" fieldPosition="0"/>
    </format>
    <format dxfId="10">
      <pivotArea dataOnly="0" labelOnly="1" fieldPosition="0">
        <references count="1">
          <reference field="1" count="0"/>
        </references>
      </pivotArea>
    </format>
    <format dxfId="11">
      <pivotArea dataOnly="0" labelOnly="1" grandRow="1" outline="0" fieldPosition="0"/>
    </format>
    <format dxfId="12">
      <pivotArea dataOnly="0" labelOnly="1" fieldPosition="0">
        <references count="2">
          <reference field="1" count="1" selected="0">
            <x v="0"/>
          </reference>
          <reference field="3" count="2">
            <x v="0"/>
            <x v="1"/>
          </reference>
        </references>
      </pivotArea>
    </format>
    <format dxfId="13">
      <pivotArea dataOnly="0" labelOnly="1" fieldPosition="0">
        <references count="2">
          <reference field="1" count="1" selected="0">
            <x v="1"/>
          </reference>
          <reference field="3" count="2">
            <x v="0"/>
            <x v="1"/>
          </reference>
        </references>
      </pivotArea>
    </format>
    <format dxfId="14">
      <pivotArea dataOnly="0" labelOnly="1" fieldPosition="0">
        <references count="2">
          <reference field="1" count="1" selected="0">
            <x v="2"/>
          </reference>
          <reference field="3" count="1">
            <x v="1"/>
          </reference>
        </references>
      </pivotArea>
    </format>
    <format dxfId="15">
      <pivotArea dataOnly="0" labelOnly="1" fieldPosition="0">
        <references count="2">
          <reference field="1" count="1" selected="0">
            <x v="3"/>
          </reference>
          <reference field="3" count="2">
            <x v="0"/>
            <x v="1"/>
          </reference>
        </references>
      </pivotArea>
    </format>
    <format dxfId="16">
      <pivotArea dataOnly="0" labelOnly="1" outline="0" fieldPosition="0">
        <references count="3">
          <reference field="1" count="1" selected="0">
            <x v="0"/>
          </reference>
          <reference field="3" count="1" selected="0">
            <x v="0"/>
          </reference>
          <reference field="4" count="2">
            <x v="0"/>
            <x v="1"/>
          </reference>
        </references>
      </pivotArea>
    </format>
    <format dxfId="17">
      <pivotArea dataOnly="0" labelOnly="1" outline="0" fieldPosition="0">
        <references count="3">
          <reference field="1" count="1" selected="0">
            <x v="0"/>
          </reference>
          <reference field="3" count="1" selected="0">
            <x v="1"/>
          </reference>
          <reference field="4" count="2">
            <x v="0"/>
            <x v="1"/>
          </reference>
        </references>
      </pivotArea>
    </format>
    <format dxfId="18">
      <pivotArea dataOnly="0" labelOnly="1" outline="0" fieldPosition="0">
        <references count="3">
          <reference field="1" count="1" selected="0">
            <x v="1"/>
          </reference>
          <reference field="3" count="1" selected="0">
            <x v="0"/>
          </reference>
          <reference field="4" count="3">
            <x v="0"/>
            <x v="1"/>
            <x v="2"/>
          </reference>
        </references>
      </pivotArea>
    </format>
    <format dxfId="19">
      <pivotArea dataOnly="0" labelOnly="1" outline="0" fieldPosition="0">
        <references count="3">
          <reference field="1" count="1" selected="0">
            <x v="1"/>
          </reference>
          <reference field="3" count="1" selected="0">
            <x v="1"/>
          </reference>
          <reference field="4" count="1">
            <x v="1"/>
          </reference>
        </references>
      </pivotArea>
    </format>
    <format dxfId="20">
      <pivotArea dataOnly="0" labelOnly="1" outline="0" fieldPosition="0">
        <references count="3">
          <reference field="1" count="1" selected="0">
            <x v="2"/>
          </reference>
          <reference field="3" count="1" selected="0">
            <x v="1"/>
          </reference>
          <reference field="4" count="1">
            <x v="1"/>
          </reference>
        </references>
      </pivotArea>
    </format>
    <format dxfId="21">
      <pivotArea dataOnly="0" labelOnly="1" outline="0" fieldPosition="0">
        <references count="3">
          <reference field="1" count="1" selected="0">
            <x v="3"/>
          </reference>
          <reference field="3" count="1" selected="0">
            <x v="0"/>
          </reference>
          <reference field="4" count="2">
            <x v="1"/>
            <x v="2"/>
          </reference>
        </references>
      </pivotArea>
    </format>
    <format dxfId="22">
      <pivotArea dataOnly="0" labelOnly="1" outline="0" fieldPosition="0">
        <references count="3">
          <reference field="1" count="1" selected="0">
            <x v="3"/>
          </reference>
          <reference field="3" count="1" selected="0">
            <x v="1"/>
          </reference>
          <reference field="4" count="1">
            <x v="1"/>
          </reference>
        </references>
      </pivotArea>
    </format>
    <format dxfId="23">
      <pivotArea dataOnly="0" labelOnly="1" outline="0" fieldPosition="0">
        <references count="1">
          <reference field="5" count="4">
            <x v="0"/>
            <x v="1"/>
            <x v="2"/>
            <x v="3"/>
          </reference>
        </references>
      </pivotArea>
    </format>
    <format dxfId="2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85031-72F9-41E9-BA0C-EE849EBCB5F1}">
  <we:reference id="df76232d-21a6-4463-9d19-0518ac5aab5d" version="1.1.0.0" store="excatalog" storeType="excatalog"/>
  <we:alternateReferences>
    <we:reference id="WA200000556" version="1.1.0.0" store="en-US" storeType="omex"/>
  </we:alternateReferences>
  <we:properties>
    <we:property name="documentId" value="&quot;bf5ebf04-26cb-472f-89de-9837c426fc8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O52"/>
  <sheetViews>
    <sheetView tabSelected="1" zoomScaleNormal="100" workbookViewId="0">
      <pane ySplit="1" topLeftCell="A43" activePane="bottomLeft" state="frozen"/>
      <selection pane="bottomLeft" activeCell="F46" sqref="F46"/>
      <selection activeCell="E2" sqref="A2:F1048576"/>
    </sheetView>
  </sheetViews>
  <sheetFormatPr defaultRowHeight="15"/>
  <cols>
    <col min="1" max="1" width="3.28515625" style="10" bestFit="1" customWidth="1"/>
    <col min="2" max="3" width="10.7109375" style="10" customWidth="1"/>
    <col min="4" max="4" width="12.5703125" style="10" bestFit="1" customWidth="1"/>
    <col min="5" max="5" width="10.7109375" style="10" bestFit="1" customWidth="1"/>
    <col min="6" max="6" width="17" style="10" bestFit="1" customWidth="1"/>
    <col min="7" max="7" width="14" style="12" bestFit="1" customWidth="1"/>
    <col min="8" max="8" width="20.7109375" style="12" customWidth="1"/>
    <col min="9" max="10" width="60.7109375" style="12" customWidth="1"/>
    <col min="11" max="11" width="9.5703125" style="63" customWidth="1"/>
    <col min="12" max="12" width="10.5703125" style="12" customWidth="1"/>
    <col min="13" max="14" width="50.7109375" style="12" customWidth="1"/>
    <col min="15" max="16384" width="9.140625" style="10"/>
  </cols>
  <sheetData>
    <row r="1" spans="1:14" s="8" customFormat="1" ht="30">
      <c r="A1" s="1" t="s">
        <v>0</v>
      </c>
      <c r="B1" s="2" t="s">
        <v>1</v>
      </c>
      <c r="C1" s="2" t="s">
        <v>2</v>
      </c>
      <c r="D1" s="2" t="s">
        <v>3</v>
      </c>
      <c r="E1" s="1" t="s">
        <v>4</v>
      </c>
      <c r="F1" s="2" t="s">
        <v>5</v>
      </c>
      <c r="G1" s="2" t="s">
        <v>6</v>
      </c>
      <c r="H1" s="2" t="s">
        <v>7</v>
      </c>
      <c r="I1" s="2" t="s">
        <v>8</v>
      </c>
      <c r="J1" s="2" t="s">
        <v>9</v>
      </c>
      <c r="K1" s="2" t="s">
        <v>10</v>
      </c>
      <c r="L1" s="2" t="s">
        <v>11</v>
      </c>
      <c r="M1" s="2" t="s">
        <v>9</v>
      </c>
      <c r="N1" s="1" t="s">
        <v>12</v>
      </c>
    </row>
    <row r="2" spans="1:14" s="8" customFormat="1" ht="45">
      <c r="A2" s="35">
        <v>1</v>
      </c>
      <c r="B2" s="36">
        <v>46051</v>
      </c>
      <c r="C2" s="36" t="s">
        <v>13</v>
      </c>
      <c r="D2" s="37" t="s">
        <v>14</v>
      </c>
      <c r="E2" s="37" t="s">
        <v>15</v>
      </c>
      <c r="F2" s="37" t="s">
        <v>16</v>
      </c>
      <c r="G2" s="38" t="s">
        <v>17</v>
      </c>
      <c r="H2" s="34" t="s">
        <v>18</v>
      </c>
      <c r="I2" s="34" t="s">
        <v>19</v>
      </c>
      <c r="J2" s="37" t="s">
        <v>20</v>
      </c>
      <c r="K2" s="39"/>
      <c r="L2" s="37"/>
      <c r="M2" s="6" t="s">
        <v>21</v>
      </c>
      <c r="N2" s="34" t="s">
        <v>22</v>
      </c>
    </row>
    <row r="3" spans="1:14">
      <c r="A3" s="40">
        <v>2</v>
      </c>
      <c r="B3" s="36">
        <v>46051</v>
      </c>
      <c r="C3" s="36" t="s">
        <v>23</v>
      </c>
      <c r="D3" s="37" t="s">
        <v>14</v>
      </c>
      <c r="E3" s="37" t="s">
        <v>15</v>
      </c>
      <c r="F3" s="37" t="s">
        <v>16</v>
      </c>
      <c r="G3" s="37" t="s">
        <v>17</v>
      </c>
      <c r="H3" s="41" t="s">
        <v>24</v>
      </c>
      <c r="I3" s="37" t="s">
        <v>25</v>
      </c>
      <c r="J3" s="37" t="s">
        <v>26</v>
      </c>
      <c r="K3" s="39"/>
      <c r="L3" s="37"/>
      <c r="M3" s="34"/>
      <c r="N3" s="34" t="s">
        <v>22</v>
      </c>
    </row>
    <row r="4" spans="1:14" ht="30">
      <c r="A4" s="35">
        <v>3</v>
      </c>
      <c r="B4" s="36">
        <v>46051</v>
      </c>
      <c r="C4" s="36" t="s">
        <v>23</v>
      </c>
      <c r="D4" s="37" t="s">
        <v>14</v>
      </c>
      <c r="E4" s="37" t="s">
        <v>15</v>
      </c>
      <c r="F4" s="37" t="s">
        <v>27</v>
      </c>
      <c r="G4" s="37" t="s">
        <v>28</v>
      </c>
      <c r="H4" s="9" t="s">
        <v>29</v>
      </c>
      <c r="I4" s="37" t="s">
        <v>30</v>
      </c>
      <c r="J4" s="37" t="s">
        <v>31</v>
      </c>
      <c r="K4" s="39">
        <v>46106</v>
      </c>
      <c r="L4" s="37" t="s">
        <v>32</v>
      </c>
      <c r="M4" s="34"/>
      <c r="N4" s="34" t="s">
        <v>33</v>
      </c>
    </row>
    <row r="5" spans="1:14" ht="30">
      <c r="A5" s="35">
        <v>4</v>
      </c>
      <c r="B5" s="36">
        <v>46051</v>
      </c>
      <c r="C5" s="36" t="s">
        <v>23</v>
      </c>
      <c r="D5" s="37" t="s">
        <v>34</v>
      </c>
      <c r="E5" s="42" t="s">
        <v>15</v>
      </c>
      <c r="F5" s="37" t="s">
        <v>27</v>
      </c>
      <c r="G5" s="42" t="s">
        <v>35</v>
      </c>
      <c r="H5" s="42" t="s">
        <v>36</v>
      </c>
      <c r="I5" s="3" t="s">
        <v>37</v>
      </c>
      <c r="J5" s="42"/>
      <c r="K5" s="39">
        <v>46106</v>
      </c>
      <c r="L5" s="37" t="s">
        <v>32</v>
      </c>
      <c r="M5" s="43"/>
      <c r="N5" s="43" t="s">
        <v>38</v>
      </c>
    </row>
    <row r="6" spans="1:14" ht="76.5">
      <c r="A6" s="35">
        <v>5</v>
      </c>
      <c r="B6" s="36">
        <v>46051</v>
      </c>
      <c r="C6" s="36" t="s">
        <v>23</v>
      </c>
      <c r="D6" s="37" t="s">
        <v>34</v>
      </c>
      <c r="E6" s="42" t="s">
        <v>15</v>
      </c>
      <c r="F6" s="37" t="s">
        <v>27</v>
      </c>
      <c r="G6" s="42" t="s">
        <v>35</v>
      </c>
      <c r="H6" s="42" t="s">
        <v>39</v>
      </c>
      <c r="I6" s="3" t="s">
        <v>40</v>
      </c>
      <c r="J6" s="42" t="s">
        <v>41</v>
      </c>
      <c r="K6" s="39">
        <v>46128</v>
      </c>
      <c r="L6" s="37" t="s">
        <v>32</v>
      </c>
      <c r="M6" s="70" t="s">
        <v>42</v>
      </c>
      <c r="N6" s="43" t="s">
        <v>43</v>
      </c>
    </row>
    <row r="7" spans="1:14" ht="60.75">
      <c r="A7" s="35">
        <v>6</v>
      </c>
      <c r="B7" s="36">
        <v>46051</v>
      </c>
      <c r="C7" s="36" t="s">
        <v>23</v>
      </c>
      <c r="D7" s="37" t="s">
        <v>14</v>
      </c>
      <c r="E7" s="37" t="s">
        <v>15</v>
      </c>
      <c r="F7" s="37" t="s">
        <v>27</v>
      </c>
      <c r="G7" s="37" t="s">
        <v>44</v>
      </c>
      <c r="H7" s="37" t="s">
        <v>45</v>
      </c>
      <c r="I7" s="37" t="s">
        <v>46</v>
      </c>
      <c r="J7" s="37" t="s">
        <v>47</v>
      </c>
      <c r="K7" s="39">
        <v>46106</v>
      </c>
      <c r="L7" s="37" t="s">
        <v>32</v>
      </c>
      <c r="M7" s="69" t="s">
        <v>48</v>
      </c>
      <c r="N7" s="61" t="s">
        <v>33</v>
      </c>
    </row>
    <row r="8" spans="1:14" s="11" customFormat="1" ht="30.75">
      <c r="A8" s="35">
        <v>7</v>
      </c>
      <c r="B8" s="36">
        <v>46051</v>
      </c>
      <c r="C8" s="36" t="s">
        <v>23</v>
      </c>
      <c r="D8" s="37" t="s">
        <v>14</v>
      </c>
      <c r="E8" s="37" t="s">
        <v>15</v>
      </c>
      <c r="F8" s="37" t="s">
        <v>27</v>
      </c>
      <c r="G8" s="37" t="s">
        <v>44</v>
      </c>
      <c r="H8" s="37" t="s">
        <v>29</v>
      </c>
      <c r="I8" s="37" t="s">
        <v>49</v>
      </c>
      <c r="J8" s="37" t="s">
        <v>50</v>
      </c>
      <c r="K8" s="39">
        <v>46115</v>
      </c>
      <c r="L8" s="37" t="s">
        <v>32</v>
      </c>
      <c r="M8" s="70" t="s">
        <v>51</v>
      </c>
      <c r="N8" s="61" t="s">
        <v>52</v>
      </c>
    </row>
    <row r="9" spans="1:14" s="11" customFormat="1" ht="45.75">
      <c r="A9" s="35">
        <v>8</v>
      </c>
      <c r="B9" s="36">
        <v>46051</v>
      </c>
      <c r="C9" s="36" t="s">
        <v>23</v>
      </c>
      <c r="D9" s="37" t="s">
        <v>14</v>
      </c>
      <c r="E9" s="37" t="s">
        <v>15</v>
      </c>
      <c r="F9" s="37" t="s">
        <v>27</v>
      </c>
      <c r="G9" s="37" t="s">
        <v>44</v>
      </c>
      <c r="H9" s="9" t="s">
        <v>53</v>
      </c>
      <c r="I9" s="4" t="s">
        <v>54</v>
      </c>
      <c r="J9" s="37"/>
      <c r="K9" s="44">
        <v>46115</v>
      </c>
      <c r="L9" s="37" t="s">
        <v>32</v>
      </c>
      <c r="M9" s="37"/>
      <c r="N9" s="37" t="s">
        <v>33</v>
      </c>
    </row>
    <row r="10" spans="1:14" ht="135">
      <c r="A10" s="35">
        <v>9</v>
      </c>
      <c r="B10" s="36">
        <v>46051</v>
      </c>
      <c r="C10" s="36" t="s">
        <v>23</v>
      </c>
      <c r="D10" s="37" t="s">
        <v>34</v>
      </c>
      <c r="E10" s="37" t="s">
        <v>55</v>
      </c>
      <c r="F10" s="37" t="s">
        <v>27</v>
      </c>
      <c r="G10" s="37" t="s">
        <v>44</v>
      </c>
      <c r="H10" s="37" t="s">
        <v>56</v>
      </c>
      <c r="I10" s="62" t="s">
        <v>57</v>
      </c>
      <c r="J10" s="4" t="s">
        <v>58</v>
      </c>
      <c r="K10" s="44">
        <v>46115</v>
      </c>
      <c r="L10" s="37" t="s">
        <v>32</v>
      </c>
      <c r="M10" s="7"/>
      <c r="N10" s="62" t="s">
        <v>59</v>
      </c>
    </row>
    <row r="11" spans="1:14" ht="183">
      <c r="A11" s="35">
        <v>10</v>
      </c>
      <c r="B11" s="36">
        <v>46051</v>
      </c>
      <c r="C11" s="36" t="s">
        <v>23</v>
      </c>
      <c r="D11" s="37" t="s">
        <v>34</v>
      </c>
      <c r="E11" s="37" t="s">
        <v>55</v>
      </c>
      <c r="F11" s="37" t="s">
        <v>27</v>
      </c>
      <c r="G11" s="37" t="s">
        <v>44</v>
      </c>
      <c r="H11" s="4" t="s">
        <v>60</v>
      </c>
      <c r="I11" s="33" t="s">
        <v>61</v>
      </c>
      <c r="J11" s="4" t="s">
        <v>62</v>
      </c>
      <c r="K11" s="5">
        <v>46115</v>
      </c>
      <c r="L11" s="37" t="s">
        <v>63</v>
      </c>
      <c r="M11" s="69" t="s">
        <v>64</v>
      </c>
      <c r="N11" s="61" t="s">
        <v>65</v>
      </c>
    </row>
    <row r="12" spans="1:14" ht="30">
      <c r="A12" s="35">
        <v>11</v>
      </c>
      <c r="B12" s="36">
        <v>46051</v>
      </c>
      <c r="C12" s="36" t="s">
        <v>23</v>
      </c>
      <c r="D12" s="37" t="s">
        <v>34</v>
      </c>
      <c r="E12" s="37" t="s">
        <v>55</v>
      </c>
      <c r="F12" s="37" t="s">
        <v>27</v>
      </c>
      <c r="G12" s="37" t="s">
        <v>44</v>
      </c>
      <c r="H12" s="34" t="s">
        <v>66</v>
      </c>
      <c r="I12" s="34" t="s">
        <v>67</v>
      </c>
      <c r="J12" s="34" t="s">
        <v>68</v>
      </c>
      <c r="K12" s="5">
        <v>46115</v>
      </c>
      <c r="L12" s="37" t="s">
        <v>32</v>
      </c>
      <c r="M12" s="6"/>
      <c r="N12" s="61" t="s">
        <v>52</v>
      </c>
    </row>
    <row r="13" spans="1:14" ht="30">
      <c r="A13" s="45">
        <v>12</v>
      </c>
      <c r="B13" s="36">
        <v>46051</v>
      </c>
      <c r="C13" s="36" t="s">
        <v>23</v>
      </c>
      <c r="D13" s="37" t="s">
        <v>34</v>
      </c>
      <c r="E13" s="37" t="s">
        <v>55</v>
      </c>
      <c r="F13" s="37" t="s">
        <v>27</v>
      </c>
      <c r="G13" s="37" t="s">
        <v>44</v>
      </c>
      <c r="H13" s="34" t="s">
        <v>69</v>
      </c>
      <c r="I13" s="34" t="s">
        <v>70</v>
      </c>
      <c r="J13" s="34" t="s">
        <v>68</v>
      </c>
      <c r="K13" s="5">
        <v>46115</v>
      </c>
      <c r="L13" s="37" t="s">
        <v>32</v>
      </c>
      <c r="M13" s="6"/>
      <c r="N13" s="61" t="s">
        <v>52</v>
      </c>
    </row>
    <row r="14" spans="1:14" ht="60">
      <c r="A14" s="45">
        <v>13</v>
      </c>
      <c r="B14" s="36">
        <v>46051</v>
      </c>
      <c r="C14" s="36" t="s">
        <v>23</v>
      </c>
      <c r="D14" s="37" t="s">
        <v>34</v>
      </c>
      <c r="E14" s="42" t="s">
        <v>55</v>
      </c>
      <c r="F14" s="37" t="s">
        <v>27</v>
      </c>
      <c r="G14" s="42" t="s">
        <v>17</v>
      </c>
      <c r="H14" s="34" t="s">
        <v>71</v>
      </c>
      <c r="I14" s="34" t="s">
        <v>72</v>
      </c>
      <c r="J14" s="34" t="s">
        <v>73</v>
      </c>
      <c r="K14" s="5">
        <v>46115</v>
      </c>
      <c r="L14" s="37" t="s">
        <v>32</v>
      </c>
      <c r="M14" s="6"/>
      <c r="N14" s="61" t="s">
        <v>52</v>
      </c>
    </row>
    <row r="15" spans="1:14" ht="60.75">
      <c r="A15" s="45">
        <v>14</v>
      </c>
      <c r="B15" s="36">
        <v>46051</v>
      </c>
      <c r="C15" s="36" t="s">
        <v>13</v>
      </c>
      <c r="D15" s="37" t="s">
        <v>34</v>
      </c>
      <c r="E15" s="37" t="s">
        <v>55</v>
      </c>
      <c r="F15" s="37" t="s">
        <v>27</v>
      </c>
      <c r="G15" s="4" t="s">
        <v>28</v>
      </c>
      <c r="H15" s="4" t="s">
        <v>74</v>
      </c>
      <c r="I15" s="4" t="s">
        <v>75</v>
      </c>
      <c r="J15" s="4" t="s">
        <v>76</v>
      </c>
      <c r="K15" s="5">
        <v>46115</v>
      </c>
      <c r="L15" s="37" t="s">
        <v>63</v>
      </c>
      <c r="M15" s="90" t="s">
        <v>77</v>
      </c>
      <c r="N15" s="34" t="s">
        <v>78</v>
      </c>
    </row>
    <row r="16" spans="1:14" ht="121.5">
      <c r="A16" s="45">
        <v>15</v>
      </c>
      <c r="B16" s="36">
        <v>46051</v>
      </c>
      <c r="C16" s="36" t="s">
        <v>23</v>
      </c>
      <c r="D16" s="37" t="s">
        <v>34</v>
      </c>
      <c r="E16" s="37" t="s">
        <v>55</v>
      </c>
      <c r="F16" s="37" t="s">
        <v>27</v>
      </c>
      <c r="G16" s="37" t="s">
        <v>17</v>
      </c>
      <c r="H16" s="37" t="s">
        <v>79</v>
      </c>
      <c r="I16" s="4" t="s">
        <v>80</v>
      </c>
      <c r="J16" s="37"/>
      <c r="K16" s="44">
        <v>46128</v>
      </c>
      <c r="L16" s="37" t="s">
        <v>32</v>
      </c>
      <c r="M16" s="6"/>
      <c r="N16" s="61" t="s">
        <v>81</v>
      </c>
    </row>
    <row r="17" spans="1:14" ht="60.75">
      <c r="A17" s="45">
        <v>16</v>
      </c>
      <c r="B17" s="36">
        <v>46051</v>
      </c>
      <c r="C17" s="36" t="s">
        <v>23</v>
      </c>
      <c r="D17" s="37" t="s">
        <v>34</v>
      </c>
      <c r="E17" s="37" t="s">
        <v>55</v>
      </c>
      <c r="F17" s="37" t="s">
        <v>27</v>
      </c>
      <c r="G17" s="37" t="s">
        <v>17</v>
      </c>
      <c r="H17" s="37" t="s">
        <v>82</v>
      </c>
      <c r="I17" s="4" t="s">
        <v>83</v>
      </c>
      <c r="J17" s="34" t="s">
        <v>84</v>
      </c>
      <c r="K17" s="44">
        <v>46115</v>
      </c>
      <c r="L17" s="37" t="s">
        <v>63</v>
      </c>
      <c r="M17" s="69" t="s">
        <v>85</v>
      </c>
      <c r="N17" s="61" t="s">
        <v>52</v>
      </c>
    </row>
    <row r="18" spans="1:14" ht="137.25">
      <c r="A18" s="45">
        <v>17</v>
      </c>
      <c r="B18" s="36">
        <v>46051</v>
      </c>
      <c r="C18" s="36" t="s">
        <v>23</v>
      </c>
      <c r="D18" s="37" t="s">
        <v>34</v>
      </c>
      <c r="E18" s="37" t="s">
        <v>55</v>
      </c>
      <c r="F18" s="37" t="s">
        <v>16</v>
      </c>
      <c r="G18" s="37" t="s">
        <v>17</v>
      </c>
      <c r="H18" s="37" t="s">
        <v>86</v>
      </c>
      <c r="I18" s="4" t="s">
        <v>87</v>
      </c>
      <c r="J18" s="34" t="s">
        <v>88</v>
      </c>
      <c r="K18" s="44"/>
      <c r="L18" s="37"/>
      <c r="M18" s="69" t="s">
        <v>89</v>
      </c>
      <c r="N18" s="61" t="s">
        <v>90</v>
      </c>
    </row>
    <row r="19" spans="1:14" ht="76.5">
      <c r="A19" s="45">
        <v>18</v>
      </c>
      <c r="B19" s="36">
        <v>46051</v>
      </c>
      <c r="C19" s="36" t="s">
        <v>23</v>
      </c>
      <c r="D19" s="37" t="s">
        <v>34</v>
      </c>
      <c r="E19" s="37" t="s">
        <v>15</v>
      </c>
      <c r="F19" s="37" t="s">
        <v>16</v>
      </c>
      <c r="G19" s="34" t="s">
        <v>17</v>
      </c>
      <c r="H19" s="34" t="s">
        <v>91</v>
      </c>
      <c r="I19" s="34" t="s">
        <v>92</v>
      </c>
      <c r="J19" s="34" t="s">
        <v>93</v>
      </c>
      <c r="K19" s="44">
        <v>46115</v>
      </c>
      <c r="L19" s="37" t="s">
        <v>63</v>
      </c>
      <c r="M19" s="90" t="s">
        <v>94</v>
      </c>
      <c r="N19" s="34" t="s">
        <v>95</v>
      </c>
    </row>
    <row r="20" spans="1:14" ht="45">
      <c r="A20" s="45">
        <v>19</v>
      </c>
      <c r="B20" s="36">
        <v>46051</v>
      </c>
      <c r="C20" s="36" t="s">
        <v>23</v>
      </c>
      <c r="D20" s="37" t="s">
        <v>34</v>
      </c>
      <c r="E20" s="37" t="s">
        <v>15</v>
      </c>
      <c r="F20" s="37" t="s">
        <v>27</v>
      </c>
      <c r="G20" s="34" t="s">
        <v>17</v>
      </c>
      <c r="H20" s="34" t="s">
        <v>96</v>
      </c>
      <c r="I20" s="34" t="s">
        <v>97</v>
      </c>
      <c r="J20" s="34"/>
      <c r="K20" s="44">
        <v>46115</v>
      </c>
      <c r="L20" s="37" t="s">
        <v>32</v>
      </c>
      <c r="M20" s="64" t="s">
        <v>98</v>
      </c>
      <c r="N20" s="34" t="s">
        <v>52</v>
      </c>
    </row>
    <row r="21" spans="1:14" ht="45">
      <c r="A21" s="45">
        <v>20</v>
      </c>
      <c r="B21" s="36">
        <v>46051</v>
      </c>
      <c r="C21" s="36" t="s">
        <v>23</v>
      </c>
      <c r="D21" s="37" t="s">
        <v>14</v>
      </c>
      <c r="E21" s="37" t="s">
        <v>15</v>
      </c>
      <c r="F21" s="37" t="s">
        <v>27</v>
      </c>
      <c r="G21" s="34" t="s">
        <v>17</v>
      </c>
      <c r="H21" s="34" t="s">
        <v>99</v>
      </c>
      <c r="I21" s="34" t="s">
        <v>100</v>
      </c>
      <c r="J21" s="34" t="s">
        <v>101</v>
      </c>
      <c r="K21" s="44">
        <v>46115</v>
      </c>
      <c r="L21" s="37" t="s">
        <v>32</v>
      </c>
      <c r="M21" s="34"/>
      <c r="N21" s="34" t="s">
        <v>52</v>
      </c>
    </row>
    <row r="22" spans="1:14" ht="60.75">
      <c r="A22" s="87">
        <v>21</v>
      </c>
      <c r="B22" s="36">
        <v>46051</v>
      </c>
      <c r="C22" s="36" t="s">
        <v>23</v>
      </c>
      <c r="D22" s="37" t="s">
        <v>34</v>
      </c>
      <c r="E22" s="37" t="s">
        <v>15</v>
      </c>
      <c r="F22" s="37" t="s">
        <v>27</v>
      </c>
      <c r="G22" s="34" t="s">
        <v>102</v>
      </c>
      <c r="H22" s="34" t="s">
        <v>103</v>
      </c>
      <c r="I22" s="34" t="s">
        <v>104</v>
      </c>
      <c r="J22" s="34" t="s">
        <v>105</v>
      </c>
      <c r="K22" s="44">
        <v>46128</v>
      </c>
      <c r="L22" s="37" t="s">
        <v>32</v>
      </c>
      <c r="M22" s="69" t="s">
        <v>106</v>
      </c>
      <c r="N22" s="34" t="s">
        <v>107</v>
      </c>
    </row>
    <row r="23" spans="1:14" ht="76.5">
      <c r="A23" s="40">
        <v>22</v>
      </c>
      <c r="B23" s="36">
        <v>46051</v>
      </c>
      <c r="C23" s="36" t="s">
        <v>13</v>
      </c>
      <c r="D23" s="37" t="s">
        <v>34</v>
      </c>
      <c r="E23" s="37" t="s">
        <v>55</v>
      </c>
      <c r="F23" s="37" t="s">
        <v>27</v>
      </c>
      <c r="G23" s="34" t="s">
        <v>17</v>
      </c>
      <c r="H23" s="34" t="s">
        <v>108</v>
      </c>
      <c r="I23" s="34" t="s">
        <v>109</v>
      </c>
      <c r="J23" s="34" t="s">
        <v>110</v>
      </c>
      <c r="K23" s="44">
        <v>46115</v>
      </c>
      <c r="L23" s="37" t="s">
        <v>32</v>
      </c>
      <c r="M23" s="34"/>
      <c r="N23" s="34" t="s">
        <v>111</v>
      </c>
    </row>
    <row r="24" spans="1:14" ht="30.75">
      <c r="A24" s="38">
        <v>23</v>
      </c>
      <c r="B24" s="36">
        <v>46051</v>
      </c>
      <c r="C24" s="36" t="s">
        <v>23</v>
      </c>
      <c r="D24" s="37" t="s">
        <v>14</v>
      </c>
      <c r="E24" s="37" t="s">
        <v>55</v>
      </c>
      <c r="F24" s="37" t="s">
        <v>27</v>
      </c>
      <c r="G24" s="34" t="s">
        <v>17</v>
      </c>
      <c r="H24" s="34" t="s">
        <v>112</v>
      </c>
      <c r="I24" s="34" t="s">
        <v>113</v>
      </c>
      <c r="J24" s="34"/>
      <c r="K24" s="44">
        <v>46115</v>
      </c>
      <c r="L24" s="37" t="s">
        <v>32</v>
      </c>
      <c r="M24" s="34"/>
      <c r="N24" s="34" t="s">
        <v>114</v>
      </c>
    </row>
    <row r="25" spans="1:14" ht="45">
      <c r="A25" s="38">
        <v>24</v>
      </c>
      <c r="B25" s="36">
        <v>46051</v>
      </c>
      <c r="C25" s="36" t="s">
        <v>23</v>
      </c>
      <c r="D25" s="37" t="s">
        <v>34</v>
      </c>
      <c r="E25" s="37" t="s">
        <v>55</v>
      </c>
      <c r="F25" s="37" t="s">
        <v>27</v>
      </c>
      <c r="G25" s="34" t="s">
        <v>17</v>
      </c>
      <c r="H25" s="34" t="s">
        <v>115</v>
      </c>
      <c r="I25" s="34" t="s">
        <v>116</v>
      </c>
      <c r="J25" s="34"/>
      <c r="K25" s="44">
        <v>46115</v>
      </c>
      <c r="L25" s="37" t="s">
        <v>32</v>
      </c>
      <c r="M25" s="34"/>
      <c r="N25" s="34" t="s">
        <v>52</v>
      </c>
    </row>
    <row r="26" spans="1:14" ht="45.75">
      <c r="A26" s="38">
        <v>25</v>
      </c>
      <c r="B26" s="36">
        <v>46051</v>
      </c>
      <c r="C26" s="36" t="s">
        <v>23</v>
      </c>
      <c r="D26" s="37" t="s">
        <v>14</v>
      </c>
      <c r="E26" s="37" t="s">
        <v>15</v>
      </c>
      <c r="F26" s="37" t="s">
        <v>27</v>
      </c>
      <c r="G26" s="34" t="s">
        <v>17</v>
      </c>
      <c r="H26" s="34" t="s">
        <v>117</v>
      </c>
      <c r="I26" s="34" t="s">
        <v>118</v>
      </c>
      <c r="J26" s="34" t="s">
        <v>119</v>
      </c>
      <c r="K26" s="44">
        <v>46128</v>
      </c>
      <c r="L26" s="37" t="s">
        <v>32</v>
      </c>
      <c r="M26" s="34"/>
      <c r="N26" s="34" t="s">
        <v>120</v>
      </c>
    </row>
    <row r="27" spans="1:14" ht="60.75">
      <c r="A27" s="38">
        <v>26</v>
      </c>
      <c r="B27" s="36">
        <v>46115</v>
      </c>
      <c r="C27" s="36" t="s">
        <v>23</v>
      </c>
      <c r="D27" s="37" t="s">
        <v>34</v>
      </c>
      <c r="E27" s="42" t="s">
        <v>15</v>
      </c>
      <c r="F27" s="37" t="s">
        <v>27</v>
      </c>
      <c r="G27" s="42" t="s">
        <v>102</v>
      </c>
      <c r="H27" s="42" t="s">
        <v>121</v>
      </c>
      <c r="I27" s="3" t="s">
        <v>122</v>
      </c>
      <c r="J27" s="42"/>
      <c r="K27" s="44">
        <v>46128</v>
      </c>
      <c r="L27" s="37" t="s">
        <v>32</v>
      </c>
      <c r="M27" s="34"/>
      <c r="N27" s="34" t="s">
        <v>123</v>
      </c>
    </row>
    <row r="28" spans="1:14" ht="45.75">
      <c r="A28" s="38">
        <f>ROW()-1</f>
        <v>27</v>
      </c>
      <c r="B28" s="36">
        <v>46115</v>
      </c>
      <c r="C28" s="36" t="s">
        <v>23</v>
      </c>
      <c r="D28" s="37" t="s">
        <v>14</v>
      </c>
      <c r="E28" s="37" t="s">
        <v>15</v>
      </c>
      <c r="F28" s="37" t="s">
        <v>27</v>
      </c>
      <c r="G28" s="34" t="s">
        <v>102</v>
      </c>
      <c r="H28" s="34" t="s">
        <v>124</v>
      </c>
      <c r="I28" s="34" t="s">
        <v>125</v>
      </c>
      <c r="J28" s="34"/>
      <c r="K28" s="44">
        <v>46128</v>
      </c>
      <c r="L28" s="37" t="s">
        <v>32</v>
      </c>
      <c r="M28" s="34"/>
      <c r="N28" s="34" t="s">
        <v>126</v>
      </c>
    </row>
    <row r="29" spans="1:14" ht="60.75">
      <c r="A29" s="38">
        <f t="shared" ref="A29:A36" si="0">ROW()-1</f>
        <v>28</v>
      </c>
      <c r="B29" s="36">
        <v>46115</v>
      </c>
      <c r="C29" s="36" t="s">
        <v>23</v>
      </c>
      <c r="D29" s="37" t="s">
        <v>14</v>
      </c>
      <c r="E29" s="37" t="s">
        <v>15</v>
      </c>
      <c r="F29" s="37" t="s">
        <v>16</v>
      </c>
      <c r="G29" s="34" t="s">
        <v>102</v>
      </c>
      <c r="H29" s="34" t="s">
        <v>127</v>
      </c>
      <c r="I29" s="34" t="s">
        <v>128</v>
      </c>
      <c r="J29" s="34"/>
      <c r="K29" s="44"/>
      <c r="L29" s="37"/>
      <c r="M29" s="34"/>
      <c r="N29" s="34" t="s">
        <v>129</v>
      </c>
    </row>
    <row r="30" spans="1:14" ht="167.25">
      <c r="A30" s="38">
        <f t="shared" si="0"/>
        <v>29</v>
      </c>
      <c r="B30" s="36">
        <v>46115</v>
      </c>
      <c r="C30" s="36" t="s">
        <v>23</v>
      </c>
      <c r="D30" s="37" t="s">
        <v>34</v>
      </c>
      <c r="E30" s="37" t="s">
        <v>15</v>
      </c>
      <c r="F30" s="37" t="s">
        <v>27</v>
      </c>
      <c r="G30" s="34" t="s">
        <v>44</v>
      </c>
      <c r="H30" s="34" t="s">
        <v>130</v>
      </c>
      <c r="I30" s="34"/>
      <c r="J30" s="34" t="s">
        <v>131</v>
      </c>
      <c r="K30" s="44">
        <v>46128</v>
      </c>
      <c r="L30" s="37" t="s">
        <v>63</v>
      </c>
      <c r="M30" s="69" t="s">
        <v>132</v>
      </c>
      <c r="N30" s="34" t="s">
        <v>133</v>
      </c>
    </row>
    <row r="31" spans="1:14" ht="106.5">
      <c r="A31" s="38">
        <f t="shared" si="0"/>
        <v>30</v>
      </c>
      <c r="B31" s="36">
        <v>46115</v>
      </c>
      <c r="C31" s="36" t="s">
        <v>23</v>
      </c>
      <c r="D31" s="37" t="s">
        <v>34</v>
      </c>
      <c r="E31" s="37" t="s">
        <v>134</v>
      </c>
      <c r="F31" s="37" t="s">
        <v>27</v>
      </c>
      <c r="G31" s="34" t="s">
        <v>135</v>
      </c>
      <c r="H31" s="34" t="s">
        <v>136</v>
      </c>
      <c r="I31" s="34" t="s">
        <v>137</v>
      </c>
      <c r="J31" s="34" t="s">
        <v>138</v>
      </c>
      <c r="K31" s="44">
        <v>46135</v>
      </c>
      <c r="L31" s="37" t="s">
        <v>63</v>
      </c>
      <c r="M31" s="69" t="s">
        <v>139</v>
      </c>
      <c r="N31" s="34" t="s">
        <v>140</v>
      </c>
    </row>
    <row r="32" spans="1:14" ht="60.75">
      <c r="A32" s="38">
        <f t="shared" si="0"/>
        <v>31</v>
      </c>
      <c r="B32" s="36">
        <v>46115</v>
      </c>
      <c r="C32" s="36" t="s">
        <v>23</v>
      </c>
      <c r="D32" s="37" t="s">
        <v>34</v>
      </c>
      <c r="E32" s="37" t="s">
        <v>15</v>
      </c>
      <c r="F32" s="37" t="s">
        <v>27</v>
      </c>
      <c r="G32" s="34" t="s">
        <v>44</v>
      </c>
      <c r="H32" s="34" t="s">
        <v>141</v>
      </c>
      <c r="I32" s="34" t="s">
        <v>142</v>
      </c>
      <c r="J32" s="34" t="s">
        <v>143</v>
      </c>
      <c r="K32" s="44">
        <v>46128</v>
      </c>
      <c r="L32" s="37" t="s">
        <v>32</v>
      </c>
      <c r="M32" s="34"/>
      <c r="N32" s="34" t="s">
        <v>144</v>
      </c>
    </row>
    <row r="33" spans="1:15" ht="137.25">
      <c r="A33" s="86">
        <f t="shared" si="0"/>
        <v>32</v>
      </c>
      <c r="B33" s="36">
        <v>46115</v>
      </c>
      <c r="C33" s="36" t="s">
        <v>23</v>
      </c>
      <c r="D33" s="37" t="s">
        <v>34</v>
      </c>
      <c r="E33" s="37" t="s">
        <v>55</v>
      </c>
      <c r="F33" s="37" t="s">
        <v>16</v>
      </c>
      <c r="G33" s="34" t="s">
        <v>44</v>
      </c>
      <c r="H33" s="34" t="s">
        <v>145</v>
      </c>
      <c r="I33" s="34" t="s">
        <v>146</v>
      </c>
      <c r="J33" s="34" t="s">
        <v>147</v>
      </c>
      <c r="K33" s="44"/>
      <c r="L33" s="37"/>
      <c r="M33" s="61" t="s">
        <v>148</v>
      </c>
      <c r="N33" s="34" t="s">
        <v>149</v>
      </c>
      <c r="O33" s="66"/>
    </row>
    <row r="34" spans="1:15" ht="60.75">
      <c r="A34" s="86">
        <f t="shared" si="0"/>
        <v>33</v>
      </c>
      <c r="B34" s="36">
        <v>46115</v>
      </c>
      <c r="C34" s="36" t="s">
        <v>23</v>
      </c>
      <c r="D34" s="37" t="s">
        <v>34</v>
      </c>
      <c r="E34" s="37" t="s">
        <v>134</v>
      </c>
      <c r="F34" s="37" t="s">
        <v>27</v>
      </c>
      <c r="G34" s="34" t="s">
        <v>44</v>
      </c>
      <c r="H34" s="34" t="s">
        <v>150</v>
      </c>
      <c r="I34" s="34" t="s">
        <v>151</v>
      </c>
      <c r="J34" s="34" t="s">
        <v>152</v>
      </c>
      <c r="K34" s="44">
        <v>46135</v>
      </c>
      <c r="L34" s="37" t="s">
        <v>32</v>
      </c>
      <c r="M34" s="69" t="s">
        <v>153</v>
      </c>
      <c r="N34" s="34" t="s">
        <v>154</v>
      </c>
      <c r="O34" s="66"/>
    </row>
    <row r="35" spans="1:15" ht="76.5">
      <c r="A35" s="86">
        <f t="shared" si="0"/>
        <v>34</v>
      </c>
      <c r="B35" s="36">
        <v>46115</v>
      </c>
      <c r="C35" s="36" t="s">
        <v>23</v>
      </c>
      <c r="D35" s="37" t="s">
        <v>34</v>
      </c>
      <c r="E35" s="37" t="s">
        <v>15</v>
      </c>
      <c r="F35" s="37" t="s">
        <v>27</v>
      </c>
      <c r="G35" s="34" t="s">
        <v>155</v>
      </c>
      <c r="H35" s="34" t="s">
        <v>156</v>
      </c>
      <c r="I35" s="34" t="s">
        <v>157</v>
      </c>
      <c r="J35" s="65" t="s">
        <v>158</v>
      </c>
      <c r="K35" s="44">
        <v>46128</v>
      </c>
      <c r="L35" s="37" t="s">
        <v>32</v>
      </c>
      <c r="M35" s="34"/>
      <c r="N35" s="34" t="s">
        <v>159</v>
      </c>
      <c r="O35" s="66"/>
    </row>
    <row r="36" spans="1:15" ht="106.5">
      <c r="A36" s="38">
        <f t="shared" si="0"/>
        <v>35</v>
      </c>
      <c r="B36" s="36">
        <v>46115</v>
      </c>
      <c r="C36" s="36" t="s">
        <v>23</v>
      </c>
      <c r="D36" s="37" t="s">
        <v>34</v>
      </c>
      <c r="E36" s="37" t="s">
        <v>15</v>
      </c>
      <c r="F36" s="37" t="s">
        <v>16</v>
      </c>
      <c r="G36" s="34" t="s">
        <v>155</v>
      </c>
      <c r="H36" s="34" t="s">
        <v>160</v>
      </c>
      <c r="I36" s="34" t="s">
        <v>161</v>
      </c>
      <c r="J36" s="34"/>
      <c r="K36" s="44"/>
      <c r="L36" s="37"/>
      <c r="M36" s="34"/>
      <c r="N36" s="34" t="s">
        <v>162</v>
      </c>
      <c r="O36" s="66"/>
    </row>
    <row r="37" spans="1:15" ht="91.5">
      <c r="A37" s="38">
        <f>ROW()-1</f>
        <v>36</v>
      </c>
      <c r="B37" s="85">
        <v>46118</v>
      </c>
      <c r="C37" s="36" t="s">
        <v>23</v>
      </c>
      <c r="D37" s="37" t="s">
        <v>14</v>
      </c>
      <c r="E37" s="37" t="s">
        <v>15</v>
      </c>
      <c r="F37" s="37" t="s">
        <v>27</v>
      </c>
      <c r="G37" s="34" t="s">
        <v>44</v>
      </c>
      <c r="H37" s="34" t="s">
        <v>163</v>
      </c>
      <c r="I37" s="34" t="s">
        <v>164</v>
      </c>
      <c r="J37" s="34" t="s">
        <v>165</v>
      </c>
      <c r="K37" s="44">
        <v>46128</v>
      </c>
      <c r="L37" s="37" t="s">
        <v>32</v>
      </c>
      <c r="M37" s="34"/>
      <c r="N37" s="34" t="s">
        <v>166</v>
      </c>
      <c r="O37" s="66"/>
    </row>
    <row r="38" spans="1:15" ht="76.5">
      <c r="A38" s="38">
        <f>ROW()-1</f>
        <v>37</v>
      </c>
      <c r="B38" s="85">
        <v>46128</v>
      </c>
      <c r="C38" s="36" t="s">
        <v>23</v>
      </c>
      <c r="D38" s="37" t="s">
        <v>34</v>
      </c>
      <c r="E38" s="37" t="s">
        <v>15</v>
      </c>
      <c r="F38" s="37" t="s">
        <v>16</v>
      </c>
      <c r="G38" s="34" t="s">
        <v>155</v>
      </c>
      <c r="H38" s="34"/>
      <c r="I38" s="34" t="s">
        <v>167</v>
      </c>
      <c r="J38" s="34"/>
      <c r="K38" s="44"/>
      <c r="L38" s="37"/>
      <c r="M38" s="34"/>
      <c r="N38" s="34" t="s">
        <v>168</v>
      </c>
      <c r="O38" s="66"/>
    </row>
    <row r="39" spans="1:15" ht="45.75">
      <c r="A39" s="38">
        <f>ROW()-1</f>
        <v>38</v>
      </c>
      <c r="B39" s="85">
        <v>46128</v>
      </c>
      <c r="C39" s="36" t="s">
        <v>23</v>
      </c>
      <c r="D39" s="37" t="s">
        <v>14</v>
      </c>
      <c r="E39" s="37" t="s">
        <v>15</v>
      </c>
      <c r="F39" s="37" t="s">
        <v>27</v>
      </c>
      <c r="G39" s="34" t="s">
        <v>169</v>
      </c>
      <c r="H39" s="34" t="s">
        <v>170</v>
      </c>
      <c r="I39" s="34" t="s">
        <v>171</v>
      </c>
      <c r="J39" s="34"/>
      <c r="K39" s="44">
        <v>46135</v>
      </c>
      <c r="L39" s="37" t="s">
        <v>32</v>
      </c>
      <c r="M39" s="34"/>
      <c r="N39" s="34" t="s">
        <v>172</v>
      </c>
      <c r="O39" s="66"/>
    </row>
    <row r="40" spans="1:15" ht="137.25">
      <c r="A40" s="38">
        <f>ROW()-1</f>
        <v>39</v>
      </c>
      <c r="B40" s="85">
        <v>46128</v>
      </c>
      <c r="C40" s="36" t="s">
        <v>13</v>
      </c>
      <c r="D40" s="37" t="s">
        <v>34</v>
      </c>
      <c r="E40" s="37" t="s">
        <v>15</v>
      </c>
      <c r="F40" s="37" t="s">
        <v>27</v>
      </c>
      <c r="G40" s="34" t="s">
        <v>155</v>
      </c>
      <c r="H40" s="34" t="s">
        <v>173</v>
      </c>
      <c r="I40" s="34" t="s">
        <v>174</v>
      </c>
      <c r="J40" s="34" t="s">
        <v>175</v>
      </c>
      <c r="K40" s="44">
        <v>46141</v>
      </c>
      <c r="L40" s="37" t="s">
        <v>32</v>
      </c>
      <c r="M40" s="69" t="s">
        <v>176</v>
      </c>
      <c r="N40" s="34" t="s">
        <v>177</v>
      </c>
      <c r="O40" s="66"/>
    </row>
    <row r="41" spans="1:15" ht="60.75">
      <c r="A41" s="38">
        <f>ROW()-1</f>
        <v>40</v>
      </c>
      <c r="B41" s="85">
        <v>46128</v>
      </c>
      <c r="C41" s="36" t="s">
        <v>23</v>
      </c>
      <c r="D41" s="37" t="s">
        <v>34</v>
      </c>
      <c r="E41" s="37" t="s">
        <v>15</v>
      </c>
      <c r="F41" s="37" t="s">
        <v>27</v>
      </c>
      <c r="G41" s="34" t="s">
        <v>178</v>
      </c>
      <c r="H41" s="34" t="s">
        <v>179</v>
      </c>
      <c r="I41" s="34" t="s">
        <v>180</v>
      </c>
      <c r="J41" s="34"/>
      <c r="K41" s="44">
        <v>46135</v>
      </c>
      <c r="L41" s="37" t="s">
        <v>32</v>
      </c>
      <c r="M41" s="34"/>
      <c r="N41" s="34" t="s">
        <v>181</v>
      </c>
      <c r="O41" s="66"/>
    </row>
    <row r="42" spans="1:15" ht="45.75">
      <c r="A42" s="38">
        <f>ROW()-1</f>
        <v>41</v>
      </c>
      <c r="B42" s="85">
        <v>46128</v>
      </c>
      <c r="C42" s="36" t="s">
        <v>23</v>
      </c>
      <c r="D42" s="37" t="s">
        <v>34</v>
      </c>
      <c r="E42" s="37" t="s">
        <v>134</v>
      </c>
      <c r="F42" s="37" t="s">
        <v>27</v>
      </c>
      <c r="G42" s="34" t="s">
        <v>182</v>
      </c>
      <c r="H42" s="34" t="s">
        <v>183</v>
      </c>
      <c r="I42" s="34" t="s">
        <v>184</v>
      </c>
      <c r="J42" s="34" t="s">
        <v>185</v>
      </c>
      <c r="K42" s="100">
        <v>46140</v>
      </c>
      <c r="L42" s="98" t="s">
        <v>32</v>
      </c>
      <c r="M42" s="69" t="s">
        <v>186</v>
      </c>
      <c r="N42" s="34" t="s">
        <v>187</v>
      </c>
      <c r="O42" s="66"/>
    </row>
    <row r="43" spans="1:15" ht="91.5">
      <c r="A43" s="95">
        <f>ROW()-1</f>
        <v>42</v>
      </c>
      <c r="B43" s="96">
        <v>46135</v>
      </c>
      <c r="C43" s="97" t="s">
        <v>23</v>
      </c>
      <c r="D43" s="98" t="s">
        <v>34</v>
      </c>
      <c r="E43" s="98" t="s">
        <v>15</v>
      </c>
      <c r="F43" s="98" t="s">
        <v>16</v>
      </c>
      <c r="G43" s="99" t="s">
        <v>188</v>
      </c>
      <c r="H43" s="99" t="s">
        <v>189</v>
      </c>
      <c r="I43" s="99" t="s">
        <v>190</v>
      </c>
      <c r="J43" s="99" t="s">
        <v>191</v>
      </c>
      <c r="K43" s="100"/>
      <c r="L43" s="98"/>
      <c r="M43" s="101" t="s">
        <v>192</v>
      </c>
      <c r="N43" s="99" t="s">
        <v>193</v>
      </c>
      <c r="O43" s="66"/>
    </row>
    <row r="44" spans="1:15" ht="30.75">
      <c r="A44" s="102">
        <f>ROW()-1</f>
        <v>43</v>
      </c>
      <c r="B44" s="103">
        <v>46139</v>
      </c>
      <c r="C44" s="102" t="s">
        <v>23</v>
      </c>
      <c r="D44" s="102" t="s">
        <v>14</v>
      </c>
      <c r="E44" s="102" t="s">
        <v>15</v>
      </c>
      <c r="F44" s="102" t="s">
        <v>27</v>
      </c>
      <c r="G44" s="104" t="s">
        <v>194</v>
      </c>
      <c r="H44" s="104" t="s">
        <v>195</v>
      </c>
      <c r="I44" s="104" t="s">
        <v>196</v>
      </c>
      <c r="J44" s="104" t="s">
        <v>197</v>
      </c>
      <c r="K44" s="105">
        <v>46140</v>
      </c>
      <c r="L44" s="104" t="s">
        <v>32</v>
      </c>
      <c r="M44" s="104"/>
      <c r="N44" s="104" t="s">
        <v>198</v>
      </c>
      <c r="O44" s="66"/>
    </row>
    <row r="45" spans="1:15" ht="60.75">
      <c r="A45" s="102">
        <f t="shared" ref="A45:A46" si="1">ROW()-1</f>
        <v>44</v>
      </c>
      <c r="B45" s="92">
        <v>46141</v>
      </c>
      <c r="C45" s="91" t="s">
        <v>23</v>
      </c>
      <c r="D45" s="91" t="s">
        <v>14</v>
      </c>
      <c r="E45" s="91" t="s">
        <v>15</v>
      </c>
      <c r="F45" s="91" t="s">
        <v>199</v>
      </c>
      <c r="G45" s="93" t="s">
        <v>200</v>
      </c>
      <c r="H45" s="93" t="s">
        <v>201</v>
      </c>
      <c r="I45" s="93" t="s">
        <v>202</v>
      </c>
      <c r="J45" s="93"/>
      <c r="K45" s="94">
        <v>46142</v>
      </c>
      <c r="L45" s="93" t="s">
        <v>32</v>
      </c>
      <c r="M45" s="93"/>
      <c r="N45" s="93" t="s">
        <v>203</v>
      </c>
      <c r="O45" s="66"/>
    </row>
    <row r="46" spans="1:15" ht="167.25">
      <c r="A46" s="102">
        <f t="shared" si="1"/>
        <v>45</v>
      </c>
      <c r="B46" s="103">
        <v>46141</v>
      </c>
      <c r="C46" s="102" t="s">
        <v>23</v>
      </c>
      <c r="D46" s="102" t="s">
        <v>14</v>
      </c>
      <c r="E46" s="102" t="s">
        <v>15</v>
      </c>
      <c r="F46" s="102" t="s">
        <v>199</v>
      </c>
      <c r="G46" s="104" t="s">
        <v>44</v>
      </c>
      <c r="H46" s="104" t="s">
        <v>204</v>
      </c>
      <c r="I46" s="104" t="s">
        <v>205</v>
      </c>
      <c r="J46" s="110" t="s">
        <v>206</v>
      </c>
      <c r="K46" s="105">
        <v>46142</v>
      </c>
      <c r="L46" s="104" t="s">
        <v>63</v>
      </c>
      <c r="M46" s="104" t="s">
        <v>207</v>
      </c>
      <c r="N46" s="104" t="s">
        <v>208</v>
      </c>
      <c r="O46" s="66"/>
    </row>
    <row r="47" spans="1:15" ht="45.75">
      <c r="A47" s="91">
        <v>46</v>
      </c>
      <c r="B47" s="92">
        <v>46153</v>
      </c>
      <c r="C47" s="91" t="s">
        <v>13</v>
      </c>
      <c r="D47" s="91" t="s">
        <v>34</v>
      </c>
      <c r="E47" s="91" t="s">
        <v>55</v>
      </c>
      <c r="F47" s="91" t="s">
        <v>27</v>
      </c>
      <c r="G47" s="93" t="s">
        <v>135</v>
      </c>
      <c r="H47" s="93" t="s">
        <v>209</v>
      </c>
      <c r="I47" s="93" t="s">
        <v>210</v>
      </c>
      <c r="J47" s="93"/>
      <c r="K47" s="94">
        <v>46156</v>
      </c>
      <c r="L47" s="93" t="s">
        <v>32</v>
      </c>
      <c r="M47" s="93"/>
      <c r="N47" s="93"/>
      <c r="O47" s="66"/>
    </row>
    <row r="48" spans="1:15">
      <c r="A48" s="66"/>
      <c r="B48" s="66"/>
      <c r="C48" s="66"/>
      <c r="D48" s="66"/>
      <c r="E48" s="66"/>
      <c r="F48" s="66"/>
      <c r="G48" s="67"/>
      <c r="H48" s="67"/>
      <c r="I48" s="67"/>
      <c r="J48" s="67"/>
      <c r="K48" s="68"/>
      <c r="L48" s="67"/>
      <c r="M48" s="67"/>
      <c r="N48" s="67"/>
      <c r="O48" s="66"/>
    </row>
    <row r="49" spans="1:14">
      <c r="A49" s="66"/>
      <c r="B49" s="66"/>
      <c r="C49" s="66"/>
      <c r="D49" s="66"/>
      <c r="E49" s="66"/>
      <c r="F49" s="66"/>
      <c r="G49" s="67"/>
      <c r="H49" s="67"/>
      <c r="I49" s="67"/>
      <c r="J49" s="67"/>
      <c r="K49" s="68"/>
      <c r="L49" s="67"/>
      <c r="M49" s="67"/>
      <c r="N49" s="67"/>
    </row>
    <row r="50" spans="1:14">
      <c r="A50" s="66"/>
      <c r="B50" s="66"/>
      <c r="C50" s="66"/>
      <c r="D50" s="66"/>
      <c r="E50" s="66"/>
      <c r="F50" s="66"/>
      <c r="G50" s="67"/>
      <c r="H50" s="67"/>
      <c r="I50" s="67"/>
      <c r="J50" s="67"/>
      <c r="K50" s="68"/>
      <c r="L50" s="67"/>
      <c r="M50" s="67"/>
      <c r="N50" s="67"/>
    </row>
    <row r="51" spans="1:14">
      <c r="A51" s="66"/>
      <c r="B51" s="66"/>
      <c r="C51" s="66"/>
      <c r="D51" s="66"/>
      <c r="E51" s="66"/>
      <c r="F51" s="66"/>
      <c r="G51" s="67"/>
      <c r="H51" s="67"/>
      <c r="I51" s="67"/>
      <c r="J51" s="67"/>
      <c r="K51" s="68"/>
      <c r="L51" s="67"/>
      <c r="M51" s="67"/>
      <c r="N51" s="67"/>
    </row>
    <row r="52" spans="1:14">
      <c r="A52" s="66"/>
      <c r="B52" s="66"/>
      <c r="C52" s="66"/>
      <c r="D52" s="66"/>
      <c r="E52" s="66"/>
      <c r="F52" s="66"/>
      <c r="G52" s="67"/>
      <c r="H52" s="67"/>
      <c r="I52" s="67"/>
      <c r="J52" s="67"/>
      <c r="K52" s="68"/>
      <c r="L52" s="67"/>
      <c r="M52" s="67"/>
      <c r="N52" s="67"/>
    </row>
  </sheetData>
  <autoFilter ref="A1:N46" xr:uid="{AC2894D6-04F1-40B9-AE17-FEC113C806B4}"/>
  <conditionalFormatting sqref="F1:F1048576">
    <cfRule type="containsText" dxfId="7" priority="4" operator="containsText" text="Resolved">
      <formula>NOT(ISERROR(SEARCH("Resolved",F1)))</formula>
    </cfRule>
  </conditionalFormatting>
  <conditionalFormatting sqref="F2:F1048576">
    <cfRule type="containsText" dxfId="6" priority="1" operator="containsText" text="No Action">
      <formula>NOT(ISERROR(SEARCH("No Action",F2)))</formula>
    </cfRule>
    <cfRule type="containsText" dxfId="5" priority="2" operator="containsText" text="New">
      <formula>NOT(ISERROR(SEARCH("New",F2)))</formula>
    </cfRule>
    <cfRule type="containsText" dxfId="4" priority="3" operator="containsText" text="Retest In Progress">
      <formula>NOT(ISERROR(SEARCH("Retest In Progress",F2)))</formula>
    </cfRule>
    <cfRule type="containsText" dxfId="3" priority="5" operator="containsText" text="Return to Dev">
      <formula>NOT(ISERROR(SEARCH("Return to Dev",F2)))</formula>
    </cfRule>
  </conditionalFormatting>
  <conditionalFormatting sqref="L2:L1048576">
    <cfRule type="containsText" dxfId="2" priority="10" operator="containsText" text="Pass with Comments">
      <formula>NOT(ISERROR(SEARCH("Pass with Comments",L2)))</formula>
    </cfRule>
    <cfRule type="containsText" dxfId="1" priority="11" operator="containsText" text="Fail">
      <formula>NOT(ISERROR(SEARCH("Fail",L2)))</formula>
    </cfRule>
    <cfRule type="containsText" dxfId="0" priority="12" operator="containsText" text="Pass">
      <formula>NOT(ISERROR(SEARCH("Pass",L2)))</formula>
    </cfRule>
  </conditionalFormatting>
  <dataValidations count="1">
    <dataValidation type="list" allowBlank="1" showInputMessage="1" showErrorMessage="1" sqref="C2:C43" xr:uid="{A0E44C65-F303-4B81-90E6-640E3027D3BB}">
      <formula1>"Both,Web Only,PB Only"</formula1>
    </dataValidation>
  </dataValidations>
  <hyperlinks>
    <hyperlink ref="H4" location="Sheet1!A1" display="Row Height" xr:uid="{77982D8A-CE6C-43E0-984E-D6D4F5E69D4B}"/>
  </hyperlink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L2:L43</xm:sqref>
        </x14:dataValidation>
        <x14:dataValidation type="list" allowBlank="1" showInputMessage="1" showErrorMessage="1" xr:uid="{3906557F-AEE2-41CE-81DC-5F122F965822}">
          <x14:formula1>
            <xm:f>Sheet2!$H$1:$H$2</xm:f>
          </x14:formula1>
          <xm:sqref>D2:D43</xm:sqref>
        </x14:dataValidation>
        <x14:dataValidation type="list" allowBlank="1" showInputMessage="1" showErrorMessage="1" xr:uid="{13D3BE25-BF98-4733-B1E7-AA4DB88ADC41}">
          <x14:formula1>
            <xm:f>Sheet2!$C$2:$C$6</xm:f>
          </x14:formula1>
          <xm:sqref>F2:F1048576</xm:sqref>
        </x14:dataValidation>
        <x14:dataValidation type="list" allowBlank="1" showInputMessage="1" showErrorMessage="1" xr:uid="{E7C9154B-8A5C-4F27-AF31-58E8AF26A163}">
          <x14:formula1>
            <xm:f>Sheet2!$F$1:$F$3</xm:f>
          </x14:formula1>
          <xm:sqref>E2:E1048576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05EAF-8606-44AC-A1E5-248BC65EEAFD}">
  <dimension ref="A1:Q104"/>
  <sheetViews>
    <sheetView topLeftCell="C90" workbookViewId="0">
      <selection activeCell="C67" sqref="C67"/>
    </sheetView>
  </sheetViews>
  <sheetFormatPr defaultRowHeight="15.75"/>
  <cols>
    <col min="1" max="1" width="21.85546875" style="19" bestFit="1" customWidth="1"/>
    <col min="2" max="2" width="17.7109375" style="19" bestFit="1" customWidth="1"/>
    <col min="3" max="3" width="14.85546875" style="19" bestFit="1" customWidth="1"/>
    <col min="4" max="4" width="17.7109375" style="19" customWidth="1"/>
    <col min="5" max="5" width="9.7109375" style="19" bestFit="1" customWidth="1"/>
    <col min="6" max="6" width="9.28515625" style="19" bestFit="1" customWidth="1"/>
    <col min="7" max="10" width="11.42578125" style="19" bestFit="1" customWidth="1"/>
    <col min="11" max="11" width="14" style="19" customWidth="1"/>
    <col min="12" max="16384" width="9.140625" style="19"/>
  </cols>
  <sheetData>
    <row r="1" spans="1:16" hidden="1">
      <c r="C1" s="20" t="s">
        <v>211</v>
      </c>
      <c r="D1" s="20" t="s">
        <v>212</v>
      </c>
    </row>
    <row r="2" spans="1:16">
      <c r="A2" s="17" t="s">
        <v>213</v>
      </c>
      <c r="B2" s="27" t="s">
        <v>214</v>
      </c>
      <c r="C2" s="29" t="s">
        <v>215</v>
      </c>
      <c r="D2" s="21" t="s">
        <v>199</v>
      </c>
      <c r="E2" s="21" t="s">
        <v>216</v>
      </c>
    </row>
    <row r="3" spans="1:16">
      <c r="A3" s="18">
        <v>1</v>
      </c>
      <c r="B3" s="28">
        <v>0.33333333333333331</v>
      </c>
      <c r="C3" s="30">
        <v>46051</v>
      </c>
      <c r="D3" s="24">
        <v>25</v>
      </c>
      <c r="E3" s="24">
        <v>25</v>
      </c>
      <c r="G3" s="20" t="s">
        <v>215</v>
      </c>
      <c r="H3" s="19" t="s">
        <v>217</v>
      </c>
      <c r="J3" s="20" t="s">
        <v>215</v>
      </c>
      <c r="K3" s="19" t="s">
        <v>218</v>
      </c>
    </row>
    <row r="4" spans="1:16">
      <c r="C4" s="31" t="s">
        <v>34</v>
      </c>
      <c r="D4" s="22">
        <v>16</v>
      </c>
      <c r="E4" s="22">
        <v>16</v>
      </c>
      <c r="G4" s="25" t="s">
        <v>55</v>
      </c>
      <c r="H4" s="26">
        <v>12</v>
      </c>
      <c r="J4" s="25" t="s">
        <v>199</v>
      </c>
      <c r="K4" s="26">
        <v>25</v>
      </c>
    </row>
    <row r="5" spans="1:16">
      <c r="C5" s="32" t="s">
        <v>55</v>
      </c>
      <c r="D5" s="22">
        <v>11</v>
      </c>
      <c r="E5" s="22">
        <v>11</v>
      </c>
      <c r="G5" s="25" t="s">
        <v>15</v>
      </c>
      <c r="H5" s="26">
        <v>13</v>
      </c>
      <c r="J5" s="25" t="s">
        <v>216</v>
      </c>
      <c r="K5" s="26">
        <v>25</v>
      </c>
    </row>
    <row r="6" spans="1:16">
      <c r="C6" s="32" t="s">
        <v>15</v>
      </c>
      <c r="D6" s="22">
        <v>5</v>
      </c>
      <c r="E6" s="22">
        <v>5</v>
      </c>
      <c r="G6" s="25" t="s">
        <v>216</v>
      </c>
      <c r="H6" s="26">
        <v>25</v>
      </c>
    </row>
    <row r="7" spans="1:16">
      <c r="C7" s="31" t="s">
        <v>14</v>
      </c>
      <c r="D7" s="22">
        <v>9</v>
      </c>
      <c r="E7" s="22">
        <v>9</v>
      </c>
    </row>
    <row r="8" spans="1:16">
      <c r="C8" s="32" t="s">
        <v>55</v>
      </c>
      <c r="D8" s="22">
        <v>1</v>
      </c>
      <c r="E8" s="22">
        <v>1</v>
      </c>
    </row>
    <row r="9" spans="1:16">
      <c r="C9" s="32" t="s">
        <v>15</v>
      </c>
      <c r="D9" s="22">
        <v>8</v>
      </c>
      <c r="E9" s="22">
        <v>8</v>
      </c>
    </row>
    <row r="10" spans="1:16">
      <c r="C10" s="23" t="s">
        <v>216</v>
      </c>
      <c r="D10" s="22">
        <v>25</v>
      </c>
      <c r="E10" s="22">
        <v>25</v>
      </c>
    </row>
    <row r="11" spans="1:16" hidden="1">
      <c r="C11"/>
      <c r="D11"/>
      <c r="E11"/>
      <c r="F11"/>
      <c r="G11"/>
      <c r="H11"/>
      <c r="I11"/>
    </row>
    <row r="12" spans="1:16" hidden="1">
      <c r="C12"/>
      <c r="D12"/>
      <c r="E12"/>
      <c r="F12"/>
      <c r="G12"/>
      <c r="H12"/>
      <c r="I12"/>
    </row>
    <row r="13" spans="1:16" hidden="1">
      <c r="C13"/>
      <c r="D13"/>
      <c r="E13"/>
      <c r="F13"/>
      <c r="G13"/>
      <c r="H13"/>
      <c r="I13"/>
    </row>
    <row r="14" spans="1:16" hidden="1">
      <c r="C14"/>
      <c r="D14"/>
      <c r="E14"/>
      <c r="F14"/>
      <c r="G14"/>
      <c r="H14"/>
      <c r="I14"/>
      <c r="J14"/>
      <c r="K14"/>
    </row>
    <row r="15" spans="1:16" hidden="1">
      <c r="C15" s="71" t="s">
        <v>211</v>
      </c>
      <c r="D15" s="71" t="s">
        <v>212</v>
      </c>
      <c r="E15"/>
      <c r="F15"/>
      <c r="G15"/>
      <c r="H15"/>
      <c r="I15"/>
      <c r="J15"/>
      <c r="K15"/>
    </row>
    <row r="16" spans="1:16">
      <c r="C16" s="72" t="s">
        <v>215</v>
      </c>
      <c r="D16" s="73" t="s">
        <v>199</v>
      </c>
      <c r="E16" s="73" t="s">
        <v>16</v>
      </c>
      <c r="F16" s="73" t="s">
        <v>27</v>
      </c>
      <c r="G16" s="73" t="s">
        <v>219</v>
      </c>
      <c r="H16" s="73" t="s">
        <v>216</v>
      </c>
      <c r="I16"/>
      <c r="J16" s="78" t="s">
        <v>215</v>
      </c>
      <c r="K16" s="78" t="s">
        <v>218</v>
      </c>
      <c r="M16"/>
      <c r="N16"/>
      <c r="O16"/>
      <c r="P16"/>
    </row>
    <row r="17" spans="1:17">
      <c r="A17" s="18">
        <v>2</v>
      </c>
      <c r="B17" s="28">
        <v>0.3125</v>
      </c>
      <c r="C17" s="74">
        <v>46051</v>
      </c>
      <c r="D17" s="75"/>
      <c r="E17" s="75"/>
      <c r="F17" s="75"/>
      <c r="G17" s="75"/>
      <c r="H17" s="75"/>
      <c r="I17"/>
      <c r="J17" s="80" t="s">
        <v>199</v>
      </c>
      <c r="K17" s="81">
        <v>9</v>
      </c>
      <c r="L17"/>
      <c r="M17"/>
      <c r="N17"/>
      <c r="O17"/>
      <c r="P17"/>
      <c r="Q17"/>
    </row>
    <row r="18" spans="1:17">
      <c r="C18" s="76" t="s">
        <v>34</v>
      </c>
      <c r="D18" s="75"/>
      <c r="E18" s="75"/>
      <c r="F18" s="75"/>
      <c r="G18" s="75"/>
      <c r="H18" s="75"/>
      <c r="I18"/>
      <c r="J18" s="73" t="s">
        <v>16</v>
      </c>
      <c r="K18" s="73">
        <v>2</v>
      </c>
      <c r="L18"/>
      <c r="M18"/>
      <c r="N18"/>
      <c r="O18"/>
      <c r="P18"/>
      <c r="Q18"/>
    </row>
    <row r="19" spans="1:17">
      <c r="C19" s="84" t="s">
        <v>55</v>
      </c>
      <c r="D19" s="83">
        <v>1</v>
      </c>
      <c r="E19" s="83"/>
      <c r="F19" s="83">
        <v>8</v>
      </c>
      <c r="G19" s="83">
        <v>2</v>
      </c>
      <c r="H19" s="83">
        <v>11</v>
      </c>
      <c r="I19"/>
      <c r="J19" s="73" t="s">
        <v>27</v>
      </c>
      <c r="K19" s="73">
        <v>16</v>
      </c>
      <c r="L19"/>
      <c r="M19"/>
      <c r="N19"/>
      <c r="O19"/>
      <c r="P19"/>
      <c r="Q19"/>
    </row>
    <row r="20" spans="1:17">
      <c r="C20" s="84" t="s">
        <v>15</v>
      </c>
      <c r="D20" s="83"/>
      <c r="E20" s="83"/>
      <c r="F20" s="83">
        <v>2</v>
      </c>
      <c r="G20" s="83">
        <v>3</v>
      </c>
      <c r="H20" s="83">
        <v>5</v>
      </c>
      <c r="I20"/>
      <c r="J20" s="73" t="s">
        <v>219</v>
      </c>
      <c r="K20" s="73">
        <v>6</v>
      </c>
      <c r="L20"/>
      <c r="M20"/>
      <c r="N20"/>
      <c r="O20"/>
      <c r="P20"/>
      <c r="Q20"/>
    </row>
    <row r="21" spans="1:17">
      <c r="C21" s="76" t="s">
        <v>14</v>
      </c>
      <c r="D21" s="75"/>
      <c r="E21" s="75"/>
      <c r="F21" s="75"/>
      <c r="G21" s="75"/>
      <c r="H21" s="75"/>
      <c r="I21"/>
      <c r="J21" s="79" t="s">
        <v>216</v>
      </c>
      <c r="K21" s="82">
        <v>33</v>
      </c>
      <c r="M21"/>
      <c r="N21"/>
      <c r="O21"/>
      <c r="P21"/>
    </row>
    <row r="22" spans="1:17">
      <c r="C22" s="77" t="s">
        <v>55</v>
      </c>
      <c r="D22" s="75"/>
      <c r="E22" s="83"/>
      <c r="F22" s="83">
        <v>1</v>
      </c>
      <c r="G22" s="83"/>
      <c r="H22" s="83">
        <v>1</v>
      </c>
      <c r="I22"/>
      <c r="J22"/>
      <c r="K22"/>
      <c r="M22"/>
      <c r="N22"/>
      <c r="O22"/>
      <c r="P22"/>
    </row>
    <row r="23" spans="1:17">
      <c r="C23" s="77" t="s">
        <v>15</v>
      </c>
      <c r="D23" s="75"/>
      <c r="E23" s="83">
        <v>2</v>
      </c>
      <c r="F23" s="83">
        <v>5</v>
      </c>
      <c r="G23" s="83">
        <v>1</v>
      </c>
      <c r="H23" s="83">
        <v>8</v>
      </c>
      <c r="I23"/>
      <c r="J23"/>
      <c r="K23"/>
      <c r="M23"/>
      <c r="N23"/>
      <c r="O23"/>
      <c r="P23"/>
    </row>
    <row r="24" spans="1:17">
      <c r="C24" s="74">
        <v>46115</v>
      </c>
      <c r="D24" s="75"/>
      <c r="E24" s="75"/>
      <c r="F24" s="75"/>
      <c r="G24" s="75"/>
      <c r="H24" s="75"/>
      <c r="I24"/>
      <c r="J24"/>
      <c r="K24"/>
      <c r="M24"/>
      <c r="N24"/>
      <c r="O24"/>
      <c r="P24"/>
    </row>
    <row r="25" spans="1:17">
      <c r="C25" s="76" t="s">
        <v>34</v>
      </c>
      <c r="D25" s="75"/>
      <c r="E25" s="75"/>
      <c r="F25" s="75"/>
      <c r="G25" s="75"/>
      <c r="H25" s="75"/>
      <c r="I25"/>
      <c r="J25"/>
      <c r="K25"/>
      <c r="M25"/>
      <c r="N25"/>
      <c r="O25"/>
      <c r="P25"/>
    </row>
    <row r="26" spans="1:17">
      <c r="C26" s="77" t="s">
        <v>55</v>
      </c>
      <c r="D26" s="75">
        <v>1</v>
      </c>
      <c r="E26" s="75"/>
      <c r="F26" s="75"/>
      <c r="G26" s="75"/>
      <c r="H26" s="75">
        <v>1</v>
      </c>
      <c r="I26"/>
      <c r="J26"/>
      <c r="K26"/>
      <c r="M26"/>
      <c r="N26"/>
      <c r="O26"/>
      <c r="P26"/>
    </row>
    <row r="27" spans="1:17">
      <c r="C27" s="77" t="s">
        <v>15</v>
      </c>
      <c r="D27" s="75">
        <v>3</v>
      </c>
      <c r="E27" s="75"/>
      <c r="F27" s="75"/>
      <c r="G27" s="75"/>
      <c r="H27" s="75">
        <v>3</v>
      </c>
      <c r="I27"/>
      <c r="J27"/>
      <c r="K27"/>
      <c r="M27"/>
      <c r="N27"/>
      <c r="O27"/>
      <c r="P27"/>
    </row>
    <row r="28" spans="1:17">
      <c r="C28" s="77" t="s">
        <v>134</v>
      </c>
      <c r="D28" s="75">
        <v>2</v>
      </c>
      <c r="E28" s="75"/>
      <c r="F28" s="75"/>
      <c r="G28" s="75"/>
      <c r="H28" s="75">
        <v>2</v>
      </c>
      <c r="I28"/>
      <c r="J28"/>
      <c r="K28"/>
      <c r="M28"/>
      <c r="N28"/>
      <c r="O28"/>
      <c r="P28"/>
    </row>
    <row r="29" spans="1:17">
      <c r="C29" s="76" t="s">
        <v>14</v>
      </c>
      <c r="D29" s="75"/>
      <c r="E29" s="75"/>
      <c r="F29" s="75"/>
      <c r="G29" s="75"/>
      <c r="H29" s="75"/>
      <c r="I29"/>
      <c r="J29"/>
      <c r="K29"/>
    </row>
    <row r="30" spans="1:17">
      <c r="C30" s="77" t="s">
        <v>15</v>
      </c>
      <c r="D30" s="75">
        <v>2</v>
      </c>
      <c r="E30" s="75"/>
      <c r="F30" s="75"/>
      <c r="G30" s="75"/>
      <c r="H30" s="75">
        <v>2</v>
      </c>
      <c r="I30"/>
      <c r="J30"/>
      <c r="K30"/>
    </row>
    <row r="31" spans="1:17">
      <c r="C31" s="74" t="s">
        <v>216</v>
      </c>
      <c r="D31" s="75">
        <v>9</v>
      </c>
      <c r="E31" s="75">
        <v>2</v>
      </c>
      <c r="F31" s="75">
        <v>16</v>
      </c>
      <c r="G31" s="75">
        <v>6</v>
      </c>
      <c r="H31" s="75">
        <v>33</v>
      </c>
      <c r="I31"/>
      <c r="J31"/>
      <c r="K31"/>
    </row>
    <row r="32" spans="1:17" hidden="1">
      <c r="C32" s="71" t="s">
        <v>218</v>
      </c>
      <c r="D32" s="71" t="s">
        <v>212</v>
      </c>
      <c r="E32"/>
      <c r="F32"/>
      <c r="G32"/>
      <c r="H32"/>
      <c r="I32"/>
    </row>
    <row r="33" spans="1:11">
      <c r="C33" s="72" t="s">
        <v>215</v>
      </c>
      <c r="D33" s="73" t="s">
        <v>199</v>
      </c>
      <c r="E33" s="73" t="s">
        <v>16</v>
      </c>
      <c r="F33" s="73" t="s">
        <v>27</v>
      </c>
      <c r="G33" s="73" t="s">
        <v>219</v>
      </c>
      <c r="H33" s="73" t="s">
        <v>216</v>
      </c>
      <c r="I33"/>
      <c r="J33" s="78" t="s">
        <v>215</v>
      </c>
      <c r="K33" s="78" t="s">
        <v>218</v>
      </c>
    </row>
    <row r="34" spans="1:11">
      <c r="A34" s="18">
        <v>3</v>
      </c>
      <c r="B34" s="28">
        <v>0.25</v>
      </c>
      <c r="C34" s="88">
        <v>46051</v>
      </c>
      <c r="D34" s="75"/>
      <c r="E34" s="75">
        <v>4</v>
      </c>
      <c r="F34" s="75">
        <v>21</v>
      </c>
      <c r="G34" s="75"/>
      <c r="H34" s="75">
        <v>25</v>
      </c>
      <c r="I34"/>
      <c r="J34" s="80" t="s">
        <v>199</v>
      </c>
      <c r="K34" s="81">
        <v>5</v>
      </c>
    </row>
    <row r="35" spans="1:11">
      <c r="C35" s="76" t="s">
        <v>34</v>
      </c>
      <c r="D35" s="75"/>
      <c r="E35" s="75"/>
      <c r="F35" s="75"/>
      <c r="G35" s="75"/>
      <c r="H35" s="75"/>
      <c r="I35"/>
      <c r="J35" s="73" t="s">
        <v>16</v>
      </c>
      <c r="K35" s="73">
        <v>6</v>
      </c>
    </row>
    <row r="36" spans="1:11">
      <c r="C36" s="77" t="s">
        <v>55</v>
      </c>
      <c r="D36" s="75"/>
      <c r="E36" s="75">
        <v>1</v>
      </c>
      <c r="F36" s="75">
        <v>10</v>
      </c>
      <c r="G36" s="75"/>
      <c r="H36" s="75">
        <v>11</v>
      </c>
      <c r="I36"/>
      <c r="J36" s="73" t="s">
        <v>27</v>
      </c>
      <c r="K36" s="73">
        <v>27</v>
      </c>
    </row>
    <row r="37" spans="1:11">
      <c r="C37" s="77" t="s">
        <v>15</v>
      </c>
      <c r="D37" s="75"/>
      <c r="E37" s="75">
        <v>1</v>
      </c>
      <c r="F37" s="75">
        <v>4</v>
      </c>
      <c r="G37" s="75"/>
      <c r="H37" s="75">
        <v>5</v>
      </c>
      <c r="I37"/>
      <c r="J37" s="73" t="s">
        <v>219</v>
      </c>
      <c r="K37" s="73">
        <v>3</v>
      </c>
    </row>
    <row r="38" spans="1:11">
      <c r="C38" s="76" t="s">
        <v>14</v>
      </c>
      <c r="D38" s="75"/>
      <c r="E38" s="75"/>
      <c r="F38" s="75"/>
      <c r="G38" s="75"/>
      <c r="H38" s="75"/>
      <c r="I38"/>
      <c r="J38" s="79" t="s">
        <v>216</v>
      </c>
      <c r="K38" s="82">
        <v>33</v>
      </c>
    </row>
    <row r="39" spans="1:11">
      <c r="C39" s="77" t="s">
        <v>55</v>
      </c>
      <c r="D39" s="75"/>
      <c r="E39" s="75"/>
      <c r="F39" s="75">
        <v>1</v>
      </c>
      <c r="G39" s="75"/>
      <c r="H39" s="75">
        <v>1</v>
      </c>
      <c r="I39"/>
    </row>
    <row r="40" spans="1:11">
      <c r="C40" s="77" t="s">
        <v>15</v>
      </c>
      <c r="D40" s="75"/>
      <c r="E40" s="75">
        <v>2</v>
      </c>
      <c r="F40" s="75">
        <v>6</v>
      </c>
      <c r="G40" s="75"/>
      <c r="H40" s="75">
        <v>8</v>
      </c>
      <c r="I40"/>
    </row>
    <row r="41" spans="1:11">
      <c r="C41" s="88">
        <v>46115</v>
      </c>
      <c r="D41" s="75"/>
      <c r="E41" s="75">
        <v>2</v>
      </c>
      <c r="F41" s="75">
        <v>5</v>
      </c>
      <c r="G41" s="75">
        <v>3</v>
      </c>
      <c r="H41" s="75">
        <v>10</v>
      </c>
      <c r="I41"/>
    </row>
    <row r="42" spans="1:11">
      <c r="C42" s="76" t="s">
        <v>34</v>
      </c>
      <c r="D42" s="75"/>
      <c r="E42" s="75"/>
      <c r="F42" s="75"/>
      <c r="G42" s="75"/>
      <c r="H42" s="75"/>
      <c r="I42"/>
    </row>
    <row r="43" spans="1:11">
      <c r="C43" s="77" t="s">
        <v>55</v>
      </c>
      <c r="D43" s="75"/>
      <c r="E43" s="75"/>
      <c r="F43" s="75"/>
      <c r="G43" s="75">
        <v>1</v>
      </c>
      <c r="H43" s="75">
        <v>1</v>
      </c>
      <c r="I43"/>
    </row>
    <row r="44" spans="1:11">
      <c r="C44" s="77" t="s">
        <v>15</v>
      </c>
      <c r="D44" s="75"/>
      <c r="E44" s="75">
        <v>1</v>
      </c>
      <c r="F44" s="75">
        <v>4</v>
      </c>
      <c r="G44" s="75"/>
      <c r="H44" s="75">
        <v>5</v>
      </c>
      <c r="I44"/>
    </row>
    <row r="45" spans="1:11">
      <c r="C45" s="77" t="s">
        <v>134</v>
      </c>
      <c r="D45" s="75"/>
      <c r="E45" s="75"/>
      <c r="F45" s="75"/>
      <c r="G45" s="75">
        <v>2</v>
      </c>
      <c r="H45" s="75">
        <v>2</v>
      </c>
      <c r="I45"/>
    </row>
    <row r="46" spans="1:11">
      <c r="C46" s="76" t="s">
        <v>14</v>
      </c>
      <c r="D46" s="75"/>
      <c r="E46" s="75"/>
      <c r="F46" s="75"/>
      <c r="G46" s="75"/>
      <c r="H46" s="75"/>
      <c r="I46"/>
    </row>
    <row r="47" spans="1:11">
      <c r="C47" s="77" t="s">
        <v>15</v>
      </c>
      <c r="D47" s="75"/>
      <c r="E47" s="75">
        <v>1</v>
      </c>
      <c r="F47" s="75">
        <v>1</v>
      </c>
      <c r="G47" s="75"/>
      <c r="H47" s="75">
        <v>2</v>
      </c>
      <c r="I47"/>
    </row>
    <row r="48" spans="1:11">
      <c r="C48" s="88">
        <v>46118</v>
      </c>
      <c r="D48" s="75"/>
      <c r="E48" s="75"/>
      <c r="F48" s="75">
        <v>1</v>
      </c>
      <c r="G48" s="75"/>
      <c r="H48" s="75">
        <v>1</v>
      </c>
      <c r="I48"/>
    </row>
    <row r="49" spans="1:10">
      <c r="C49" s="76" t="s">
        <v>14</v>
      </c>
      <c r="D49" s="75"/>
      <c r="E49" s="75"/>
      <c r="F49" s="75"/>
      <c r="G49" s="75"/>
      <c r="H49" s="75"/>
      <c r="I49"/>
    </row>
    <row r="50" spans="1:10">
      <c r="C50" s="77" t="s">
        <v>15</v>
      </c>
      <c r="D50" s="75"/>
      <c r="E50" s="75"/>
      <c r="F50" s="75">
        <v>1</v>
      </c>
      <c r="G50" s="75"/>
      <c r="H50" s="75">
        <v>1</v>
      </c>
      <c r="I50"/>
    </row>
    <row r="51" spans="1:10">
      <c r="C51" s="88">
        <v>46128</v>
      </c>
      <c r="D51" s="75">
        <v>5</v>
      </c>
      <c r="E51" s="75"/>
      <c r="F51" s="75"/>
      <c r="G51" s="75"/>
      <c r="H51" s="75">
        <v>5</v>
      </c>
      <c r="I51"/>
    </row>
    <row r="52" spans="1:10">
      <c r="C52" s="76" t="s">
        <v>34</v>
      </c>
      <c r="D52" s="75"/>
      <c r="E52" s="75"/>
      <c r="F52" s="75"/>
      <c r="G52" s="75"/>
      <c r="H52" s="75"/>
      <c r="I52"/>
    </row>
    <row r="53" spans="1:10">
      <c r="C53" s="77" t="s">
        <v>15</v>
      </c>
      <c r="D53" s="75">
        <v>3</v>
      </c>
      <c r="E53" s="75"/>
      <c r="F53" s="75"/>
      <c r="G53" s="75"/>
      <c r="H53" s="75">
        <v>3</v>
      </c>
      <c r="I53"/>
    </row>
    <row r="54" spans="1:10">
      <c r="C54" s="77" t="s">
        <v>134</v>
      </c>
      <c r="D54" s="75">
        <v>1</v>
      </c>
      <c r="E54" s="75"/>
      <c r="F54" s="75"/>
      <c r="G54" s="75"/>
      <c r="H54" s="75">
        <v>1</v>
      </c>
      <c r="I54"/>
    </row>
    <row r="55" spans="1:10">
      <c r="C55" s="76" t="s">
        <v>14</v>
      </c>
      <c r="D55" s="75"/>
      <c r="E55" s="75"/>
      <c r="F55" s="75"/>
      <c r="G55" s="75"/>
      <c r="H55" s="75"/>
      <c r="I55"/>
    </row>
    <row r="56" spans="1:10">
      <c r="C56" s="77" t="s">
        <v>15</v>
      </c>
      <c r="D56" s="75">
        <v>1</v>
      </c>
      <c r="E56" s="75"/>
      <c r="F56" s="75"/>
      <c r="G56" s="75"/>
      <c r="H56" s="75">
        <v>1</v>
      </c>
      <c r="I56"/>
    </row>
    <row r="57" spans="1:10">
      <c r="C57" s="108" t="s">
        <v>216</v>
      </c>
      <c r="D57" s="109">
        <v>5</v>
      </c>
      <c r="E57" s="109">
        <v>6</v>
      </c>
      <c r="F57" s="109">
        <v>27</v>
      </c>
      <c r="G57" s="109">
        <v>3</v>
      </c>
      <c r="H57" s="109">
        <v>41</v>
      </c>
      <c r="I57"/>
    </row>
    <row r="58" spans="1:10">
      <c r="C58" s="72" t="s">
        <v>218</v>
      </c>
      <c r="D58" s="72" t="s">
        <v>212</v>
      </c>
      <c r="E58" s="73"/>
      <c r="F58" s="73"/>
      <c r="G58" s="73"/>
      <c r="H58" s="73"/>
      <c r="I58"/>
      <c r="J58"/>
    </row>
    <row r="59" spans="1:10">
      <c r="A59" s="18">
        <v>4</v>
      </c>
      <c r="B59" s="28">
        <v>0.16666666666666666</v>
      </c>
      <c r="C59" s="72" t="s">
        <v>215</v>
      </c>
      <c r="D59" s="73" t="s">
        <v>199</v>
      </c>
      <c r="E59" s="73" t="s">
        <v>16</v>
      </c>
      <c r="F59" s="73" t="s">
        <v>27</v>
      </c>
      <c r="G59" s="73" t="s">
        <v>219</v>
      </c>
      <c r="H59" s="73" t="s">
        <v>216</v>
      </c>
      <c r="I59"/>
      <c r="J59"/>
    </row>
    <row r="60" spans="1:10">
      <c r="C60" s="88">
        <v>46051</v>
      </c>
      <c r="D60" s="75"/>
      <c r="E60" s="75">
        <v>4</v>
      </c>
      <c r="F60" s="75">
        <v>21</v>
      </c>
      <c r="G60" s="75"/>
      <c r="H60" s="75">
        <v>25</v>
      </c>
      <c r="I60"/>
      <c r="J60"/>
    </row>
    <row r="61" spans="1:10">
      <c r="C61" s="76" t="s">
        <v>34</v>
      </c>
      <c r="D61" s="75"/>
      <c r="E61" s="75"/>
      <c r="F61" s="75"/>
      <c r="G61" s="75"/>
      <c r="H61" s="75"/>
      <c r="I61"/>
      <c r="J61"/>
    </row>
    <row r="62" spans="1:10">
      <c r="C62" s="77" t="s">
        <v>55</v>
      </c>
      <c r="D62" s="75"/>
      <c r="E62" s="75">
        <v>1</v>
      </c>
      <c r="F62" s="75">
        <v>10</v>
      </c>
      <c r="G62" s="75"/>
      <c r="H62" s="75">
        <v>11</v>
      </c>
      <c r="I62"/>
      <c r="J62"/>
    </row>
    <row r="63" spans="1:10">
      <c r="C63" s="77" t="s">
        <v>15</v>
      </c>
      <c r="D63" s="75"/>
      <c r="E63" s="75">
        <v>1</v>
      </c>
      <c r="F63" s="75">
        <v>4</v>
      </c>
      <c r="G63" s="75"/>
      <c r="H63" s="75">
        <v>5</v>
      </c>
      <c r="I63"/>
      <c r="J63"/>
    </row>
    <row r="64" spans="1:10">
      <c r="C64" s="76" t="s">
        <v>14</v>
      </c>
      <c r="D64" s="75"/>
      <c r="E64" s="75"/>
      <c r="F64" s="75"/>
      <c r="G64" s="75"/>
      <c r="H64" s="75"/>
      <c r="I64"/>
      <c r="J64"/>
    </row>
    <row r="65" spans="3:10">
      <c r="C65" s="77" t="s">
        <v>55</v>
      </c>
      <c r="D65" s="75"/>
      <c r="E65" s="75"/>
      <c r="F65" s="75">
        <v>1</v>
      </c>
      <c r="G65" s="75"/>
      <c r="H65" s="75">
        <v>1</v>
      </c>
      <c r="I65"/>
      <c r="J65"/>
    </row>
    <row r="66" spans="3:10">
      <c r="C66" s="77" t="s">
        <v>15</v>
      </c>
      <c r="D66" s="75"/>
      <c r="E66" s="75">
        <v>2</v>
      </c>
      <c r="F66" s="75">
        <v>6</v>
      </c>
      <c r="G66" s="75"/>
      <c r="H66" s="75">
        <v>8</v>
      </c>
      <c r="I66"/>
      <c r="J66"/>
    </row>
    <row r="67" spans="3:10">
      <c r="C67" s="88">
        <v>46115</v>
      </c>
      <c r="D67" s="75"/>
      <c r="E67" s="75">
        <v>2</v>
      </c>
      <c r="F67" s="75">
        <v>7</v>
      </c>
      <c r="G67" s="75">
        <v>1</v>
      </c>
      <c r="H67" s="75">
        <v>10</v>
      </c>
      <c r="I67"/>
      <c r="J67"/>
    </row>
    <row r="68" spans="3:10">
      <c r="C68" s="76" t="s">
        <v>34</v>
      </c>
      <c r="D68" s="75"/>
      <c r="E68" s="75"/>
      <c r="F68" s="75"/>
      <c r="G68" s="75"/>
      <c r="H68" s="75"/>
      <c r="I68"/>
      <c r="J68"/>
    </row>
    <row r="69" spans="3:10">
      <c r="C69" s="77" t="s">
        <v>55</v>
      </c>
      <c r="D69" s="75"/>
      <c r="E69" s="75"/>
      <c r="F69" s="75"/>
      <c r="G69" s="75">
        <v>1</v>
      </c>
      <c r="H69" s="75">
        <v>1</v>
      </c>
      <c r="I69"/>
      <c r="J69"/>
    </row>
    <row r="70" spans="3:10">
      <c r="C70" s="77" t="s">
        <v>15</v>
      </c>
      <c r="D70" s="75"/>
      <c r="E70" s="75">
        <v>1</v>
      </c>
      <c r="F70" s="75">
        <v>4</v>
      </c>
      <c r="G70" s="75"/>
      <c r="H70" s="75">
        <v>5</v>
      </c>
      <c r="I70"/>
      <c r="J70"/>
    </row>
    <row r="71" spans="3:10">
      <c r="C71" s="77" t="s">
        <v>134</v>
      </c>
      <c r="D71" s="75"/>
      <c r="E71" s="75"/>
      <c r="F71" s="75">
        <v>2</v>
      </c>
      <c r="G71" s="75"/>
      <c r="H71" s="75">
        <v>2</v>
      </c>
      <c r="I71"/>
      <c r="J71"/>
    </row>
    <row r="72" spans="3:10">
      <c r="C72" s="76" t="s">
        <v>14</v>
      </c>
      <c r="D72" s="75"/>
      <c r="E72" s="75"/>
      <c r="F72" s="75"/>
      <c r="G72" s="75"/>
      <c r="H72" s="75"/>
      <c r="I72"/>
      <c r="J72"/>
    </row>
    <row r="73" spans="3:10">
      <c r="C73" s="77" t="s">
        <v>15</v>
      </c>
      <c r="D73" s="75"/>
      <c r="E73" s="75">
        <v>1</v>
      </c>
      <c r="F73" s="75">
        <v>1</v>
      </c>
      <c r="G73" s="75"/>
      <c r="H73" s="75">
        <v>2</v>
      </c>
      <c r="I73"/>
      <c r="J73"/>
    </row>
    <row r="74" spans="3:10">
      <c r="C74" s="88">
        <v>46118</v>
      </c>
      <c r="D74" s="75"/>
      <c r="E74" s="75"/>
      <c r="F74" s="75">
        <v>1</v>
      </c>
      <c r="G74" s="75"/>
      <c r="H74" s="75">
        <v>1</v>
      </c>
      <c r="I74"/>
      <c r="J74"/>
    </row>
    <row r="75" spans="3:10">
      <c r="C75" s="76" t="s">
        <v>14</v>
      </c>
      <c r="D75" s="75"/>
      <c r="E75" s="75"/>
      <c r="F75" s="75"/>
      <c r="G75" s="75"/>
      <c r="H75" s="75"/>
      <c r="I75"/>
      <c r="J75"/>
    </row>
    <row r="76" spans="3:10">
      <c r="C76" s="77" t="s">
        <v>15</v>
      </c>
      <c r="D76" s="75"/>
      <c r="E76" s="75"/>
      <c r="F76" s="75">
        <v>1</v>
      </c>
      <c r="G76" s="75"/>
      <c r="H76" s="75">
        <v>1</v>
      </c>
      <c r="I76"/>
      <c r="J76"/>
    </row>
    <row r="77" spans="3:10">
      <c r="C77" s="88">
        <v>46128</v>
      </c>
      <c r="D77" s="75"/>
      <c r="E77" s="75">
        <v>1</v>
      </c>
      <c r="F77" s="75">
        <v>2</v>
      </c>
      <c r="G77" s="75">
        <v>2</v>
      </c>
      <c r="H77" s="75">
        <v>5</v>
      </c>
      <c r="I77"/>
      <c r="J77"/>
    </row>
    <row r="78" spans="3:10">
      <c r="C78" s="76" t="s">
        <v>34</v>
      </c>
      <c r="D78" s="75"/>
      <c r="E78" s="75"/>
      <c r="F78" s="75"/>
      <c r="G78" s="75"/>
      <c r="H78" s="75"/>
      <c r="I78"/>
      <c r="J78"/>
    </row>
    <row r="79" spans="3:10">
      <c r="C79" s="77" t="s">
        <v>15</v>
      </c>
      <c r="D79" s="75"/>
      <c r="E79" s="75">
        <v>1</v>
      </c>
      <c r="F79" s="75">
        <v>1</v>
      </c>
      <c r="G79" s="75">
        <v>1</v>
      </c>
      <c r="H79" s="75">
        <v>3</v>
      </c>
      <c r="I79"/>
      <c r="J79"/>
    </row>
    <row r="80" spans="3:10">
      <c r="C80" s="77" t="s">
        <v>134</v>
      </c>
      <c r="D80" s="75"/>
      <c r="E80" s="75"/>
      <c r="F80" s="75"/>
      <c r="G80" s="75">
        <v>1</v>
      </c>
      <c r="H80" s="75">
        <v>1</v>
      </c>
      <c r="I80"/>
      <c r="J80"/>
    </row>
    <row r="81" spans="1:10">
      <c r="C81" s="76" t="s">
        <v>14</v>
      </c>
      <c r="D81" s="75"/>
      <c r="E81" s="75"/>
      <c r="F81" s="75"/>
      <c r="G81" s="75"/>
      <c r="H81" s="75"/>
      <c r="I81"/>
      <c r="J81"/>
    </row>
    <row r="82" spans="1:10">
      <c r="C82" s="77" t="s">
        <v>15</v>
      </c>
      <c r="D82" s="75"/>
      <c r="E82" s="75"/>
      <c r="F82" s="75">
        <v>1</v>
      </c>
      <c r="G82" s="75"/>
      <c r="H82" s="75">
        <v>1</v>
      </c>
      <c r="I82"/>
      <c r="J82"/>
    </row>
    <row r="83" spans="1:10">
      <c r="C83" s="88">
        <v>46135</v>
      </c>
      <c r="D83" s="75">
        <v>1</v>
      </c>
      <c r="E83" s="75"/>
      <c r="F83" s="75"/>
      <c r="G83" s="75"/>
      <c r="H83" s="75">
        <v>1</v>
      </c>
      <c r="I83"/>
      <c r="J83"/>
    </row>
    <row r="84" spans="1:10">
      <c r="C84" s="76" t="s">
        <v>34</v>
      </c>
      <c r="D84" s="75"/>
      <c r="E84" s="75"/>
      <c r="F84" s="75"/>
      <c r="G84" s="75"/>
      <c r="H84" s="75"/>
      <c r="I84"/>
      <c r="J84"/>
    </row>
    <row r="85" spans="1:10">
      <c r="C85" s="77" t="s">
        <v>134</v>
      </c>
      <c r="D85" s="75">
        <v>1</v>
      </c>
      <c r="E85" s="75"/>
      <c r="F85" s="75"/>
      <c r="G85" s="75"/>
      <c r="H85" s="75">
        <v>1</v>
      </c>
      <c r="I85"/>
      <c r="J85"/>
    </row>
    <row r="86" spans="1:10">
      <c r="C86" s="108" t="s">
        <v>216</v>
      </c>
      <c r="D86" s="109">
        <v>1</v>
      </c>
      <c r="E86" s="109">
        <v>7</v>
      </c>
      <c r="F86" s="109">
        <v>31</v>
      </c>
      <c r="G86" s="109">
        <v>3</v>
      </c>
      <c r="H86" s="75">
        <v>42</v>
      </c>
      <c r="I86"/>
      <c r="J86"/>
    </row>
    <row r="87" spans="1:10">
      <c r="C87" s="72" t="s">
        <v>218</v>
      </c>
      <c r="D87" s="72" t="s">
        <v>212</v>
      </c>
      <c r="E87" s="73"/>
      <c r="F87" s="73"/>
      <c r="G87" s="73"/>
      <c r="H87"/>
    </row>
    <row r="88" spans="1:10">
      <c r="A88" s="106">
        <v>5</v>
      </c>
      <c r="B88" s="107">
        <v>0.125</v>
      </c>
      <c r="C88" s="72" t="s">
        <v>215</v>
      </c>
      <c r="D88" s="73" t="s">
        <v>199</v>
      </c>
      <c r="E88" s="73" t="s">
        <v>16</v>
      </c>
      <c r="F88" s="73" t="s">
        <v>27</v>
      </c>
      <c r="G88" s="73" t="s">
        <v>216</v>
      </c>
      <c r="H88"/>
    </row>
    <row r="89" spans="1:10">
      <c r="C89" s="89" t="s">
        <v>34</v>
      </c>
      <c r="D89" s="75"/>
      <c r="E89" s="75"/>
      <c r="F89" s="75"/>
      <c r="G89" s="75"/>
      <c r="H89"/>
    </row>
    <row r="90" spans="1:10">
      <c r="C90" s="76" t="s">
        <v>55</v>
      </c>
      <c r="D90" s="75"/>
      <c r="E90" s="75">
        <v>2</v>
      </c>
      <c r="F90" s="75">
        <v>10</v>
      </c>
      <c r="G90" s="75">
        <v>12</v>
      </c>
      <c r="H90"/>
    </row>
    <row r="91" spans="1:10">
      <c r="C91" s="76" t="s">
        <v>15</v>
      </c>
      <c r="D91" s="75"/>
      <c r="E91" s="75">
        <v>4</v>
      </c>
      <c r="F91" s="75">
        <v>10</v>
      </c>
      <c r="G91" s="75">
        <v>14</v>
      </c>
      <c r="H91"/>
    </row>
    <row r="92" spans="1:10">
      <c r="C92" s="76" t="s">
        <v>134</v>
      </c>
      <c r="D92" s="75"/>
      <c r="E92" s="75"/>
      <c r="F92" s="75">
        <v>3</v>
      </c>
      <c r="G92" s="75">
        <v>3</v>
      </c>
      <c r="H92"/>
    </row>
    <row r="93" spans="1:10">
      <c r="C93" s="89" t="s">
        <v>14</v>
      </c>
      <c r="D93" s="75"/>
      <c r="E93" s="75"/>
      <c r="F93" s="75"/>
      <c r="G93" s="75"/>
      <c r="H93"/>
    </row>
    <row r="94" spans="1:10">
      <c r="C94" s="76" t="s">
        <v>55</v>
      </c>
      <c r="D94" s="75"/>
      <c r="E94" s="75"/>
      <c r="F94" s="75">
        <v>1</v>
      </c>
      <c r="G94" s="75">
        <v>1</v>
      </c>
      <c r="H94"/>
    </row>
    <row r="95" spans="1:10">
      <c r="C95" s="76" t="s">
        <v>15</v>
      </c>
      <c r="D95" s="75">
        <v>2</v>
      </c>
      <c r="E95" s="75">
        <v>3</v>
      </c>
      <c r="F95" s="75">
        <v>10</v>
      </c>
      <c r="G95" s="75">
        <v>15</v>
      </c>
      <c r="H95"/>
    </row>
    <row r="96" spans="1:10">
      <c r="C96" s="89" t="s">
        <v>216</v>
      </c>
      <c r="D96" s="75">
        <v>2</v>
      </c>
      <c r="E96" s="75">
        <v>9</v>
      </c>
      <c r="F96" s="75">
        <v>34</v>
      </c>
      <c r="G96" s="75">
        <v>45</v>
      </c>
      <c r="H96"/>
    </row>
    <row r="97" spans="3:5">
      <c r="C97"/>
      <c r="D97"/>
      <c r="E97"/>
    </row>
    <row r="98" spans="3:5">
      <c r="C98"/>
      <c r="D98"/>
      <c r="E98"/>
    </row>
    <row r="99" spans="3:5">
      <c r="C99"/>
      <c r="D99"/>
      <c r="E99"/>
    </row>
    <row r="100" spans="3:5">
      <c r="C100"/>
      <c r="D100"/>
      <c r="E100"/>
    </row>
    <row r="101" spans="3:5">
      <c r="C101"/>
      <c r="D101"/>
      <c r="E101"/>
    </row>
    <row r="102" spans="3:5">
      <c r="C102"/>
      <c r="D102"/>
      <c r="E102"/>
    </row>
    <row r="103" spans="3:5">
      <c r="C103"/>
      <c r="D103"/>
      <c r="E103"/>
    </row>
    <row r="104" spans="3:5">
      <c r="C104"/>
      <c r="D104"/>
      <c r="E10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DBDE-58F4-439A-9B78-0D1104914108}">
  <dimension ref="A1:T55"/>
  <sheetViews>
    <sheetView showGridLines="0" topLeftCell="A56" zoomScaleNormal="100" workbookViewId="0">
      <selection activeCell="L58" sqref="L58"/>
    </sheetView>
  </sheetViews>
  <sheetFormatPr defaultRowHeight="15"/>
  <cols>
    <col min="1" max="1" width="3.28515625" style="14" bestFit="1" customWidth="1"/>
    <col min="2" max="16384" width="9.140625" style="14"/>
  </cols>
  <sheetData>
    <row r="1" spans="1:20">
      <c r="A1" s="13" t="s">
        <v>0</v>
      </c>
      <c r="B1" s="46" t="s">
        <v>220</v>
      </c>
      <c r="C1" s="47"/>
      <c r="D1" s="47"/>
      <c r="E1" s="47"/>
      <c r="F1" s="47"/>
      <c r="G1" s="47"/>
      <c r="H1" s="47"/>
      <c r="I1" s="47"/>
      <c r="J1" s="47"/>
      <c r="K1" s="47"/>
      <c r="L1" s="47"/>
      <c r="M1" s="47"/>
      <c r="N1" s="47"/>
      <c r="O1" s="47"/>
      <c r="P1" s="47"/>
      <c r="Q1" s="47"/>
      <c r="R1" s="47"/>
      <c r="S1" s="47"/>
      <c r="T1" s="48"/>
    </row>
    <row r="2" spans="1:20">
      <c r="A2" s="15">
        <v>1</v>
      </c>
      <c r="B2" s="49"/>
      <c r="C2" s="49"/>
      <c r="D2" s="49"/>
      <c r="E2" s="49"/>
      <c r="F2" s="49"/>
      <c r="G2" s="49"/>
      <c r="H2" s="49"/>
      <c r="I2" s="49"/>
      <c r="J2" s="49"/>
      <c r="K2" s="49"/>
      <c r="L2" s="49"/>
      <c r="M2" s="49"/>
      <c r="N2" s="49"/>
      <c r="O2" s="49"/>
      <c r="P2" s="49"/>
      <c r="Q2" s="49"/>
      <c r="R2" s="49"/>
      <c r="S2" s="49"/>
      <c r="T2" s="50"/>
    </row>
    <row r="3" spans="1:20">
      <c r="A3" s="51"/>
      <c r="B3" s="52"/>
      <c r="C3" s="52"/>
      <c r="D3" s="52"/>
      <c r="E3" s="52"/>
      <c r="F3" s="52"/>
      <c r="G3" s="52"/>
      <c r="H3" s="52"/>
      <c r="I3" s="52"/>
      <c r="J3" s="52"/>
      <c r="K3" s="52"/>
      <c r="L3" s="52"/>
      <c r="M3" s="52"/>
      <c r="N3" s="52"/>
      <c r="O3" s="52"/>
      <c r="P3" s="52"/>
      <c r="Q3" s="52"/>
      <c r="R3" s="52"/>
      <c r="S3" s="52"/>
      <c r="T3" s="53"/>
    </row>
    <row r="4" spans="1:20">
      <c r="A4" s="54"/>
      <c r="B4" s="55"/>
      <c r="C4" s="55"/>
      <c r="D4" s="55"/>
      <c r="E4" s="55"/>
      <c r="F4" s="55"/>
      <c r="G4" s="55"/>
      <c r="H4" s="55"/>
      <c r="I4" s="55"/>
      <c r="J4" s="55"/>
      <c r="K4" s="55"/>
      <c r="L4" s="55"/>
      <c r="M4" s="55"/>
      <c r="N4" s="55"/>
      <c r="O4" s="55"/>
      <c r="P4" s="55"/>
      <c r="Q4" s="55"/>
      <c r="R4" s="55"/>
      <c r="S4" s="55"/>
      <c r="T4" s="56"/>
    </row>
    <row r="5" spans="1:20">
      <c r="A5" s="16">
        <v>7</v>
      </c>
      <c r="B5" s="57"/>
      <c r="C5" s="49"/>
      <c r="D5" s="49"/>
      <c r="E5" s="49"/>
      <c r="F5" s="49"/>
      <c r="G5" s="49"/>
      <c r="H5" s="49"/>
      <c r="I5" s="49"/>
      <c r="J5" s="49"/>
      <c r="K5" s="49"/>
      <c r="L5" s="49"/>
      <c r="M5" s="49"/>
      <c r="N5" s="49"/>
      <c r="O5" s="49"/>
      <c r="P5" s="49"/>
      <c r="Q5" s="49"/>
      <c r="R5" s="49"/>
      <c r="S5" s="49"/>
      <c r="T5" s="50"/>
    </row>
    <row r="6" spans="1:20">
      <c r="A6" s="51"/>
      <c r="B6" s="58"/>
      <c r="C6" s="52"/>
      <c r="D6" s="52"/>
      <c r="E6" s="52"/>
      <c r="F6" s="52"/>
      <c r="G6" s="52"/>
      <c r="H6" s="52"/>
      <c r="I6" s="52"/>
      <c r="J6" s="52"/>
      <c r="K6" s="52"/>
      <c r="L6" s="52"/>
      <c r="M6" s="52"/>
      <c r="N6" s="52"/>
      <c r="O6" s="52"/>
      <c r="P6" s="52"/>
      <c r="Q6" s="52"/>
      <c r="R6" s="52"/>
      <c r="S6" s="52"/>
      <c r="T6" s="53"/>
    </row>
    <row r="7" spans="1:20">
      <c r="A7" s="51"/>
      <c r="B7" s="58"/>
      <c r="C7" s="52"/>
      <c r="D7" s="52"/>
      <c r="E7" s="52"/>
      <c r="F7" s="52"/>
      <c r="G7" s="52"/>
      <c r="H7" s="52"/>
      <c r="I7" s="52"/>
      <c r="J7" s="52"/>
      <c r="K7" s="52"/>
      <c r="L7" s="52"/>
      <c r="M7" s="52"/>
      <c r="N7" s="52"/>
      <c r="O7" s="52"/>
      <c r="P7" s="52"/>
      <c r="Q7" s="52"/>
      <c r="R7" s="52"/>
      <c r="S7" s="52"/>
      <c r="T7" s="53"/>
    </row>
    <row r="8" spans="1:20">
      <c r="A8" s="16"/>
      <c r="B8" s="58"/>
      <c r="C8" s="52"/>
      <c r="D8" s="52"/>
      <c r="E8" s="52"/>
      <c r="F8" s="52"/>
      <c r="G8" s="52"/>
      <c r="H8" s="52"/>
      <c r="I8" s="52"/>
      <c r="J8" s="52"/>
      <c r="K8" s="52"/>
      <c r="L8" s="52"/>
      <c r="M8" s="52"/>
      <c r="N8" s="52"/>
      <c r="O8" s="52"/>
      <c r="P8" s="52"/>
      <c r="Q8" s="52"/>
      <c r="R8" s="52"/>
      <c r="S8" s="52"/>
      <c r="T8" s="53"/>
    </row>
    <row r="9" spans="1:20">
      <c r="A9" s="51"/>
      <c r="B9" s="58"/>
      <c r="C9" s="52"/>
      <c r="D9" s="52"/>
      <c r="E9" s="52"/>
      <c r="F9" s="52"/>
      <c r="G9" s="52"/>
      <c r="H9" s="52"/>
      <c r="I9" s="52"/>
      <c r="J9" s="52"/>
      <c r="K9" s="52"/>
      <c r="L9" s="52"/>
      <c r="M9" s="52"/>
      <c r="N9" s="52"/>
      <c r="O9" s="52"/>
      <c r="P9" s="52"/>
      <c r="Q9" s="52"/>
      <c r="R9" s="52"/>
      <c r="S9" s="52"/>
      <c r="T9" s="53"/>
    </row>
    <row r="10" spans="1:20">
      <c r="A10" s="51"/>
      <c r="B10" s="58"/>
      <c r="C10" s="52"/>
      <c r="D10" s="52"/>
      <c r="E10" s="52"/>
      <c r="F10" s="52"/>
      <c r="G10" s="52"/>
      <c r="H10" s="52"/>
      <c r="I10" s="52"/>
      <c r="J10" s="52"/>
      <c r="K10" s="52"/>
      <c r="L10" s="52"/>
      <c r="M10" s="52"/>
      <c r="N10" s="52"/>
      <c r="O10" s="52"/>
      <c r="P10" s="52"/>
      <c r="Q10" s="52"/>
      <c r="R10" s="52"/>
      <c r="S10" s="52"/>
      <c r="T10" s="53"/>
    </row>
    <row r="11" spans="1:20">
      <c r="A11" s="51"/>
      <c r="B11" s="58"/>
      <c r="C11" s="52"/>
      <c r="D11" s="52"/>
      <c r="E11" s="52"/>
      <c r="F11" s="52"/>
      <c r="G11" s="52"/>
      <c r="H11" s="52"/>
      <c r="I11" s="52"/>
      <c r="J11" s="52"/>
      <c r="K11" s="52"/>
      <c r="L11" s="52"/>
      <c r="M11" s="52"/>
      <c r="N11" s="52"/>
      <c r="O11" s="52"/>
      <c r="P11" s="52"/>
      <c r="Q11" s="52"/>
      <c r="R11" s="52"/>
      <c r="S11" s="52"/>
      <c r="T11" s="53"/>
    </row>
    <row r="12" spans="1:20">
      <c r="A12" s="51"/>
      <c r="B12" s="58"/>
      <c r="C12" s="52"/>
      <c r="D12" s="52"/>
      <c r="E12" s="52"/>
      <c r="F12" s="52"/>
      <c r="G12" s="52"/>
      <c r="H12" s="52"/>
      <c r="I12" s="52"/>
      <c r="J12" s="52"/>
      <c r="K12" s="52"/>
      <c r="L12" s="52"/>
      <c r="M12" s="52"/>
      <c r="N12" s="52"/>
      <c r="O12" s="52"/>
      <c r="P12" s="52"/>
      <c r="Q12" s="52"/>
      <c r="R12" s="52"/>
      <c r="S12" s="52"/>
      <c r="T12" s="53"/>
    </row>
    <row r="13" spans="1:20">
      <c r="A13" s="51"/>
      <c r="B13" s="58"/>
      <c r="C13" s="52"/>
      <c r="D13" s="52"/>
      <c r="E13" s="52"/>
      <c r="F13" s="52"/>
      <c r="G13" s="52"/>
      <c r="H13" s="52"/>
      <c r="I13" s="52"/>
      <c r="J13" s="52"/>
      <c r="K13" s="52"/>
      <c r="L13" s="52"/>
      <c r="M13" s="52"/>
      <c r="N13" s="52"/>
      <c r="O13" s="52"/>
      <c r="P13" s="52"/>
      <c r="Q13" s="52"/>
      <c r="R13" s="52"/>
      <c r="S13" s="52"/>
      <c r="T13" s="53"/>
    </row>
    <row r="14" spans="1:20">
      <c r="A14" s="51"/>
      <c r="B14" s="58"/>
      <c r="C14" s="52"/>
      <c r="D14" s="52"/>
      <c r="E14" s="52"/>
      <c r="F14" s="52"/>
      <c r="G14" s="52"/>
      <c r="H14" s="52"/>
      <c r="I14" s="52"/>
      <c r="J14" s="52"/>
      <c r="K14" s="52"/>
      <c r="L14" s="52"/>
      <c r="M14" s="52"/>
      <c r="N14" s="52"/>
      <c r="O14" s="52"/>
      <c r="P14" s="52"/>
      <c r="Q14" s="52"/>
      <c r="R14" s="52"/>
      <c r="S14" s="52"/>
      <c r="T14" s="53"/>
    </row>
    <row r="15" spans="1:20">
      <c r="A15" s="51"/>
      <c r="B15" s="58"/>
      <c r="C15" s="52"/>
      <c r="D15" s="52"/>
      <c r="E15" s="52"/>
      <c r="F15" s="52"/>
      <c r="G15" s="52"/>
      <c r="H15" s="52"/>
      <c r="I15" s="52"/>
      <c r="J15" s="52"/>
      <c r="K15" s="52"/>
      <c r="L15" s="52"/>
      <c r="M15" s="52"/>
      <c r="N15" s="52"/>
      <c r="O15" s="52"/>
      <c r="P15" s="52"/>
      <c r="Q15" s="52"/>
      <c r="R15" s="52"/>
      <c r="S15" s="52"/>
      <c r="T15" s="53"/>
    </row>
    <row r="16" spans="1:20">
      <c r="A16" s="51"/>
      <c r="B16" s="58"/>
      <c r="C16" s="52"/>
      <c r="D16" s="52"/>
      <c r="E16" s="52"/>
      <c r="F16" s="52"/>
      <c r="G16" s="52"/>
      <c r="H16" s="52"/>
      <c r="I16" s="52"/>
      <c r="J16" s="52"/>
      <c r="K16" s="52"/>
      <c r="L16" s="52"/>
      <c r="M16" s="52"/>
      <c r="N16" s="52"/>
      <c r="O16" s="52"/>
      <c r="P16" s="52"/>
      <c r="Q16" s="52"/>
      <c r="R16" s="52"/>
      <c r="S16" s="52"/>
      <c r="T16" s="53"/>
    </row>
    <row r="17" spans="1:20">
      <c r="A17" s="51"/>
      <c r="B17" s="58"/>
      <c r="C17" s="52"/>
      <c r="D17" s="52"/>
      <c r="E17" s="52"/>
      <c r="F17" s="52"/>
      <c r="G17" s="52"/>
      <c r="H17" s="52"/>
      <c r="I17" s="52"/>
      <c r="J17" s="52"/>
      <c r="K17" s="52"/>
      <c r="L17" s="52"/>
      <c r="M17" s="52"/>
      <c r="N17" s="52"/>
      <c r="O17" s="52"/>
      <c r="P17" s="52"/>
      <c r="Q17" s="52"/>
      <c r="R17" s="52"/>
      <c r="S17" s="52"/>
      <c r="T17" s="53"/>
    </row>
    <row r="18" spans="1:20">
      <c r="A18" s="54"/>
      <c r="B18" s="59"/>
      <c r="C18" s="55"/>
      <c r="D18" s="55"/>
      <c r="E18" s="55"/>
      <c r="F18" s="55"/>
      <c r="G18" s="55"/>
      <c r="H18" s="55"/>
      <c r="I18" s="55"/>
      <c r="J18" s="55"/>
      <c r="K18" s="55"/>
      <c r="L18" s="55"/>
      <c r="M18" s="55"/>
      <c r="N18" s="55"/>
      <c r="O18" s="55"/>
      <c r="P18" s="55"/>
      <c r="Q18" s="55"/>
      <c r="R18" s="55"/>
      <c r="S18" s="55"/>
      <c r="T18" s="56"/>
    </row>
    <row r="19" spans="1:20">
      <c r="A19" s="52">
        <v>31</v>
      </c>
      <c r="B19" s="60"/>
      <c r="C19" s="60"/>
      <c r="D19" s="60"/>
      <c r="E19" s="60"/>
      <c r="F19" s="60"/>
      <c r="G19" s="60"/>
      <c r="H19" s="60"/>
      <c r="I19" s="60"/>
      <c r="J19" s="60"/>
      <c r="K19" s="60"/>
      <c r="L19" s="60"/>
      <c r="M19" s="60"/>
      <c r="N19" s="60"/>
      <c r="O19" s="60"/>
      <c r="P19" s="60"/>
      <c r="Q19" s="60"/>
      <c r="R19" s="60"/>
      <c r="S19" s="60"/>
      <c r="T19" s="60"/>
    </row>
    <row r="20" spans="1:20">
      <c r="A20" s="52"/>
      <c r="B20" s="60"/>
      <c r="C20" s="60"/>
      <c r="D20" s="60"/>
      <c r="E20" s="60"/>
      <c r="F20" s="60"/>
      <c r="G20" s="60"/>
      <c r="H20" s="60"/>
      <c r="I20" s="60"/>
      <c r="J20" s="60"/>
      <c r="K20" s="60"/>
      <c r="L20" s="60"/>
      <c r="M20" s="60"/>
      <c r="N20" s="60"/>
      <c r="O20" s="60"/>
      <c r="P20" s="60"/>
      <c r="Q20" s="60"/>
      <c r="R20" s="60"/>
      <c r="S20" s="60"/>
      <c r="T20" s="60"/>
    </row>
    <row r="21" spans="1:20">
      <c r="A21" s="52"/>
      <c r="B21" s="60"/>
      <c r="C21" s="60"/>
      <c r="D21" s="60"/>
      <c r="E21" s="60"/>
      <c r="F21" s="60"/>
      <c r="G21" s="60"/>
      <c r="H21" s="60"/>
      <c r="I21" s="60"/>
      <c r="J21" s="60"/>
      <c r="K21" s="60"/>
      <c r="L21" s="60"/>
      <c r="M21" s="60"/>
      <c r="N21" s="60"/>
      <c r="O21" s="60"/>
      <c r="P21" s="60"/>
      <c r="Q21" s="60"/>
      <c r="R21" s="60"/>
      <c r="S21" s="60"/>
      <c r="T21" s="60"/>
    </row>
    <row r="22" spans="1:20">
      <c r="A22" s="52"/>
      <c r="B22" s="60"/>
      <c r="C22" s="60"/>
      <c r="D22" s="60"/>
      <c r="E22" s="60"/>
      <c r="F22" s="60"/>
      <c r="G22" s="60"/>
      <c r="H22" s="60"/>
      <c r="I22" s="60"/>
      <c r="J22" s="60"/>
      <c r="K22" s="60"/>
      <c r="L22" s="60"/>
      <c r="M22" s="60"/>
      <c r="N22" s="60"/>
      <c r="O22" s="60"/>
      <c r="P22" s="60"/>
      <c r="Q22" s="60"/>
      <c r="R22" s="60"/>
      <c r="S22" s="60"/>
      <c r="T22" s="60"/>
    </row>
    <row r="23" spans="1:20">
      <c r="A23" s="52"/>
      <c r="B23" s="60"/>
      <c r="C23" s="60"/>
      <c r="D23" s="60"/>
      <c r="E23" s="60"/>
      <c r="F23" s="60"/>
      <c r="G23" s="60"/>
      <c r="H23" s="60"/>
      <c r="I23" s="60"/>
      <c r="J23" s="60"/>
      <c r="K23" s="60"/>
      <c r="L23" s="60"/>
      <c r="M23" s="60"/>
      <c r="N23" s="60"/>
      <c r="O23" s="60"/>
      <c r="P23" s="60"/>
      <c r="Q23" s="60"/>
      <c r="R23" s="60"/>
      <c r="S23" s="60"/>
      <c r="T23" s="60"/>
    </row>
    <row r="24" spans="1:20">
      <c r="A24" s="52"/>
      <c r="B24" s="60"/>
      <c r="C24" s="60"/>
      <c r="D24" s="60"/>
      <c r="E24" s="60"/>
      <c r="F24" s="60"/>
      <c r="G24" s="60"/>
      <c r="H24" s="60"/>
      <c r="I24" s="60"/>
      <c r="J24" s="60"/>
      <c r="K24" s="60"/>
      <c r="L24" s="60"/>
      <c r="M24" s="60"/>
      <c r="N24" s="60"/>
      <c r="O24" s="60"/>
      <c r="P24" s="60"/>
      <c r="Q24" s="60"/>
      <c r="R24" s="60"/>
      <c r="S24" s="60"/>
      <c r="T24" s="60"/>
    </row>
    <row r="25" spans="1:20">
      <c r="A25" s="52"/>
      <c r="B25" s="60"/>
      <c r="C25" s="60"/>
      <c r="D25" s="60"/>
      <c r="E25" s="60"/>
      <c r="F25" s="60"/>
      <c r="G25" s="60"/>
      <c r="H25" s="60"/>
      <c r="I25" s="60"/>
      <c r="J25" s="60"/>
      <c r="K25" s="60"/>
      <c r="L25" s="60"/>
      <c r="M25" s="60"/>
      <c r="N25" s="60"/>
      <c r="O25" s="60"/>
      <c r="P25" s="60"/>
      <c r="Q25" s="60"/>
      <c r="R25" s="60"/>
      <c r="S25" s="60"/>
      <c r="T25" s="60"/>
    </row>
    <row r="26" spans="1:20">
      <c r="A26" s="52"/>
      <c r="B26" s="60"/>
      <c r="C26" s="60"/>
      <c r="D26" s="60"/>
      <c r="E26" s="60"/>
      <c r="F26" s="60"/>
      <c r="G26" s="60"/>
      <c r="H26" s="60"/>
      <c r="I26" s="60"/>
      <c r="J26" s="60"/>
      <c r="K26" s="60"/>
      <c r="L26" s="60"/>
      <c r="M26" s="60"/>
      <c r="N26" s="60"/>
      <c r="O26" s="60"/>
      <c r="P26" s="60"/>
      <c r="Q26" s="60"/>
      <c r="R26" s="60"/>
      <c r="S26" s="60"/>
      <c r="T26" s="60"/>
    </row>
    <row r="27" spans="1:20">
      <c r="A27" s="52"/>
      <c r="B27" s="60"/>
      <c r="C27" s="60"/>
      <c r="D27" s="60"/>
      <c r="E27" s="60"/>
      <c r="F27" s="60"/>
      <c r="G27" s="60"/>
      <c r="H27" s="60"/>
      <c r="I27" s="60"/>
      <c r="J27" s="60"/>
      <c r="K27" s="60"/>
      <c r="L27" s="60"/>
      <c r="M27" s="60"/>
      <c r="N27" s="60"/>
      <c r="O27" s="60"/>
      <c r="P27" s="60"/>
      <c r="Q27" s="60"/>
      <c r="R27" s="60"/>
      <c r="S27" s="60"/>
      <c r="T27" s="60"/>
    </row>
    <row r="31" spans="1:20">
      <c r="A31" s="60">
        <v>32</v>
      </c>
      <c r="B31" s="60"/>
      <c r="C31" s="60"/>
      <c r="D31" s="60"/>
      <c r="E31" s="60"/>
      <c r="F31" s="60"/>
      <c r="G31" s="60"/>
      <c r="H31" s="60"/>
      <c r="I31" s="60"/>
      <c r="J31" s="60"/>
      <c r="K31" s="60"/>
      <c r="L31" s="60"/>
      <c r="M31" s="60"/>
      <c r="N31" s="60"/>
      <c r="O31" s="60"/>
      <c r="P31" s="60"/>
      <c r="Q31" s="60"/>
      <c r="R31" s="60"/>
      <c r="S31" s="60"/>
      <c r="T31" s="60"/>
    </row>
    <row r="33" spans="1:20">
      <c r="A33" s="60"/>
      <c r="B33" s="60"/>
      <c r="C33" s="60"/>
      <c r="D33" s="60"/>
      <c r="E33" s="60"/>
      <c r="F33" s="60"/>
      <c r="G33" s="60"/>
      <c r="H33" s="60"/>
      <c r="I33" s="60"/>
      <c r="J33" s="60"/>
      <c r="K33" s="60"/>
      <c r="L33" s="60"/>
      <c r="M33" s="60"/>
      <c r="N33" s="60"/>
      <c r="O33" s="60"/>
      <c r="P33" s="60"/>
      <c r="Q33" s="60"/>
      <c r="R33" s="60"/>
      <c r="S33" s="60"/>
      <c r="T33" s="60"/>
    </row>
    <row r="34" spans="1:20">
      <c r="A34" s="60"/>
      <c r="B34" s="60"/>
      <c r="C34" s="60"/>
      <c r="D34" s="60"/>
      <c r="E34" s="60"/>
      <c r="F34" s="60"/>
      <c r="G34" s="60"/>
      <c r="H34" s="60"/>
      <c r="I34" s="60"/>
      <c r="J34" s="60"/>
      <c r="K34" s="60"/>
      <c r="L34" s="60"/>
      <c r="M34" s="60"/>
      <c r="N34" s="60"/>
      <c r="O34" s="60"/>
      <c r="P34" s="60"/>
      <c r="Q34" s="60"/>
      <c r="R34" s="60"/>
      <c r="S34" s="60"/>
      <c r="T34" s="60"/>
    </row>
    <row r="35" spans="1:20">
      <c r="A35" s="60">
        <v>21</v>
      </c>
      <c r="B35" s="60"/>
      <c r="C35" s="60"/>
      <c r="D35" s="60"/>
      <c r="E35" s="60"/>
      <c r="F35" s="60"/>
      <c r="G35" s="60"/>
      <c r="H35" s="60"/>
      <c r="I35" s="60"/>
      <c r="J35" s="60"/>
      <c r="K35" s="60"/>
      <c r="L35" s="60"/>
      <c r="M35" s="60"/>
      <c r="N35" s="60"/>
      <c r="O35" s="60"/>
      <c r="P35" s="60"/>
      <c r="Q35" s="60"/>
      <c r="R35" s="60"/>
      <c r="S35" s="60"/>
      <c r="T35" s="60"/>
    </row>
    <row r="53" spans="1:1">
      <c r="A53" s="60">
        <v>40</v>
      </c>
    </row>
    <row r="55" spans="1:1">
      <c r="A55" s="60">
        <v>46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I14" sqref="I14"/>
    </sheetView>
  </sheetViews>
  <sheetFormatPr defaultRowHeight="15"/>
  <cols>
    <col min="1" max="1" width="19.5703125" bestFit="1" customWidth="1"/>
  </cols>
  <sheetData>
    <row r="1" spans="1:8">
      <c r="A1" t="s">
        <v>32</v>
      </c>
      <c r="F1" t="s">
        <v>134</v>
      </c>
      <c r="H1" t="s">
        <v>34</v>
      </c>
    </row>
    <row r="2" spans="1:8">
      <c r="A2" t="s">
        <v>221</v>
      </c>
      <c r="C2" t="s">
        <v>222</v>
      </c>
      <c r="F2" t="s">
        <v>55</v>
      </c>
      <c r="H2" t="s">
        <v>14</v>
      </c>
    </row>
    <row r="3" spans="1:8">
      <c r="A3" t="s">
        <v>63</v>
      </c>
      <c r="C3" t="s">
        <v>219</v>
      </c>
      <c r="F3" t="s">
        <v>15</v>
      </c>
    </row>
    <row r="4" spans="1:8">
      <c r="C4" t="s">
        <v>27</v>
      </c>
    </row>
    <row r="5" spans="1:8">
      <c r="C5" t="s">
        <v>199</v>
      </c>
    </row>
    <row r="6" spans="1:8">
      <c r="C6"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3e2c570eb0946adac5aa6eeca2ff0bbb">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fff10ba4333f073fbb358ab87328e47"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dexed="true"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5</xvqq>
    <Notes xmlns="3d05c41d-42c7-4345-8236-8005f0c89855">Dev: NV | BSA: MU</Notes>
    <lcf76f155ced4ddcb4097134ff3c332f xmlns="3d05c41d-42c7-4345-8236-8005f0c898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5146E5-CF4E-4085-BE9F-ED12D10E8B13}"/>
</file>

<file path=customXml/itemProps2.xml><?xml version="1.0" encoding="utf-8"?>
<ds:datastoreItem xmlns:ds="http://schemas.openxmlformats.org/officeDocument/2006/customXml" ds:itemID="{D5A70E35-5222-47AE-A5C7-B58AEE7A5015}"/>
</file>

<file path=customXml/itemProps3.xml><?xml version="1.0" encoding="utf-8"?>
<ds:datastoreItem xmlns:ds="http://schemas.openxmlformats.org/officeDocument/2006/customXml" ds:itemID="{704EED5A-6E5F-40C5-9AEF-0B62B473C06D}"/>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Brooke Yale</cp:lastModifiedBy>
  <cp:revision/>
  <dcterms:created xsi:type="dcterms:W3CDTF">2025-10-01T18:45:47Z</dcterms:created>
  <dcterms:modified xsi:type="dcterms:W3CDTF">2026-05-14T21:50:58Z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