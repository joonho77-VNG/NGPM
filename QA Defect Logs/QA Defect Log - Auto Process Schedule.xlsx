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hidePivotFieldList="1"/>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470" documentId="8_{32BC0B0E-3EE8-43AB-8119-D28931438715}" xr6:coauthVersionLast="47" xr6:coauthVersionMax="47" xr10:uidLastSave="{89A3DB59-B55E-43CD-8E09-5B461DD4558D}"/>
  <bookViews>
    <workbookView xWindow="28695" yWindow="-3645" windowWidth="26010" windowHeight="20985" xr2:uid="{7496AAB9-9610-4154-B91D-ED1C66077D08}"/>
  </bookViews>
  <sheets>
    <sheet name="DEFECTS" sheetId="1" r:id="rId1"/>
    <sheet name="Summary" sheetId="6" r:id="rId2"/>
    <sheet name="Screenshots" sheetId="5" r:id="rId3"/>
    <sheet name="NG Links" sheetId="4" r:id="rId4"/>
    <sheet name="Sheet2" sheetId="3" state="hidden" r:id="rId5"/>
  </sheets>
  <definedNames>
    <definedName name="_xlnm._FilterDatabase" localSheetId="0" hidden="1">DEFECTS!$A$1:$M$42</definedName>
  </definedNames>
  <calcPr calcId="191028"/>
  <pivotCaches>
    <pivotCache cacheId="1624"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1" l="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3" i="1"/>
  <c r="A4" i="1"/>
  <c r="A5" i="1"/>
  <c r="A6" i="1"/>
  <c r="A7" i="1"/>
  <c r="A8" i="1"/>
  <c r="A9" i="1"/>
  <c r="A10" i="1"/>
  <c r="A11" i="1"/>
  <c r="A12" i="1"/>
  <c r="A13" i="1"/>
  <c r="A14" i="1"/>
  <c r="A2" i="1"/>
</calcChain>
</file>

<file path=xl/sharedStrings.xml><?xml version="1.0" encoding="utf-8"?>
<sst xmlns="http://schemas.openxmlformats.org/spreadsheetml/2006/main" count="210" uniqueCount="104">
  <si>
    <t>ID</t>
  </si>
  <si>
    <t>Date Tested</t>
  </si>
  <si>
    <t>Interface</t>
  </si>
  <si>
    <t>Scenario Type</t>
  </si>
  <si>
    <t>Bug Type</t>
  </si>
  <si>
    <t>Status</t>
  </si>
  <si>
    <t>Window
Column(s)</t>
  </si>
  <si>
    <t>Summary</t>
  </si>
  <si>
    <t>Defect
(NG Display, Scenario)</t>
  </si>
  <si>
    <t>Testing Comments</t>
  </si>
  <si>
    <t>Date
Retest</t>
  </si>
  <si>
    <t>Retest
Pass/Fail</t>
  </si>
  <si>
    <t>BSA Comments</t>
  </si>
  <si>
    <t>Dev Comments</t>
  </si>
  <si>
    <t>Both</t>
  </si>
  <si>
    <t>UI</t>
  </si>
  <si>
    <t>Minor</t>
  </si>
  <si>
    <t>Resolved</t>
  </si>
  <si>
    <t>Process Date</t>
  </si>
  <si>
    <t>Missing Seconds</t>
  </si>
  <si>
    <t>Process Date column is missing seconds in the timestamp</t>
  </si>
  <si>
    <t>Pass</t>
  </si>
  <si>
    <t>Fixed</t>
  </si>
  <si>
    <t>Process Seq Nbr</t>
  </si>
  <si>
    <t>Format includes comma</t>
  </si>
  <si>
    <t>UI Guidelines state to have numbers right aligned. This PB window uses commas.</t>
  </si>
  <si>
    <t>Major</t>
  </si>
  <si>
    <t>Return to Dev</t>
  </si>
  <si>
    <t>Top Section</t>
  </si>
  <si>
    <t>Entering edit mode when the window is scrolled to the right shifts the view left</t>
  </si>
  <si>
    <t>1. Open window
2. Scroll right
3. Double click any row - the scroll bar shifts left. expected result is the view stays locked where the scroll bar was</t>
  </si>
  <si>
    <t>Will discuss during 8/31 standup. if possible, place cursor where user double clicked. otherwise don't place cursor so the view does not shift. See court control with expanded columns for reference.</t>
  </si>
  <si>
    <t>Functionality</t>
  </si>
  <si>
    <t>Process Status, Dt Status, Retval Out, Message Out, Parms Out</t>
  </si>
  <si>
    <t>Columns do not update after job is executed</t>
  </si>
  <si>
    <t>1. Select Execute button
2. Select Yes - bottom section updates as expected. Process Status, Dt Status, Retval Out, Message Out, Parms Out values do not update with the latest job information</t>
  </si>
  <si>
    <t>Description, Message Out, Parms Out</t>
  </si>
  <si>
    <t>Tooltip</t>
  </si>
  <si>
    <t>Tooltip should be enabled for Description, Message Out, Parms Out, and all editable text fields</t>
  </si>
  <si>
    <t>Similar changes were added to Court Control since we could not wrap the text</t>
  </si>
  <si>
    <t>Ctrl + F split screen</t>
  </si>
  <si>
    <t xml:space="preserve">1. APS and any other vision window
2. Window &gt; Tile Vertical view
3. Click the top section of APS
4. Ctrl + Shift + F
5. Type a search with no valid results - a blank blue section appears at the top </t>
  </si>
  <si>
    <t>See Screenshot 6</t>
  </si>
  <si>
    <t>Process ID</t>
  </si>
  <si>
    <t>Process ID fluent validation is cut off on the left side</t>
  </si>
  <si>
    <t>See Screenshot 7</t>
  </si>
  <si>
    <t>Fail</t>
  </si>
  <si>
    <t>10/14 BY: Defect has not been addressed</t>
  </si>
  <si>
    <t xml:space="preserve">Bottom section columns - Process Date, Description, Process Sp </t>
  </si>
  <si>
    <t>Column Filters cut off</t>
  </si>
  <si>
    <t>Column Filters for Process Date, Description, and Process Sp are cutoff at the bottom. Expected result is for the column filters to go outside of the grid. If needed, a scroll bar can be added to the window like we did for SP Registry</t>
  </si>
  <si>
    <t>UI Guideline 40</t>
  </si>
  <si>
    <t>Fixed by Jorge's push for another screen on the base component</t>
  </si>
  <si>
    <t>N/A</t>
  </si>
  <si>
    <t>Page Up/ Down lands in middle</t>
  </si>
  <si>
    <t>Page Up/ Page Down lands in the middle of the page instead of the top</t>
  </si>
  <si>
    <t>See SP Registry page up/ page down</t>
  </si>
  <si>
    <t>Description</t>
  </si>
  <si>
    <t>Optional field is marked as required</t>
  </si>
  <si>
    <t>Description field is required and has fluent validation. PB window allows Description to be empty.</t>
  </si>
  <si>
    <t>CRMD killsess process ID is an example with a blank description</t>
  </si>
  <si>
    <t>Cancel Button</t>
  </si>
  <si>
    <t>Cancel button closes the window</t>
  </si>
  <si>
    <t>1. Open window
2. Select Cancel button - PB closes the APS window. NG refreshes the window</t>
  </si>
  <si>
    <t>Pass with Comments</t>
  </si>
  <si>
    <t>See defect 17</t>
  </si>
  <si>
    <t>F3 Refresh</t>
  </si>
  <si>
    <t>Window loses focus after execute</t>
  </si>
  <si>
    <t>1. Click a row
2. Select Execute button
3. Select yes on the popup
4. Select OK on the batch job completed validation message
5. F3 refresh - refresh does not work since the window loses focus. Clicking the window then F3 refresh works as expected</t>
  </si>
  <si>
    <t>Active Ind</t>
  </si>
  <si>
    <t>Checkbox does not display correctly in Edit mode</t>
  </si>
  <si>
    <t>1. Enter edit mode for any row
2. Check, or uncheck, the Active Ind checkbox - changes do not show while in edit mode
3. Exit edit mode - Active Ind changes are visible</t>
  </si>
  <si>
    <t>This was a bug with a Syncfusion update that was previously addressed in SP registry</t>
  </si>
  <si>
    <t>Resizing window does not stack</t>
  </si>
  <si>
    <t>Tile Vertical and Tile Horizontal Views should add scroll bars and stack the sections as needed to fit the reduced window size. Execute and Cancel buttons are also not visible or reachable when the window is minimized</t>
  </si>
  <si>
    <t>Have 3 windows for Tile Vertical issue, and 2 for Tile Horizontal Issue</t>
  </si>
  <si>
    <t>10/14 BY: Tile Vertical is fixed. Tile horizontal is not.</t>
  </si>
  <si>
    <t>Blank area in split screen</t>
  </si>
  <si>
    <t>1. Select a job with no recent runs, ie bottom section says "No records to display"
2. Open another NG or PB window
3. Window &gt; Tile Vertical - Blank space above the bottom section appears. This space disappears if the child row has data</t>
  </si>
  <si>
    <t>Similar to Defect 6 issue. This occurs when there are no records to display rather than Ctrl + Shift + F</t>
  </si>
  <si>
    <t>New</t>
  </si>
  <si>
    <t>Process ID, Process Seq Nbr, Active Ind, Process Status, Dt Status, Retval Out, Parms Out, Dt. Updated</t>
  </si>
  <si>
    <t>Column Titles cut off</t>
  </si>
  <si>
    <t xml:space="preserve">Column titles Process ID, Process Seq Nbr, Active Ind, Process Status, Dt Status, Retval Out, Parms Out, and Dt. Updated are cut off. Since this is a scroll </t>
  </si>
  <si>
    <t>Remove the cancel button</t>
  </si>
  <si>
    <t>Remove the cancel button from APS window. Decision made to remove all "Close" buttons from NG windows</t>
  </si>
  <si>
    <t>QA Cycle 1 : 4 HR</t>
  </si>
  <si>
    <t>Count of Status</t>
  </si>
  <si>
    <t>Column Labels</t>
  </si>
  <si>
    <t>Row Labels</t>
  </si>
  <si>
    <t>Grand Total</t>
  </si>
  <si>
    <t xml:space="preserve">ID </t>
  </si>
  <si>
    <t>Screenshot</t>
  </si>
  <si>
    <t>Defect</t>
  </si>
  <si>
    <t>Expected</t>
  </si>
  <si>
    <t>ST</t>
  </si>
  <si>
    <t>https://visionngst.occourts.org/Account/login</t>
  </si>
  <si>
    <t>QA</t>
  </si>
  <si>
    <t>https://visionngqa.occourts.org/Account/login</t>
  </si>
  <si>
    <t>D2</t>
  </si>
  <si>
    <t>https://visionngpreprod.occourts.org/account/login</t>
  </si>
  <si>
    <t>Regression</t>
  </si>
  <si>
    <t>Retest In Progress</t>
  </si>
  <si>
    <t>No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</si>
</sst>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8">
    <font>
      <sz val="11"/>
      <color theme="1"/>
      <name val="Aptos Narrow"/>
      <family val="2"/>
      <scheme val="minor"/>
    </font>
    <font>
      <sz val="11"/>
      <color theme="1"/>
      <name val="Calibri"/>
      <family val="2"/>
    </font>
    <font>
      <sz val="11"/>
      <color theme="1"/>
      <name val="Calibri"/>
      <family val="2"/>
    </font>
    <font>
      <sz val="11"/>
      <name val="Calibri"/>
      <family val="2"/>
    </font>
    <font>
      <b/>
      <sz val="11"/>
      <name val="Calibri"/>
      <family val="2"/>
    </font>
    <font>
      <sz val="11"/>
      <color theme="0" tint="-0.34998626667073579"/>
      <name val="Calibri"/>
      <family val="2"/>
    </font>
    <font>
      <u/>
      <sz val="11"/>
      <color theme="10"/>
      <name val="Aptos Narrow"/>
      <family val="2"/>
      <scheme val="minor"/>
    </font>
    <font>
      <b/>
      <sz val="14"/>
      <color theme="0"/>
      <name val="Aptos Narrow"/>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rgb="FF0070C0"/>
        <bgColor indexed="64"/>
      </patternFill>
    </fill>
    <fill>
      <patternFill patternType="solid">
        <fgColor theme="9" tint="0.79998168889431442"/>
        <bgColor indexed="64"/>
      </patternFill>
    </fill>
  </fills>
  <borders count="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
    <xf numFmtId="0" fontId="0" fillId="0" borderId="0"/>
    <xf numFmtId="0" fontId="6" fillId="0" borderId="0" applyNumberFormat="0" applyFill="0" applyBorder="0" applyAlignment="0" applyProtection="0"/>
  </cellStyleXfs>
  <cellXfs count="27">
    <xf numFmtId="0" fontId="0" fillId="0" borderId="0" xfId="0"/>
    <xf numFmtId="0" fontId="2" fillId="0" borderId="0" xfId="0" applyFont="1"/>
    <xf numFmtId="0" fontId="2" fillId="0" borderId="0" xfId="0" applyFont="1" applyAlignment="1">
      <alignment horizontal="left" vertical="top" wrapText="1"/>
    </xf>
    <xf numFmtId="0" fontId="2" fillId="0" borderId="0" xfId="0" applyFont="1" applyAlignment="1">
      <alignment vertical="top"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1" fillId="0" borderId="1" xfId="0" applyFont="1" applyBorder="1" applyAlignment="1">
      <alignment horizontal="center" vertical="top" wrapText="1"/>
    </xf>
    <xf numFmtId="164" fontId="1" fillId="0" borderId="1" xfId="0" applyNumberFormat="1" applyFont="1" applyBorder="1" applyAlignment="1">
      <alignment horizontal="center" vertical="top"/>
    </xf>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vertical="top"/>
    </xf>
    <xf numFmtId="164" fontId="1" fillId="0" borderId="1" xfId="0" applyNumberFormat="1" applyFont="1" applyBorder="1" applyAlignment="1">
      <alignment horizontal="center" vertical="top" wrapText="1"/>
    </xf>
    <xf numFmtId="164" fontId="3" fillId="0" borderId="1" xfId="0" applyNumberFormat="1" applyFont="1" applyBorder="1" applyAlignment="1">
      <alignment horizontal="center" vertical="top" wrapText="1"/>
    </xf>
    <xf numFmtId="0" fontId="2" fillId="0" borderId="0" xfId="0" applyFont="1" applyAlignment="1">
      <alignment vertical="top"/>
    </xf>
    <xf numFmtId="164" fontId="2" fillId="0" borderId="0" xfId="0" applyNumberFormat="1" applyFont="1" applyAlignment="1">
      <alignment horizontal="center" vertical="top"/>
    </xf>
    <xf numFmtId="0" fontId="5" fillId="0" borderId="1" xfId="0" applyFont="1" applyBorder="1" applyAlignment="1">
      <alignment vertical="top" wrapText="1"/>
    </xf>
    <xf numFmtId="0" fontId="6" fillId="0" borderId="0" xfId="1"/>
    <xf numFmtId="0" fontId="1" fillId="0" borderId="0" xfId="0" applyFont="1" applyAlignment="1">
      <alignment vertical="top"/>
    </xf>
    <xf numFmtId="0" fontId="1" fillId="0" borderId="0" xfId="0" applyFont="1" applyAlignment="1">
      <alignment vertical="top" wrapText="1"/>
    </xf>
    <xf numFmtId="164" fontId="1" fillId="0" borderId="0" xfId="0" applyNumberFormat="1" applyFont="1" applyAlignment="1">
      <alignment horizontal="center" vertical="top"/>
    </xf>
    <xf numFmtId="0" fontId="0" fillId="0" borderId="0" xfId="0" pivotButton="1"/>
    <xf numFmtId="0" fontId="0" fillId="0" borderId="0" xfId="0" applyNumberFormat="1"/>
    <xf numFmtId="0" fontId="0" fillId="0" borderId="0" xfId="0" applyAlignment="1">
      <alignment horizontal="left"/>
    </xf>
    <xf numFmtId="0" fontId="0" fillId="0" borderId="0" xfId="0" applyAlignment="1">
      <alignment horizontal="left" indent="1"/>
    </xf>
    <xf numFmtId="0" fontId="1" fillId="4" borderId="1" xfId="0" applyFont="1" applyFill="1" applyBorder="1" applyAlignment="1">
      <alignment horizontal="left" vertical="top" wrapText="1"/>
    </xf>
    <xf numFmtId="0" fontId="7" fillId="3" borderId="0" xfId="0" applyFont="1" applyFill="1" applyAlignment="1">
      <alignment horizontal="center" vertical="center"/>
    </xf>
  </cellXfs>
  <cellStyles count="2">
    <cellStyle name="Hyperlink" xfId="1" builtinId="8"/>
    <cellStyle name="Normal" xfId="0" builtinId="0"/>
  </cellStyles>
  <dxfs count="8">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rgb="FF0070C0"/>
      </font>
    </dxf>
    <dxf>
      <font>
        <color rgb="FF00B050"/>
      </font>
    </dxf>
    <dxf>
      <font>
        <color theme="0" tint="-0.34998626667073579"/>
      </font>
    </dxf>
    <dxf>
      <font>
        <color theme="0" tint="-0.34998626667073579"/>
      </font>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2</xdr:row>
      <xdr:rowOff>47625</xdr:rowOff>
    </xdr:from>
    <xdr:to>
      <xdr:col>8</xdr:col>
      <xdr:colOff>381000</xdr:colOff>
      <xdr:row>15</xdr:row>
      <xdr:rowOff>47625</xdr:rowOff>
    </xdr:to>
    <xdr:pic>
      <xdr:nvPicPr>
        <xdr:cNvPr id="2" name="Picture 1">
          <a:extLst>
            <a:ext uri="{FF2B5EF4-FFF2-40B4-BE49-F238E27FC236}">
              <a16:creationId xmlns:a16="http://schemas.microsoft.com/office/drawing/2014/main" id="{BC076AFF-6159-1FD0-D647-A573D56B0613}"/>
            </a:ext>
          </a:extLst>
        </xdr:cNvPr>
        <xdr:cNvPicPr>
          <a:picLocks noChangeAspect="1"/>
        </xdr:cNvPicPr>
      </xdr:nvPicPr>
      <xdr:blipFill>
        <a:blip xmlns:r="http://schemas.openxmlformats.org/officeDocument/2006/relationships" r:embed="rId1"/>
        <a:stretch>
          <a:fillRect/>
        </a:stretch>
      </xdr:blipFill>
      <xdr:spPr>
        <a:xfrm>
          <a:off x="695325" y="428625"/>
          <a:ext cx="4562475" cy="2476500"/>
        </a:xfrm>
        <a:prstGeom prst="rect">
          <a:avLst/>
        </a:prstGeom>
      </xdr:spPr>
    </xdr:pic>
    <xdr:clientData/>
  </xdr:twoCellAnchor>
  <xdr:twoCellAnchor editAs="oneCell">
    <xdr:from>
      <xdr:col>9</xdr:col>
      <xdr:colOff>38100</xdr:colOff>
      <xdr:row>2</xdr:row>
      <xdr:rowOff>28575</xdr:rowOff>
    </xdr:from>
    <xdr:to>
      <xdr:col>16</xdr:col>
      <xdr:colOff>342900</xdr:colOff>
      <xdr:row>15</xdr:row>
      <xdr:rowOff>19050</xdr:rowOff>
    </xdr:to>
    <xdr:pic>
      <xdr:nvPicPr>
        <xdr:cNvPr id="4" name="Picture 3">
          <a:extLst>
            <a:ext uri="{FF2B5EF4-FFF2-40B4-BE49-F238E27FC236}">
              <a16:creationId xmlns:a16="http://schemas.microsoft.com/office/drawing/2014/main" id="{9A86E0CE-84E3-D172-6AD6-A64C9DF4374E}"/>
            </a:ext>
            <a:ext uri="{147F2762-F138-4A5C-976F-8EAC2B608ADB}">
              <a16:predDERef xmlns:a16="http://schemas.microsoft.com/office/drawing/2014/main" pred="{BC076AFF-6159-1FD0-D647-A573D56B0613}"/>
            </a:ext>
          </a:extLst>
        </xdr:cNvPr>
        <xdr:cNvPicPr>
          <a:picLocks noChangeAspect="1"/>
        </xdr:cNvPicPr>
      </xdr:nvPicPr>
      <xdr:blipFill>
        <a:blip xmlns:r="http://schemas.openxmlformats.org/officeDocument/2006/relationships" r:embed="rId2"/>
        <a:stretch>
          <a:fillRect/>
        </a:stretch>
      </xdr:blipFill>
      <xdr:spPr>
        <a:xfrm>
          <a:off x="5524500" y="409575"/>
          <a:ext cx="4572000" cy="2466975"/>
        </a:xfrm>
        <a:prstGeom prst="rect">
          <a:avLst/>
        </a:prstGeom>
      </xdr:spPr>
    </xdr:pic>
    <xdr:clientData/>
  </xdr:twoCellAnchor>
  <xdr:twoCellAnchor editAs="oneCell">
    <xdr:from>
      <xdr:col>1</xdr:col>
      <xdr:colOff>0</xdr:colOff>
      <xdr:row>16</xdr:row>
      <xdr:rowOff>0</xdr:rowOff>
    </xdr:from>
    <xdr:to>
      <xdr:col>4</xdr:col>
      <xdr:colOff>495300</xdr:colOff>
      <xdr:row>25</xdr:row>
      <xdr:rowOff>152400</xdr:rowOff>
    </xdr:to>
    <xdr:pic>
      <xdr:nvPicPr>
        <xdr:cNvPr id="3" name="Picture 2">
          <a:extLst>
            <a:ext uri="{FF2B5EF4-FFF2-40B4-BE49-F238E27FC236}">
              <a16:creationId xmlns:a16="http://schemas.microsoft.com/office/drawing/2014/main" id="{543F65F7-ED38-96FD-22FF-5CB1748C6E21}"/>
            </a:ext>
            <a:ext uri="{147F2762-F138-4A5C-976F-8EAC2B608ADB}">
              <a16:predDERef xmlns:a16="http://schemas.microsoft.com/office/drawing/2014/main" pred="{9A86E0CE-84E3-D172-6AD6-A64C9DF4374E}"/>
            </a:ext>
          </a:extLst>
        </xdr:cNvPr>
        <xdr:cNvPicPr>
          <a:picLocks noChangeAspect="1"/>
        </xdr:cNvPicPr>
      </xdr:nvPicPr>
      <xdr:blipFill>
        <a:blip xmlns:r="http://schemas.openxmlformats.org/officeDocument/2006/relationships" r:embed="rId3"/>
        <a:stretch>
          <a:fillRect/>
        </a:stretch>
      </xdr:blipFill>
      <xdr:spPr>
        <a:xfrm>
          <a:off x="609600" y="3048000"/>
          <a:ext cx="2324100" cy="1866900"/>
        </a:xfrm>
        <a:prstGeom prst="rect">
          <a:avLst/>
        </a:prstGeom>
      </xdr:spPr>
    </xdr:pic>
    <xdr:clientData/>
  </xdr:twoCellAnchor>
  <xdr:twoCellAnchor editAs="oneCell">
    <xdr:from>
      <xdr:col>1</xdr:col>
      <xdr:colOff>0</xdr:colOff>
      <xdr:row>27</xdr:row>
      <xdr:rowOff>0</xdr:rowOff>
    </xdr:from>
    <xdr:to>
      <xdr:col>6</xdr:col>
      <xdr:colOff>371475</xdr:colOff>
      <xdr:row>51</xdr:row>
      <xdr:rowOff>0</xdr:rowOff>
    </xdr:to>
    <xdr:pic>
      <xdr:nvPicPr>
        <xdr:cNvPr id="5" name="Picture 4">
          <a:extLst>
            <a:ext uri="{FF2B5EF4-FFF2-40B4-BE49-F238E27FC236}">
              <a16:creationId xmlns:a16="http://schemas.microsoft.com/office/drawing/2014/main" id="{70C42EF3-938B-4D4B-BD20-EA768DD60481}"/>
            </a:ext>
            <a:ext uri="{147F2762-F138-4A5C-976F-8EAC2B608ADB}">
              <a16:predDERef xmlns:a16="http://schemas.microsoft.com/office/drawing/2014/main" pred="{543F65F7-ED38-96FD-22FF-5CB1748C6E21}"/>
            </a:ext>
          </a:extLst>
        </xdr:cNvPr>
        <xdr:cNvPicPr>
          <a:picLocks noChangeAspect="1"/>
        </xdr:cNvPicPr>
      </xdr:nvPicPr>
      <xdr:blipFill>
        <a:blip xmlns:r="http://schemas.openxmlformats.org/officeDocument/2006/relationships" r:embed="rId4"/>
        <a:stretch>
          <a:fillRect/>
        </a:stretch>
      </xdr:blipFill>
      <xdr:spPr>
        <a:xfrm>
          <a:off x="609600" y="5143500"/>
          <a:ext cx="3419475" cy="4572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65.432020717592" createdVersion="8" refreshedVersion="8" minRefreshableVersion="3" recordCount="13" xr:uid="{FADFB46C-F188-401A-BCA9-AF049D64E7D6}">
  <cacheSource type="worksheet">
    <worksheetSource ref="A1:J14" sheet="DEFECTS"/>
  </cacheSource>
  <cacheFields count="10">
    <cacheField name="ID" numFmtId="0">
      <sharedItems containsSemiMixedTypes="0" containsString="0" containsNumber="1" containsInteger="1" minValue="1" maxValue="13"/>
    </cacheField>
    <cacheField name="Date Tested" numFmtId="164">
      <sharedItems containsSemiMixedTypes="0" containsNonDate="0" containsDate="1" containsString="0" minDate="2026-08-26T00:00:00" maxDate="2026-08-29T00:00:00"/>
    </cacheField>
    <cacheField name="Interface" numFmtId="164">
      <sharedItems/>
    </cacheField>
    <cacheField name="Scenario Type" numFmtId="0">
      <sharedItems count="2">
        <s v="UI"/>
        <s v="Functionality"/>
      </sharedItems>
    </cacheField>
    <cacheField name="Bug Type" numFmtId="0">
      <sharedItems count="2">
        <s v="Minor"/>
        <s v="Major"/>
      </sharedItems>
    </cacheField>
    <cacheField name="Status" numFmtId="0">
      <sharedItems count="2">
        <s v="New"/>
        <s v="Needs Review" u="1"/>
      </sharedItems>
    </cacheField>
    <cacheField name="Window_x000a_Column(s)" numFmtId="0">
      <sharedItems/>
    </cacheField>
    <cacheField name="Summary" numFmtId="0">
      <sharedItems/>
    </cacheField>
    <cacheField name="Defect_x000a_(NG Display, Scenario)" numFmtId="0">
      <sharedItems/>
    </cacheField>
    <cacheField name="Testing Comment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n v="1"/>
    <d v="2026-08-26T00:00:00"/>
    <s v="Both"/>
    <x v="0"/>
    <x v="0"/>
    <x v="0"/>
    <s v="Process Date"/>
    <s v="Missing Seconds"/>
    <s v="Process Date column is missing seconds in the timestamp"/>
    <m/>
  </r>
  <r>
    <n v="2"/>
    <d v="2026-08-26T00:00:00"/>
    <s v="Both"/>
    <x v="0"/>
    <x v="0"/>
    <x v="0"/>
    <s v="Process Seq Nbr"/>
    <s v="Format includes comma"/>
    <s v="UI Guidelines state to have numbers right aligned. This PB window uses commas."/>
    <m/>
  </r>
  <r>
    <n v="3"/>
    <d v="2026-08-26T00:00:00"/>
    <s v="Both"/>
    <x v="0"/>
    <x v="1"/>
    <x v="0"/>
    <s v="Top Section"/>
    <s v="Entering edit mode when the window is scrolled to the right shifts the view left"/>
    <s v="1. Open window_x000a_2. Scroll right_x000a_3. Double click any row - the scroll bar shifts left. expected result is the view stays locked where the scroll bar was"/>
    <s v="if possible, place cursor where user double clicked. otherwise don't place cursor so the view does not shift. See court control with expanded columns for reference."/>
  </r>
  <r>
    <n v="4"/>
    <d v="2026-08-26T00:00:00"/>
    <s v="Both"/>
    <x v="1"/>
    <x v="1"/>
    <x v="0"/>
    <s v="Process Status, Dt Status, Retval Out, Message Out, Parms Out"/>
    <s v="Columns do not update after job is executed"/>
    <s v="1. Select Execute button_x000a_2. Select Yes - bottom section updates as expected. Process Status, Dt Status, Retval Out, Message Out, Parms Out values do not update with the latest job information"/>
    <m/>
  </r>
  <r>
    <n v="5"/>
    <d v="2026-08-26T00:00:00"/>
    <s v="Both"/>
    <x v="0"/>
    <x v="0"/>
    <x v="0"/>
    <s v="Description, Message Out, Parms Out"/>
    <s v="Tooltip"/>
    <s v="Tooltip should be enabled for Description, Message Out, Parms Out, and all editable text fields"/>
    <s v="Similar changes were added to Court Control since we could not wrap the text"/>
  </r>
  <r>
    <n v="6"/>
    <d v="2026-08-26T00:00:00"/>
    <s v="Both"/>
    <x v="0"/>
    <x v="0"/>
    <x v="0"/>
    <s v="Top Section"/>
    <s v="Ctrl + F split screen"/>
    <s v="1. APS and any other vision window_x000a_2. Window &gt; Tile Vertical view_x000a_3. Click the top section of APS_x000a_4. Ctrl + Shift + F_x000a_5. Type a search with no valid results - a blank blue section appears at the top "/>
    <s v="See Screenshot 11"/>
  </r>
  <r>
    <n v="7"/>
    <d v="2026-08-26T00:00:00"/>
    <s v="Both"/>
    <x v="0"/>
    <x v="0"/>
    <x v="0"/>
    <s v="Process ID"/>
    <s v="Process ID fluent validation is cut off on the left side"/>
    <s v="See Screenshot 12"/>
    <s v="UI Guideline ?"/>
  </r>
  <r>
    <n v="8"/>
    <d v="2026-08-27T00:00:00"/>
    <s v="Both"/>
    <x v="0"/>
    <x v="0"/>
    <x v="0"/>
    <s v="Bottom section columns - Process Date, Description, Process Sp "/>
    <s v="Column Filters cut off"/>
    <s v="Column Filters for Process Date, Description, and Process Sp are cutoff at the bottom. Expected result is for the column filters to go outside of the grid. If needed, a scroll bar can be added to the window like we did for SP Registry"/>
    <s v="UI Guideline ?"/>
  </r>
  <r>
    <n v="9"/>
    <d v="2026-08-28T00:00:00"/>
    <s v="Both"/>
    <x v="0"/>
    <x v="0"/>
    <x v="0"/>
    <s v="N/A"/>
    <s v="Page Up/ Down lands in middle"/>
    <s v="Page Up/ Page Down lands in the middle of the page instead of the top"/>
    <s v="UI Guideline ?"/>
  </r>
  <r>
    <n v="10"/>
    <d v="2026-08-28T00:00:00"/>
    <s v="Both"/>
    <x v="1"/>
    <x v="0"/>
    <x v="0"/>
    <s v="Description"/>
    <s v="Optional field is marked as required"/>
    <s v="Description field is required and has fluent validation. PB window allows Description to be empty."/>
    <s v="CRMD killsess process ID is an example with a blank description"/>
  </r>
  <r>
    <n v="11"/>
    <d v="2026-08-28T00:00:00"/>
    <s v="Both"/>
    <x v="1"/>
    <x v="1"/>
    <x v="0"/>
    <s v="Cancel Button"/>
    <s v="Cancel button closes the window"/>
    <s v="1. Open window_x000a_2. Select Cancel button - PB closes the APS window. NG refreshes the window"/>
    <m/>
  </r>
  <r>
    <n v="12"/>
    <d v="2026-08-28T00:00:00"/>
    <s v="Both"/>
    <x v="1"/>
    <x v="0"/>
    <x v="0"/>
    <s v="F3 Refresh"/>
    <s v="Window loses focus after execute"/>
    <s v="1. Click a row_x000a_2. Select Execute button_x000a_3. Select yes on the popup_x000a_4. Select OK on the batch job completed validation message_x000a_5. F3 refresh - refresh does not work since the window loses focus. Clicking the window then F3 refresh works as expected"/>
    <m/>
  </r>
  <r>
    <n v="13"/>
    <d v="2026-08-28T00:00:00"/>
    <s v="Both"/>
    <x v="0"/>
    <x v="0"/>
    <x v="0"/>
    <s v="Active Ind"/>
    <s v="Checkbox does not display correctly in Edit mode"/>
    <s v="1. Enter edit mode for any row_x000a_2. Check, or uncheck, the Active Ind checkbox - changes do not show while in edit mode_x000a_3. Exit edit mode - Active Ind changes are visible"/>
    <s v="This was a bug with a Syncfusion update that was previously addressed in SP registr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C121BA-5478-4491-989E-213B3C9947CE}" name="PivotTable1" cacheId="16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1" firstHeaderRow="1" firstDataRow="2" firstDataCol="1"/>
  <pivotFields count="10">
    <pivotField compact="0" outline="0" showAll="0"/>
    <pivotField compact="0" numFmtId="164" outline="0" showAll="0"/>
    <pivotField compact="0" outline="0" showAll="0"/>
    <pivotField axis="axisRow" showAll="0" defaultSubtotal="0">
      <items count="2">
        <item x="1"/>
        <item x="0"/>
      </items>
    </pivotField>
    <pivotField axis="axisRow" compact="0" outline="0" showAll="0" defaultSubtotal="0">
      <items count="2">
        <item x="1"/>
        <item x="0"/>
      </items>
    </pivotField>
    <pivotField axis="axisCol" dataField="1" compact="0" outline="0" showAll="0">
      <items count="3">
        <item m="1" x="1"/>
        <item x="0"/>
        <item t="default"/>
      </items>
    </pivotField>
    <pivotField compact="0" outline="0" showAll="0"/>
    <pivotField compact="0" outline="0" showAll="0"/>
    <pivotField compact="0" outline="0" showAll="0"/>
    <pivotField compact="0" outline="0" showAll="0"/>
  </pivotFields>
  <rowFields count="2">
    <field x="3"/>
    <field x="4"/>
  </rowFields>
  <rowItems count="7">
    <i>
      <x/>
    </i>
    <i r="1">
      <x/>
    </i>
    <i r="1">
      <x v="1"/>
    </i>
    <i>
      <x v="1"/>
    </i>
    <i r="1">
      <x/>
    </i>
    <i r="1">
      <x v="1"/>
    </i>
    <i t="grand">
      <x/>
    </i>
  </rowItems>
  <colFields count="1">
    <field x="5"/>
  </colFields>
  <colItems count="2">
    <i>
      <x v="1"/>
    </i>
    <i t="grand">
      <x/>
    </i>
  </colItems>
  <dataFields count="1">
    <dataField name="Count of Statu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hyperlink" Target="https://visionngpreprod.occourts.org/account/login" TargetMode="External"/><Relationship Id="rId2" Type="http://schemas.openxmlformats.org/officeDocument/2006/relationships/hyperlink" Target="https://visionngqa.occourts.org/Account/login" TargetMode="External"/><Relationship Id="rId1" Type="http://schemas.openxmlformats.org/officeDocument/2006/relationships/hyperlink" Target="https://visionngst.occourts.org/Account/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N51"/>
  <sheetViews>
    <sheetView tabSelected="1" zoomScaleNormal="100" workbookViewId="0">
      <pane ySplit="1" topLeftCell="B13" activePane="bottomLeft" state="frozen"/>
      <selection pane="bottomLeft" activeCell="I18" sqref="I18"/>
      <selection activeCell="E2" sqref="A2:F1048576"/>
    </sheetView>
  </sheetViews>
  <sheetFormatPr defaultRowHeight="15"/>
  <cols>
    <col min="1" max="1" width="3" style="14" bestFit="1" customWidth="1"/>
    <col min="2" max="3" width="10.7109375" style="14" customWidth="1"/>
    <col min="4" max="4" width="12.5703125" style="14" bestFit="1" customWidth="1"/>
    <col min="5" max="5" width="10.7109375" style="14" bestFit="1" customWidth="1"/>
    <col min="6" max="6" width="17" style="14" bestFit="1" customWidth="1"/>
    <col min="7" max="7" width="14" style="14" bestFit="1" customWidth="1"/>
    <col min="8" max="8" width="20.7109375" style="3" customWidth="1"/>
    <col min="9" max="10" width="60.7109375" style="14" customWidth="1"/>
    <col min="11" max="11" width="10.7109375" style="15" customWidth="1"/>
    <col min="12" max="12" width="19.42578125" style="14" customWidth="1"/>
    <col min="13" max="13" width="50.7109375" style="3" customWidth="1"/>
    <col min="14" max="14" width="60.7109375" style="14" customWidth="1"/>
    <col min="15" max="16384" width="9.140625" style="14"/>
  </cols>
  <sheetData>
    <row r="1" spans="1:14" s="1" customFormat="1" ht="30">
      <c r="A1" s="4" t="s">
        <v>0</v>
      </c>
      <c r="B1" s="5" t="s">
        <v>1</v>
      </c>
      <c r="C1" s="5" t="s">
        <v>2</v>
      </c>
      <c r="D1" s="5" t="s">
        <v>3</v>
      </c>
      <c r="E1" s="4" t="s">
        <v>4</v>
      </c>
      <c r="F1" s="5" t="s">
        <v>5</v>
      </c>
      <c r="G1" s="5" t="s">
        <v>6</v>
      </c>
      <c r="H1" s="4" t="s">
        <v>7</v>
      </c>
      <c r="I1" s="5" t="s">
        <v>8</v>
      </c>
      <c r="J1" s="4" t="s">
        <v>9</v>
      </c>
      <c r="K1" s="5" t="s">
        <v>10</v>
      </c>
      <c r="L1" s="5" t="s">
        <v>11</v>
      </c>
      <c r="M1" s="4" t="s">
        <v>12</v>
      </c>
      <c r="N1" s="4" t="s">
        <v>13</v>
      </c>
    </row>
    <row r="2" spans="1:14">
      <c r="A2" s="7">
        <f>ROW() - 1</f>
        <v>1</v>
      </c>
      <c r="B2" s="8">
        <v>46260</v>
      </c>
      <c r="C2" s="8" t="s">
        <v>14</v>
      </c>
      <c r="D2" s="9" t="s">
        <v>15</v>
      </c>
      <c r="E2" s="9" t="s">
        <v>16</v>
      </c>
      <c r="F2" s="9" t="s">
        <v>17</v>
      </c>
      <c r="G2" s="9" t="s">
        <v>18</v>
      </c>
      <c r="H2" s="9" t="s">
        <v>19</v>
      </c>
      <c r="I2" s="9" t="s">
        <v>20</v>
      </c>
      <c r="J2" s="9"/>
      <c r="K2" s="12">
        <v>46309</v>
      </c>
      <c r="L2" s="9" t="s">
        <v>21</v>
      </c>
      <c r="M2" s="10"/>
      <c r="N2" s="25" t="s">
        <v>22</v>
      </c>
    </row>
    <row r="3" spans="1:14" ht="30.75">
      <c r="A3" s="7">
        <f t="shared" ref="A3:A43" si="0">ROW() - 1</f>
        <v>2</v>
      </c>
      <c r="B3" s="8">
        <v>46260</v>
      </c>
      <c r="C3" s="8" t="s">
        <v>14</v>
      </c>
      <c r="D3" s="9" t="s">
        <v>15</v>
      </c>
      <c r="E3" s="9" t="s">
        <v>16</v>
      </c>
      <c r="F3" s="9" t="s">
        <v>17</v>
      </c>
      <c r="G3" s="9" t="s">
        <v>23</v>
      </c>
      <c r="H3" s="9" t="s">
        <v>24</v>
      </c>
      <c r="I3" s="6" t="s">
        <v>25</v>
      </c>
      <c r="J3" s="9"/>
      <c r="K3" s="12">
        <v>46309</v>
      </c>
      <c r="L3" s="9" t="s">
        <v>21</v>
      </c>
      <c r="M3" s="10"/>
      <c r="N3" s="25" t="s">
        <v>22</v>
      </c>
    </row>
    <row r="4" spans="1:14" ht="60.75">
      <c r="A4" s="7">
        <f t="shared" si="0"/>
        <v>3</v>
      </c>
      <c r="B4" s="8">
        <v>46260</v>
      </c>
      <c r="C4" s="8" t="s">
        <v>14</v>
      </c>
      <c r="D4" s="9" t="s">
        <v>15</v>
      </c>
      <c r="E4" s="9" t="s">
        <v>26</v>
      </c>
      <c r="F4" s="9" t="s">
        <v>27</v>
      </c>
      <c r="G4" s="9" t="s">
        <v>28</v>
      </c>
      <c r="H4" s="9" t="s">
        <v>29</v>
      </c>
      <c r="I4" s="9" t="s">
        <v>30</v>
      </c>
      <c r="J4" s="9" t="s">
        <v>31</v>
      </c>
      <c r="K4" s="12"/>
      <c r="L4" s="9"/>
      <c r="M4" s="16"/>
      <c r="N4" s="25" t="s">
        <v>22</v>
      </c>
    </row>
    <row r="5" spans="1:14" s="2" customFormat="1" ht="91.5">
      <c r="A5" s="7">
        <f t="shared" si="0"/>
        <v>4</v>
      </c>
      <c r="B5" s="8">
        <v>46260</v>
      </c>
      <c r="C5" s="8" t="s">
        <v>14</v>
      </c>
      <c r="D5" s="9" t="s">
        <v>32</v>
      </c>
      <c r="E5" s="9" t="s">
        <v>26</v>
      </c>
      <c r="F5" s="9" t="s">
        <v>17</v>
      </c>
      <c r="G5" s="9" t="s">
        <v>33</v>
      </c>
      <c r="H5" s="9" t="s">
        <v>34</v>
      </c>
      <c r="I5" s="6" t="s">
        <v>35</v>
      </c>
      <c r="J5" s="9"/>
      <c r="K5" s="12">
        <v>46309</v>
      </c>
      <c r="L5" s="9" t="s">
        <v>21</v>
      </c>
      <c r="M5" s="9"/>
      <c r="N5" s="25" t="s">
        <v>22</v>
      </c>
    </row>
    <row r="6" spans="1:14" ht="45.75">
      <c r="A6" s="7">
        <f t="shared" si="0"/>
        <v>5</v>
      </c>
      <c r="B6" s="8">
        <v>46260</v>
      </c>
      <c r="C6" s="8" t="s">
        <v>14</v>
      </c>
      <c r="D6" s="9" t="s">
        <v>15</v>
      </c>
      <c r="E6" s="9" t="s">
        <v>16</v>
      </c>
      <c r="F6" s="9" t="s">
        <v>17</v>
      </c>
      <c r="G6" s="6" t="s">
        <v>36</v>
      </c>
      <c r="H6" s="9" t="s">
        <v>37</v>
      </c>
      <c r="I6" s="6" t="s">
        <v>38</v>
      </c>
      <c r="J6" s="6" t="s">
        <v>39</v>
      </c>
      <c r="K6" s="13">
        <v>46309</v>
      </c>
      <c r="L6" s="9" t="s">
        <v>21</v>
      </c>
      <c r="M6" s="10"/>
      <c r="N6" s="25" t="s">
        <v>22</v>
      </c>
    </row>
    <row r="7" spans="1:14" ht="91.5">
      <c r="A7" s="7">
        <f t="shared" si="0"/>
        <v>6</v>
      </c>
      <c r="B7" s="8">
        <v>46260</v>
      </c>
      <c r="C7" s="8" t="s">
        <v>14</v>
      </c>
      <c r="D7" s="9" t="s">
        <v>15</v>
      </c>
      <c r="E7" s="9" t="s">
        <v>16</v>
      </c>
      <c r="F7" s="9" t="s">
        <v>17</v>
      </c>
      <c r="G7" s="6" t="s">
        <v>28</v>
      </c>
      <c r="H7" s="6" t="s">
        <v>40</v>
      </c>
      <c r="I7" s="6" t="s">
        <v>41</v>
      </c>
      <c r="J7" s="6" t="s">
        <v>42</v>
      </c>
      <c r="K7" s="13">
        <v>46309</v>
      </c>
      <c r="L7" s="9" t="s">
        <v>21</v>
      </c>
      <c r="M7" s="16"/>
      <c r="N7" s="25" t="s">
        <v>22</v>
      </c>
    </row>
    <row r="8" spans="1:14" ht="45.75">
      <c r="A8" s="7">
        <f t="shared" si="0"/>
        <v>7</v>
      </c>
      <c r="B8" s="8">
        <v>46260</v>
      </c>
      <c r="C8" s="8" t="s">
        <v>14</v>
      </c>
      <c r="D8" s="9" t="s">
        <v>15</v>
      </c>
      <c r="E8" s="9" t="s">
        <v>16</v>
      </c>
      <c r="F8" s="9" t="s">
        <v>27</v>
      </c>
      <c r="G8" s="6" t="s">
        <v>43</v>
      </c>
      <c r="H8" s="9" t="s">
        <v>44</v>
      </c>
      <c r="I8" s="6" t="s">
        <v>45</v>
      </c>
      <c r="J8" s="6"/>
      <c r="K8" s="13">
        <v>46309</v>
      </c>
      <c r="L8" s="9" t="s">
        <v>46</v>
      </c>
      <c r="M8" s="10" t="s">
        <v>47</v>
      </c>
      <c r="N8" s="25" t="s">
        <v>22</v>
      </c>
    </row>
    <row r="9" spans="1:14" ht="91.5">
      <c r="A9" s="7">
        <f t="shared" si="0"/>
        <v>8</v>
      </c>
      <c r="B9" s="8">
        <v>46261</v>
      </c>
      <c r="C9" s="8" t="s">
        <v>14</v>
      </c>
      <c r="D9" s="9" t="s">
        <v>15</v>
      </c>
      <c r="E9" s="9" t="s">
        <v>16</v>
      </c>
      <c r="F9" s="9" t="s">
        <v>27</v>
      </c>
      <c r="G9" s="9" t="s">
        <v>48</v>
      </c>
      <c r="H9" s="9" t="s">
        <v>49</v>
      </c>
      <c r="I9" s="6" t="s">
        <v>50</v>
      </c>
      <c r="J9" s="9" t="s">
        <v>51</v>
      </c>
      <c r="K9" s="13">
        <v>46309</v>
      </c>
      <c r="L9" s="9" t="s">
        <v>46</v>
      </c>
      <c r="M9" s="10" t="s">
        <v>47</v>
      </c>
      <c r="N9" s="25" t="s">
        <v>52</v>
      </c>
    </row>
    <row r="10" spans="1:14" ht="30.75">
      <c r="A10" s="7">
        <f t="shared" si="0"/>
        <v>9</v>
      </c>
      <c r="B10" s="8">
        <v>46262</v>
      </c>
      <c r="C10" s="8" t="s">
        <v>14</v>
      </c>
      <c r="D10" s="9" t="s">
        <v>15</v>
      </c>
      <c r="E10" s="9" t="s">
        <v>16</v>
      </c>
      <c r="F10" s="9" t="s">
        <v>17</v>
      </c>
      <c r="G10" s="9" t="s">
        <v>53</v>
      </c>
      <c r="H10" s="9" t="s">
        <v>54</v>
      </c>
      <c r="I10" s="6" t="s">
        <v>55</v>
      </c>
      <c r="J10" s="11" t="s">
        <v>56</v>
      </c>
      <c r="K10" s="8">
        <v>46309</v>
      </c>
      <c r="L10" s="9" t="s">
        <v>21</v>
      </c>
      <c r="M10" s="16"/>
      <c r="N10" s="25" t="s">
        <v>22</v>
      </c>
    </row>
    <row r="11" spans="1:14" ht="30.75">
      <c r="A11" s="7">
        <f t="shared" si="0"/>
        <v>10</v>
      </c>
      <c r="B11" s="8">
        <v>46262</v>
      </c>
      <c r="C11" s="8" t="s">
        <v>14</v>
      </c>
      <c r="D11" s="9" t="s">
        <v>32</v>
      </c>
      <c r="E11" s="9" t="s">
        <v>16</v>
      </c>
      <c r="F11" s="9" t="s">
        <v>17</v>
      </c>
      <c r="G11" s="9" t="s">
        <v>57</v>
      </c>
      <c r="H11" s="9" t="s">
        <v>58</v>
      </c>
      <c r="I11" s="6" t="s">
        <v>59</v>
      </c>
      <c r="J11" s="11" t="s">
        <v>60</v>
      </c>
      <c r="K11" s="8">
        <v>46309</v>
      </c>
      <c r="L11" s="9" t="s">
        <v>21</v>
      </c>
      <c r="M11" s="10"/>
      <c r="N11" s="25" t="s">
        <v>22</v>
      </c>
    </row>
    <row r="12" spans="1:14" ht="45.75">
      <c r="A12" s="7">
        <f t="shared" si="0"/>
        <v>11</v>
      </c>
      <c r="B12" s="8">
        <v>46262</v>
      </c>
      <c r="C12" s="8" t="s">
        <v>14</v>
      </c>
      <c r="D12" s="9" t="s">
        <v>32</v>
      </c>
      <c r="E12" s="9" t="s">
        <v>26</v>
      </c>
      <c r="F12" s="9" t="s">
        <v>17</v>
      </c>
      <c r="G12" s="9" t="s">
        <v>61</v>
      </c>
      <c r="H12" s="9" t="s">
        <v>62</v>
      </c>
      <c r="I12" s="6" t="s">
        <v>63</v>
      </c>
      <c r="J12" s="11"/>
      <c r="K12" s="8">
        <v>46309</v>
      </c>
      <c r="L12" s="9" t="s">
        <v>64</v>
      </c>
      <c r="M12" s="10" t="s">
        <v>65</v>
      </c>
      <c r="N12" s="25" t="s">
        <v>22</v>
      </c>
    </row>
    <row r="13" spans="1:14" ht="91.5">
      <c r="A13" s="7">
        <f t="shared" si="0"/>
        <v>12</v>
      </c>
      <c r="B13" s="8">
        <v>46262</v>
      </c>
      <c r="C13" s="8" t="s">
        <v>14</v>
      </c>
      <c r="D13" s="9" t="s">
        <v>32</v>
      </c>
      <c r="E13" s="9" t="s">
        <v>16</v>
      </c>
      <c r="F13" s="9" t="s">
        <v>27</v>
      </c>
      <c r="G13" s="11" t="s">
        <v>66</v>
      </c>
      <c r="H13" s="10" t="s">
        <v>67</v>
      </c>
      <c r="I13" s="10" t="s">
        <v>68</v>
      </c>
      <c r="J13" s="11"/>
      <c r="K13" s="13">
        <v>46309</v>
      </c>
      <c r="L13" s="9" t="s">
        <v>46</v>
      </c>
      <c r="M13" s="10" t="s">
        <v>47</v>
      </c>
      <c r="N13" s="25" t="s">
        <v>22</v>
      </c>
    </row>
    <row r="14" spans="1:14" ht="60.75">
      <c r="A14" s="7">
        <f t="shared" si="0"/>
        <v>13</v>
      </c>
      <c r="B14" s="8">
        <v>46262</v>
      </c>
      <c r="C14" s="8" t="s">
        <v>14</v>
      </c>
      <c r="D14" s="9" t="s">
        <v>15</v>
      </c>
      <c r="E14" s="9" t="s">
        <v>16</v>
      </c>
      <c r="F14" s="9" t="s">
        <v>17</v>
      </c>
      <c r="G14" s="11" t="s">
        <v>69</v>
      </c>
      <c r="H14" s="10" t="s">
        <v>70</v>
      </c>
      <c r="I14" s="10" t="s">
        <v>71</v>
      </c>
      <c r="J14" s="10" t="s">
        <v>72</v>
      </c>
      <c r="K14" s="8">
        <v>46309</v>
      </c>
      <c r="L14" s="9" t="s">
        <v>21</v>
      </c>
      <c r="M14" s="10"/>
      <c r="N14" s="25" t="s">
        <v>22</v>
      </c>
    </row>
    <row r="15" spans="1:14" ht="60.75">
      <c r="A15" s="7">
        <f t="shared" si="0"/>
        <v>14</v>
      </c>
      <c r="B15" s="8">
        <v>46266</v>
      </c>
      <c r="C15" s="8" t="s">
        <v>14</v>
      </c>
      <c r="D15" s="9" t="s">
        <v>15</v>
      </c>
      <c r="E15" s="9" t="s">
        <v>16</v>
      </c>
      <c r="F15" s="9" t="s">
        <v>27</v>
      </c>
      <c r="G15" s="9" t="s">
        <v>53</v>
      </c>
      <c r="H15" s="9" t="s">
        <v>73</v>
      </c>
      <c r="I15" s="6" t="s">
        <v>74</v>
      </c>
      <c r="J15" s="9" t="s">
        <v>75</v>
      </c>
      <c r="K15" s="8">
        <v>46309</v>
      </c>
      <c r="L15" s="9" t="s">
        <v>46</v>
      </c>
      <c r="M15" s="10" t="s">
        <v>76</v>
      </c>
      <c r="N15" s="9"/>
    </row>
    <row r="16" spans="1:14" ht="76.5">
      <c r="A16" s="7">
        <f t="shared" si="0"/>
        <v>15</v>
      </c>
      <c r="B16" s="8">
        <v>46266</v>
      </c>
      <c r="C16" s="8" t="s">
        <v>14</v>
      </c>
      <c r="D16" s="9" t="s">
        <v>15</v>
      </c>
      <c r="E16" s="9" t="s">
        <v>16</v>
      </c>
      <c r="F16" s="9" t="s">
        <v>17</v>
      </c>
      <c r="G16" s="9" t="s">
        <v>53</v>
      </c>
      <c r="H16" s="9" t="s">
        <v>77</v>
      </c>
      <c r="I16" s="10" t="s">
        <v>78</v>
      </c>
      <c r="J16" s="10" t="s">
        <v>79</v>
      </c>
      <c r="K16" s="8">
        <v>46309</v>
      </c>
      <c r="L16" s="9" t="s">
        <v>21</v>
      </c>
      <c r="M16" s="10"/>
      <c r="N16" s="11"/>
    </row>
    <row r="17" spans="1:14" ht="45.75">
      <c r="A17" s="7">
        <f t="shared" si="0"/>
        <v>16</v>
      </c>
      <c r="B17" s="8">
        <v>46309</v>
      </c>
      <c r="C17" s="8" t="s">
        <v>14</v>
      </c>
      <c r="D17" s="9" t="s">
        <v>15</v>
      </c>
      <c r="E17" s="9" t="s">
        <v>16</v>
      </c>
      <c r="F17" s="9" t="s">
        <v>80</v>
      </c>
      <c r="G17" s="11" t="s">
        <v>81</v>
      </c>
      <c r="H17" s="10" t="s">
        <v>82</v>
      </c>
      <c r="I17" s="10" t="s">
        <v>83</v>
      </c>
      <c r="J17" s="11"/>
      <c r="K17" s="8"/>
      <c r="L17" s="9"/>
      <c r="M17" s="10"/>
      <c r="N17" s="11"/>
    </row>
    <row r="18" spans="1:14" ht="30.75">
      <c r="A18" s="7">
        <f t="shared" si="0"/>
        <v>17</v>
      </c>
      <c r="B18" s="8">
        <v>46309</v>
      </c>
      <c r="C18" s="8" t="s">
        <v>14</v>
      </c>
      <c r="D18" s="9" t="s">
        <v>15</v>
      </c>
      <c r="E18" s="9" t="s">
        <v>16</v>
      </c>
      <c r="F18" s="9" t="s">
        <v>80</v>
      </c>
      <c r="G18" s="11" t="s">
        <v>61</v>
      </c>
      <c r="H18" s="10" t="s">
        <v>84</v>
      </c>
      <c r="I18" s="10" t="s">
        <v>85</v>
      </c>
      <c r="J18" s="11"/>
      <c r="K18" s="8"/>
      <c r="L18" s="9"/>
      <c r="M18" s="10"/>
      <c r="N18" s="11"/>
    </row>
    <row r="19" spans="1:14">
      <c r="A19" s="7">
        <f t="shared" si="0"/>
        <v>18</v>
      </c>
      <c r="B19" s="8"/>
      <c r="C19" s="8"/>
      <c r="D19" s="9"/>
      <c r="E19" s="9"/>
      <c r="F19" s="9"/>
      <c r="G19" s="11"/>
      <c r="H19" s="10"/>
      <c r="I19" s="10"/>
      <c r="J19" s="10"/>
      <c r="K19" s="8"/>
      <c r="L19" s="9"/>
      <c r="M19" s="10"/>
      <c r="N19" s="10"/>
    </row>
    <row r="20" spans="1:14">
      <c r="A20" s="7">
        <f t="shared" si="0"/>
        <v>19</v>
      </c>
      <c r="B20" s="8"/>
      <c r="C20" s="8"/>
      <c r="D20" s="9"/>
      <c r="E20" s="9"/>
      <c r="F20" s="9"/>
      <c r="G20" s="11"/>
      <c r="H20" s="10"/>
      <c r="I20" s="10"/>
      <c r="J20" s="11"/>
      <c r="K20" s="8"/>
      <c r="L20" s="9"/>
      <c r="M20" s="10"/>
      <c r="N20" s="11"/>
    </row>
    <row r="21" spans="1:14">
      <c r="A21" s="7">
        <f t="shared" si="0"/>
        <v>20</v>
      </c>
      <c r="B21" s="8"/>
      <c r="C21" s="8"/>
      <c r="D21" s="9"/>
      <c r="E21" s="9"/>
      <c r="F21" s="9"/>
      <c r="G21" s="11"/>
      <c r="H21" s="10"/>
      <c r="I21" s="10"/>
      <c r="J21" s="10"/>
      <c r="K21" s="8"/>
      <c r="L21" s="9"/>
      <c r="M21" s="10"/>
      <c r="N21" s="10"/>
    </row>
    <row r="22" spans="1:14">
      <c r="A22" s="7">
        <f t="shared" si="0"/>
        <v>21</v>
      </c>
      <c r="B22" s="8"/>
      <c r="C22" s="8"/>
      <c r="D22" s="9"/>
      <c r="E22" s="9"/>
      <c r="F22" s="9"/>
      <c r="G22" s="11"/>
      <c r="H22" s="10"/>
      <c r="I22" s="10"/>
      <c r="J22" s="10"/>
      <c r="K22" s="8"/>
      <c r="L22" s="9"/>
      <c r="M22" s="10"/>
      <c r="N22" s="10"/>
    </row>
    <row r="23" spans="1:14">
      <c r="A23" s="7">
        <f t="shared" si="0"/>
        <v>22</v>
      </c>
      <c r="B23" s="8"/>
      <c r="C23" s="8"/>
      <c r="D23" s="9"/>
      <c r="E23" s="9"/>
      <c r="F23" s="9"/>
      <c r="G23" s="11"/>
      <c r="H23" s="10"/>
      <c r="I23" s="10"/>
      <c r="J23" s="11"/>
      <c r="K23" s="8"/>
      <c r="L23" s="9"/>
      <c r="M23" s="10"/>
      <c r="N23" s="11"/>
    </row>
    <row r="24" spans="1:14">
      <c r="A24" s="7">
        <f t="shared" si="0"/>
        <v>23</v>
      </c>
      <c r="B24" s="8"/>
      <c r="C24" s="8"/>
      <c r="D24" s="9"/>
      <c r="E24" s="9"/>
      <c r="F24" s="9"/>
      <c r="G24" s="11"/>
      <c r="H24" s="10"/>
      <c r="I24" s="11"/>
      <c r="J24" s="11"/>
      <c r="K24" s="8"/>
      <c r="L24" s="9"/>
      <c r="M24" s="10"/>
      <c r="N24" s="11"/>
    </row>
    <row r="25" spans="1:14">
      <c r="A25" s="7">
        <f t="shared" si="0"/>
        <v>24</v>
      </c>
      <c r="B25" s="11"/>
      <c r="C25" s="8"/>
      <c r="D25" s="9"/>
      <c r="E25" s="9"/>
      <c r="F25" s="9"/>
      <c r="G25" s="11"/>
      <c r="H25" s="10"/>
      <c r="I25" s="11"/>
      <c r="J25" s="11"/>
      <c r="K25" s="8"/>
      <c r="L25" s="9"/>
      <c r="M25" s="10"/>
      <c r="N25" s="11"/>
    </row>
    <row r="26" spans="1:14">
      <c r="A26" s="7">
        <f t="shared" si="0"/>
        <v>25</v>
      </c>
      <c r="B26" s="11"/>
      <c r="C26" s="8"/>
      <c r="D26" s="9"/>
      <c r="E26" s="9"/>
      <c r="F26" s="9"/>
      <c r="G26" s="11"/>
      <c r="H26" s="10"/>
      <c r="I26" s="11"/>
      <c r="J26" s="11"/>
      <c r="K26" s="8"/>
      <c r="L26" s="9"/>
      <c r="M26" s="10"/>
      <c r="N26" s="11"/>
    </row>
    <row r="27" spans="1:14">
      <c r="A27" s="7">
        <f t="shared" si="0"/>
        <v>26</v>
      </c>
      <c r="B27" s="11"/>
      <c r="C27" s="8"/>
      <c r="D27" s="9"/>
      <c r="E27" s="9"/>
      <c r="F27" s="9"/>
      <c r="G27" s="11"/>
      <c r="H27" s="10"/>
      <c r="I27" s="11"/>
      <c r="J27" s="11"/>
      <c r="K27" s="8"/>
      <c r="L27" s="9"/>
      <c r="M27" s="10"/>
      <c r="N27" s="11"/>
    </row>
    <row r="28" spans="1:14">
      <c r="A28" s="7">
        <f t="shared" si="0"/>
        <v>27</v>
      </c>
      <c r="B28" s="11"/>
      <c r="C28" s="8"/>
      <c r="D28" s="9"/>
      <c r="E28" s="9"/>
      <c r="F28" s="9"/>
      <c r="G28" s="11"/>
      <c r="H28" s="10"/>
      <c r="I28" s="11"/>
      <c r="J28" s="11"/>
      <c r="K28" s="8"/>
      <c r="L28" s="9"/>
      <c r="M28" s="10"/>
      <c r="N28" s="11"/>
    </row>
    <row r="29" spans="1:14">
      <c r="A29" s="7">
        <f t="shared" si="0"/>
        <v>28</v>
      </c>
      <c r="B29" s="11"/>
      <c r="C29" s="8"/>
      <c r="D29" s="9"/>
      <c r="E29" s="9"/>
      <c r="F29" s="9"/>
      <c r="G29" s="11"/>
      <c r="H29" s="10"/>
      <c r="I29" s="11"/>
      <c r="J29" s="11"/>
      <c r="K29" s="8"/>
      <c r="L29" s="9"/>
      <c r="M29" s="10"/>
      <c r="N29" s="11"/>
    </row>
    <row r="30" spans="1:14">
      <c r="A30" s="7">
        <f t="shared" si="0"/>
        <v>29</v>
      </c>
      <c r="B30" s="11"/>
      <c r="C30" s="8"/>
      <c r="D30" s="9"/>
      <c r="E30" s="9"/>
      <c r="F30" s="9"/>
      <c r="G30" s="11"/>
      <c r="H30" s="10"/>
      <c r="I30" s="11"/>
      <c r="J30" s="11"/>
      <c r="K30" s="8"/>
      <c r="L30" s="9"/>
      <c r="M30" s="10"/>
      <c r="N30" s="11"/>
    </row>
    <row r="31" spans="1:14">
      <c r="A31" s="7">
        <f t="shared" si="0"/>
        <v>30</v>
      </c>
      <c r="B31" s="11"/>
      <c r="C31" s="8"/>
      <c r="D31" s="9"/>
      <c r="E31" s="9"/>
      <c r="F31" s="9"/>
      <c r="G31" s="11"/>
      <c r="H31" s="10"/>
      <c r="I31" s="11"/>
      <c r="J31" s="11"/>
      <c r="K31" s="8"/>
      <c r="L31" s="9"/>
      <c r="M31" s="10"/>
      <c r="N31" s="11"/>
    </row>
    <row r="32" spans="1:14">
      <c r="A32" s="7">
        <f t="shared" si="0"/>
        <v>31</v>
      </c>
      <c r="B32" s="11"/>
      <c r="C32" s="8"/>
      <c r="D32" s="9"/>
      <c r="E32" s="9"/>
      <c r="F32" s="9"/>
      <c r="G32" s="11"/>
      <c r="H32" s="10"/>
      <c r="I32" s="11"/>
      <c r="J32" s="11"/>
      <c r="K32" s="8"/>
      <c r="L32" s="9"/>
      <c r="M32" s="10"/>
      <c r="N32" s="11"/>
    </row>
    <row r="33" spans="1:14">
      <c r="A33" s="7">
        <f t="shared" si="0"/>
        <v>32</v>
      </c>
      <c r="B33" s="11"/>
      <c r="C33" s="8"/>
      <c r="D33" s="9"/>
      <c r="E33" s="9"/>
      <c r="F33" s="9"/>
      <c r="G33" s="11"/>
      <c r="H33" s="10"/>
      <c r="I33" s="11"/>
      <c r="J33" s="11"/>
      <c r="K33" s="8"/>
      <c r="L33" s="9"/>
      <c r="M33" s="10"/>
      <c r="N33" s="11"/>
    </row>
    <row r="34" spans="1:14">
      <c r="A34" s="7">
        <f t="shared" si="0"/>
        <v>33</v>
      </c>
      <c r="B34" s="11"/>
      <c r="C34" s="8"/>
      <c r="D34" s="9"/>
      <c r="E34" s="9"/>
      <c r="F34" s="9"/>
      <c r="G34" s="11"/>
      <c r="H34" s="10"/>
      <c r="I34" s="11"/>
      <c r="J34" s="11"/>
      <c r="K34" s="8"/>
      <c r="L34" s="9"/>
      <c r="M34" s="10"/>
      <c r="N34" s="11"/>
    </row>
    <row r="35" spans="1:14">
      <c r="A35" s="7">
        <f t="shared" si="0"/>
        <v>34</v>
      </c>
      <c r="B35" s="11"/>
      <c r="C35" s="8"/>
      <c r="D35" s="9"/>
      <c r="E35" s="9"/>
      <c r="F35" s="9"/>
      <c r="G35" s="11"/>
      <c r="H35" s="10"/>
      <c r="I35" s="11"/>
      <c r="J35" s="11"/>
      <c r="K35" s="8"/>
      <c r="L35" s="9"/>
      <c r="M35" s="10"/>
      <c r="N35" s="11"/>
    </row>
    <row r="36" spans="1:14">
      <c r="A36" s="7">
        <f t="shared" si="0"/>
        <v>35</v>
      </c>
      <c r="B36" s="11"/>
      <c r="C36" s="8"/>
      <c r="D36" s="9"/>
      <c r="E36" s="9"/>
      <c r="F36" s="9"/>
      <c r="G36" s="11"/>
      <c r="H36" s="10"/>
      <c r="I36" s="11"/>
      <c r="J36" s="11"/>
      <c r="K36" s="8"/>
      <c r="L36" s="9"/>
      <c r="M36" s="10"/>
      <c r="N36" s="11"/>
    </row>
    <row r="37" spans="1:14">
      <c r="A37" s="7">
        <f t="shared" si="0"/>
        <v>36</v>
      </c>
      <c r="B37" s="11"/>
      <c r="C37" s="8"/>
      <c r="D37" s="9"/>
      <c r="E37" s="9"/>
      <c r="F37" s="9"/>
      <c r="G37" s="11"/>
      <c r="H37" s="10"/>
      <c r="I37" s="11"/>
      <c r="J37" s="11"/>
      <c r="K37" s="8"/>
      <c r="L37" s="9"/>
      <c r="M37" s="10"/>
      <c r="N37" s="11"/>
    </row>
    <row r="38" spans="1:14">
      <c r="A38" s="7">
        <f t="shared" si="0"/>
        <v>37</v>
      </c>
      <c r="B38" s="11"/>
      <c r="C38" s="8"/>
      <c r="D38" s="9"/>
      <c r="E38" s="9"/>
      <c r="F38" s="9"/>
      <c r="G38" s="11"/>
      <c r="H38" s="10"/>
      <c r="I38" s="11"/>
      <c r="J38" s="11"/>
      <c r="K38" s="8"/>
      <c r="L38" s="9"/>
      <c r="M38" s="10"/>
      <c r="N38" s="11"/>
    </row>
    <row r="39" spans="1:14">
      <c r="A39" s="7">
        <f t="shared" si="0"/>
        <v>38</v>
      </c>
      <c r="B39" s="11"/>
      <c r="C39" s="8"/>
      <c r="D39" s="9"/>
      <c r="E39" s="9"/>
      <c r="F39" s="9"/>
      <c r="G39" s="11"/>
      <c r="H39" s="10"/>
      <c r="I39" s="11"/>
      <c r="J39" s="11"/>
      <c r="K39" s="8"/>
      <c r="L39" s="9"/>
      <c r="M39" s="10"/>
      <c r="N39" s="11"/>
    </row>
    <row r="40" spans="1:14">
      <c r="A40" s="7">
        <f t="shared" si="0"/>
        <v>39</v>
      </c>
      <c r="B40" s="11"/>
      <c r="C40" s="8"/>
      <c r="D40" s="9"/>
      <c r="E40" s="9"/>
      <c r="F40" s="9"/>
      <c r="G40" s="11"/>
      <c r="H40" s="10"/>
      <c r="I40" s="11"/>
      <c r="J40" s="11"/>
      <c r="K40" s="8"/>
      <c r="L40" s="9"/>
      <c r="M40" s="10"/>
      <c r="N40" s="11"/>
    </row>
    <row r="41" spans="1:14">
      <c r="A41" s="7">
        <f t="shared" si="0"/>
        <v>40</v>
      </c>
      <c r="B41" s="11"/>
      <c r="C41" s="8"/>
      <c r="D41" s="9"/>
      <c r="E41" s="9"/>
      <c r="F41" s="9"/>
      <c r="G41" s="11"/>
      <c r="H41" s="10"/>
      <c r="I41" s="11"/>
      <c r="J41" s="11"/>
      <c r="K41" s="8"/>
      <c r="L41" s="9"/>
      <c r="M41" s="10"/>
      <c r="N41" s="11"/>
    </row>
    <row r="42" spans="1:14">
      <c r="A42" s="7">
        <f t="shared" si="0"/>
        <v>41</v>
      </c>
      <c r="B42" s="11"/>
      <c r="C42" s="8"/>
      <c r="D42" s="9"/>
      <c r="E42" s="9"/>
      <c r="F42" s="9"/>
      <c r="G42" s="11"/>
      <c r="H42" s="10"/>
      <c r="I42" s="11"/>
      <c r="J42" s="11"/>
      <c r="K42" s="8"/>
      <c r="L42" s="9"/>
      <c r="M42" s="10"/>
      <c r="N42" s="11"/>
    </row>
    <row r="43" spans="1:14">
      <c r="A43" s="7">
        <f t="shared" si="0"/>
        <v>42</v>
      </c>
      <c r="B43" s="11"/>
      <c r="C43" s="8"/>
      <c r="D43" s="9"/>
      <c r="E43" s="9"/>
      <c r="F43" s="9"/>
      <c r="G43" s="11"/>
      <c r="H43" s="10"/>
      <c r="I43" s="11"/>
      <c r="J43" s="11"/>
      <c r="K43" s="8"/>
      <c r="L43" s="9"/>
      <c r="M43" s="10"/>
      <c r="N43" s="11"/>
    </row>
    <row r="44" spans="1:14">
      <c r="A44" s="18"/>
      <c r="B44" s="18"/>
      <c r="C44" s="18"/>
      <c r="D44" s="18"/>
      <c r="E44" s="18"/>
      <c r="F44" s="18"/>
      <c r="G44" s="18"/>
      <c r="H44" s="19"/>
      <c r="I44" s="18"/>
      <c r="J44" s="18"/>
      <c r="K44" s="20"/>
      <c r="L44" s="18"/>
      <c r="M44" s="19"/>
      <c r="N44" s="18"/>
    </row>
    <row r="45" spans="1:14">
      <c r="A45" s="18"/>
      <c r="B45" s="18"/>
      <c r="C45" s="18"/>
      <c r="D45" s="18"/>
      <c r="E45" s="18"/>
      <c r="F45" s="18"/>
      <c r="G45" s="18"/>
      <c r="H45" s="19"/>
      <c r="I45" s="18"/>
      <c r="J45" s="18"/>
      <c r="K45" s="20"/>
      <c r="L45" s="18"/>
      <c r="M45" s="19"/>
      <c r="N45" s="18"/>
    </row>
    <row r="46" spans="1:14">
      <c r="A46" s="18"/>
      <c r="B46" s="18"/>
      <c r="C46" s="18"/>
      <c r="D46" s="18"/>
      <c r="E46" s="18"/>
      <c r="F46" s="18"/>
      <c r="G46" s="18"/>
      <c r="H46" s="19"/>
      <c r="I46" s="18"/>
      <c r="J46" s="18"/>
      <c r="K46" s="20"/>
      <c r="L46" s="18"/>
      <c r="M46" s="19"/>
      <c r="N46" s="18"/>
    </row>
    <row r="47" spans="1:14">
      <c r="A47" s="18"/>
      <c r="B47" s="18"/>
      <c r="C47" s="18"/>
      <c r="D47" s="18"/>
      <c r="E47" s="18"/>
      <c r="F47" s="18"/>
      <c r="G47" s="18"/>
      <c r="H47" s="19"/>
      <c r="I47" s="18"/>
      <c r="J47" s="18"/>
      <c r="K47" s="20"/>
      <c r="L47" s="18"/>
      <c r="M47" s="19"/>
      <c r="N47" s="18"/>
    </row>
    <row r="48" spans="1:14">
      <c r="A48" s="18"/>
      <c r="B48" s="18"/>
      <c r="C48" s="18"/>
      <c r="D48" s="18"/>
      <c r="E48" s="18"/>
      <c r="F48" s="18"/>
      <c r="G48" s="18"/>
      <c r="H48" s="19"/>
      <c r="I48" s="18"/>
      <c r="J48" s="18"/>
      <c r="K48" s="20"/>
      <c r="L48" s="18"/>
      <c r="M48" s="19"/>
      <c r="N48" s="18"/>
    </row>
    <row r="49" spans="1:14">
      <c r="A49" s="18"/>
      <c r="B49" s="18"/>
      <c r="C49" s="18"/>
      <c r="D49" s="18"/>
      <c r="E49" s="18"/>
      <c r="F49" s="18"/>
      <c r="G49" s="18"/>
      <c r="H49" s="19"/>
      <c r="I49" s="18"/>
      <c r="J49" s="18"/>
      <c r="K49" s="20"/>
      <c r="L49" s="18"/>
      <c r="M49" s="19"/>
      <c r="N49" s="18"/>
    </row>
    <row r="50" spans="1:14">
      <c r="A50" s="18"/>
      <c r="B50" s="18"/>
      <c r="C50" s="18"/>
      <c r="D50" s="18"/>
      <c r="E50" s="18"/>
      <c r="F50" s="18"/>
      <c r="G50" s="18"/>
      <c r="H50" s="19"/>
      <c r="I50" s="18"/>
      <c r="J50" s="18"/>
      <c r="K50" s="20"/>
      <c r="L50" s="18"/>
      <c r="M50" s="19"/>
      <c r="N50" s="18"/>
    </row>
    <row r="51" spans="1:14">
      <c r="A51" s="18"/>
      <c r="B51" s="18"/>
      <c r="C51" s="18"/>
      <c r="D51" s="18"/>
      <c r="E51" s="18"/>
      <c r="F51" s="18"/>
      <c r="G51" s="18"/>
      <c r="H51" s="19"/>
      <c r="I51" s="18"/>
      <c r="J51" s="18"/>
      <c r="K51" s="20"/>
      <c r="L51" s="18"/>
      <c r="M51" s="19"/>
      <c r="N51" s="18"/>
    </row>
  </sheetData>
  <conditionalFormatting sqref="F1:F1048576">
    <cfRule type="containsText" dxfId="7" priority="4" operator="containsText" text="Resolved">
      <formula>NOT(ISERROR(SEARCH("Resolved",F1)))</formula>
    </cfRule>
  </conditionalFormatting>
  <conditionalFormatting sqref="F2:F1048576">
    <cfRule type="containsText" dxfId="6" priority="1" operator="containsText" text="No Action">
      <formula>NOT(ISERROR(SEARCH("No Action",F2)))</formula>
    </cfRule>
    <cfRule type="containsText" dxfId="5" priority="2" operator="containsText" text="New">
      <formula>NOT(ISERROR(SEARCH("New",F2)))</formula>
    </cfRule>
    <cfRule type="containsText" dxfId="4" priority="3" operator="containsText" text="Retest In Progress">
      <formula>NOT(ISERROR(SEARCH("Retest In Progress",F2)))</formula>
    </cfRule>
    <cfRule type="containsText" dxfId="3" priority="5" operator="containsText" text="Return to Dev">
      <formula>NOT(ISERROR(SEARCH("Return to Dev",F2)))</formula>
    </cfRule>
  </conditionalFormatting>
  <conditionalFormatting sqref="L2:L1048576">
    <cfRule type="containsText" dxfId="2" priority="10" operator="containsText" text="Pass with Comments">
      <formula>NOT(ISERROR(SEARCH("Pass with Comments",L2)))</formula>
    </cfRule>
    <cfRule type="containsText" dxfId="1" priority="11" operator="containsText" text="Fail">
      <formula>NOT(ISERROR(SEARCH("Fail",L2)))</formula>
    </cfRule>
    <cfRule type="containsText" dxfId="0" priority="12" operator="containsText" text="Pass">
      <formula>NOT(ISERROR(SEARCH("Pass",L2)))</formula>
    </cfRule>
  </conditionalFormatting>
  <dataValidations count="1">
    <dataValidation type="list" allowBlank="1" showInputMessage="1" showErrorMessage="1" sqref="C2:C43" xr:uid="{A0E44C65-F303-4B81-90E6-640E3027D3BB}">
      <formula1>"Both,Web Only,PB Only"</formula1>
    </dataValidation>
  </dataValidation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r:uid="{13D3BE25-BF98-4733-B1E7-AA4DB88ADC41}">
          <x14:formula1>
            <xm:f>Sheet2!$C$2:$C$6</xm:f>
          </x14:formula1>
          <xm:sqref>F2:F1048576</xm:sqref>
        </x14:dataValidation>
        <x14:dataValidation type="list" allowBlank="1" showInputMessage="1" showErrorMessage="1" xr:uid="{A20A9F25-0DE4-45B6-B5B3-B6F8EA25DBA6}">
          <x14:formula1>
            <xm:f>Sheet2!$A$1:$A$3</xm:f>
          </x14:formula1>
          <xm:sqref>L2:L43</xm:sqref>
        </x14:dataValidation>
        <x14:dataValidation type="list" allowBlank="1" showInputMessage="1" showErrorMessage="1" xr:uid="{E7C9154B-8A5C-4F27-AF31-58E8AF26A163}">
          <x14:formula1>
            <xm:f>Sheet2!$F$1:$F$3</xm:f>
          </x14:formula1>
          <xm:sqref>E2:E1048576</xm:sqref>
        </x14:dataValidation>
        <x14:dataValidation type="list" allowBlank="1" showInputMessage="1" showErrorMessage="1" xr:uid="{3906557F-AEE2-41CE-81DC-5F122F965822}">
          <x14:formula1>
            <xm:f>Sheet2!$H$1:$H$2</xm:f>
          </x14:formula1>
          <xm:sqref>D2:D43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D8C7E-4480-40C1-A460-0C02ACF5DB07}">
  <dimension ref="A1:E11"/>
  <sheetViews>
    <sheetView workbookViewId="0">
      <selection activeCell="F8" sqref="F8"/>
    </sheetView>
  </sheetViews>
  <sheetFormatPr defaultRowHeight="15"/>
  <cols>
    <col min="1" max="1" width="14.85546875" bestFit="1" customWidth="1"/>
    <col min="2" max="2" width="17.7109375" bestFit="1" customWidth="1"/>
    <col min="3" max="5" width="11.42578125" bestFit="1" customWidth="1"/>
  </cols>
  <sheetData>
    <row r="1" spans="1:5">
      <c r="A1" s="26" t="s">
        <v>86</v>
      </c>
      <c r="B1" s="26"/>
      <c r="C1" s="26"/>
      <c r="D1" s="26"/>
      <c r="E1" s="26"/>
    </row>
    <row r="2" spans="1:5">
      <c r="A2" s="26"/>
      <c r="B2" s="26"/>
      <c r="C2" s="26"/>
      <c r="D2" s="26"/>
      <c r="E2" s="26"/>
    </row>
    <row r="3" spans="1:5">
      <c r="A3" s="21" t="s">
        <v>87</v>
      </c>
      <c r="B3" s="21" t="s">
        <v>88</v>
      </c>
    </row>
    <row r="4" spans="1:5">
      <c r="A4" s="21" t="s">
        <v>89</v>
      </c>
      <c r="B4" t="s">
        <v>80</v>
      </c>
      <c r="C4" t="s">
        <v>90</v>
      </c>
    </row>
    <row r="5" spans="1:5">
      <c r="A5" s="23" t="s">
        <v>32</v>
      </c>
      <c r="B5" s="22"/>
      <c r="C5" s="22"/>
    </row>
    <row r="6" spans="1:5">
      <c r="A6" s="24" t="s">
        <v>26</v>
      </c>
      <c r="B6" s="22">
        <v>2</v>
      </c>
      <c r="C6" s="22">
        <v>2</v>
      </c>
    </row>
    <row r="7" spans="1:5">
      <c r="A7" s="24" t="s">
        <v>16</v>
      </c>
      <c r="B7" s="22">
        <v>2</v>
      </c>
      <c r="C7" s="22">
        <v>2</v>
      </c>
    </row>
    <row r="8" spans="1:5">
      <c r="A8" s="23" t="s">
        <v>15</v>
      </c>
      <c r="B8" s="22"/>
      <c r="C8" s="22"/>
    </row>
    <row r="9" spans="1:5">
      <c r="A9" s="24" t="s">
        <v>26</v>
      </c>
      <c r="B9" s="22">
        <v>1</v>
      </c>
      <c r="C9" s="22">
        <v>1</v>
      </c>
    </row>
    <row r="10" spans="1:5">
      <c r="A10" s="24" t="s">
        <v>16</v>
      </c>
      <c r="B10" s="22">
        <v>8</v>
      </c>
      <c r="C10" s="22">
        <v>8</v>
      </c>
    </row>
    <row r="11" spans="1:5">
      <c r="A11" s="23" t="s">
        <v>90</v>
      </c>
      <c r="B11" s="22">
        <v>13</v>
      </c>
      <c r="C11" s="22">
        <v>13</v>
      </c>
    </row>
  </sheetData>
  <mergeCells count="1">
    <mergeCell ref="A1: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7C432-DCF9-4E80-A46F-16A4169F9DE9}">
  <dimension ref="A1:J28"/>
  <sheetViews>
    <sheetView topLeftCell="A21" workbookViewId="0">
      <selection activeCell="J34" sqref="J34"/>
    </sheetView>
  </sheetViews>
  <sheetFormatPr defaultRowHeight="15"/>
  <sheetData>
    <row r="1" spans="1:10">
      <c r="A1" t="s">
        <v>91</v>
      </c>
      <c r="B1" t="s">
        <v>92</v>
      </c>
    </row>
    <row r="2" spans="1:10">
      <c r="A2">
        <v>6</v>
      </c>
      <c r="B2" t="s">
        <v>93</v>
      </c>
      <c r="J2" t="s">
        <v>94</v>
      </c>
    </row>
    <row r="17" spans="1:1">
      <c r="A17">
        <v>7</v>
      </c>
    </row>
    <row r="28" spans="1:1">
      <c r="A28">
        <v>15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44293-9396-486A-B671-FF8941BB9227}">
  <dimension ref="A1:B3"/>
  <sheetViews>
    <sheetView workbookViewId="0">
      <selection activeCell="B7" sqref="B7"/>
    </sheetView>
  </sheetViews>
  <sheetFormatPr defaultRowHeight="15"/>
  <cols>
    <col min="2" max="2" width="52.7109375" customWidth="1"/>
  </cols>
  <sheetData>
    <row r="1" spans="1:2">
      <c r="A1" t="s">
        <v>95</v>
      </c>
      <c r="B1" s="17" t="s">
        <v>96</v>
      </c>
    </row>
    <row r="2" spans="1:2">
      <c r="A2" t="s">
        <v>97</v>
      </c>
      <c r="B2" s="17" t="s">
        <v>98</v>
      </c>
    </row>
    <row r="3" spans="1:2">
      <c r="A3" t="s">
        <v>99</v>
      </c>
      <c r="B3" s="17" t="s">
        <v>100</v>
      </c>
    </row>
  </sheetData>
  <hyperlinks>
    <hyperlink ref="B1" r:id="rId1" xr:uid="{1B912E08-B722-4A18-AD24-507122DC673C}"/>
    <hyperlink ref="B2" r:id="rId2" xr:uid="{A7B8C740-B703-4947-BD13-BE114D673D87}"/>
    <hyperlink ref="B3" r:id="rId3" xr:uid="{25AB9442-634E-4298-8E38-701455971DF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I14" sqref="I14"/>
    </sheetView>
  </sheetViews>
  <sheetFormatPr defaultRowHeight="15"/>
  <cols>
    <col min="1" max="1" width="19.5703125" bestFit="1" customWidth="1"/>
  </cols>
  <sheetData>
    <row r="1" spans="1:8">
      <c r="A1" t="s">
        <v>21</v>
      </c>
      <c r="F1" t="s">
        <v>101</v>
      </c>
      <c r="H1" t="s">
        <v>32</v>
      </c>
    </row>
    <row r="2" spans="1:8">
      <c r="A2" t="s">
        <v>46</v>
      </c>
      <c r="C2" t="s">
        <v>102</v>
      </c>
      <c r="F2" t="s">
        <v>26</v>
      </c>
      <c r="H2" t="s">
        <v>15</v>
      </c>
    </row>
    <row r="3" spans="1:8">
      <c r="A3" t="s">
        <v>64</v>
      </c>
      <c r="C3" t="s">
        <v>27</v>
      </c>
      <c r="F3" t="s">
        <v>16</v>
      </c>
    </row>
    <row r="4" spans="1:8">
      <c r="C4" t="s">
        <v>17</v>
      </c>
    </row>
    <row r="5" spans="1:8">
      <c r="C5" t="s">
        <v>80</v>
      </c>
    </row>
    <row r="6" spans="1:8">
      <c r="C6" t="s">
        <v>103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19</xvqq>
    <Notes xmlns="3d05c41d-42c7-4345-8236-8005f0c89855">Dev: JC/NV/JL | BSA: BY</Notes>
    <lcf76f155ced4ddcb4097134ff3c332f xmlns="3d05c41d-42c7-4345-8236-8005f0c8985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5146E5-CF4E-4085-BE9F-ED12D10E8B13}"/>
</file>

<file path=customXml/itemProps2.xml><?xml version="1.0" encoding="utf-8"?>
<ds:datastoreItem xmlns:ds="http://schemas.openxmlformats.org/officeDocument/2006/customXml" ds:itemID="{704EED5A-6E5F-40C5-9AEF-0B62B473C06D}"/>
</file>

<file path=customXml/itemProps3.xml><?xml version="1.0" encoding="utf-8"?>
<ds:datastoreItem xmlns:ds="http://schemas.openxmlformats.org/officeDocument/2006/customXml" ds:itemID="{57021C04-A653-4C26-AD3D-62E9D68B1DD6}"/>
</file>

<file path=docProps/app.xml><?xml version="1.0" encoding="utf-8"?>
<Properties xmlns="http://schemas.openxmlformats.org/officeDocument/2006/extended-properties" xmlns:vt="http://schemas.openxmlformats.org/officeDocument/2006/docPropsVTypes">
  <Application>Microsoft Excel Online</Application>
  <Manager/>
  <Company>Orange County Superior Court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Brooke Yale</cp:lastModifiedBy>
  <cp:revision/>
  <dcterms:created xsi:type="dcterms:W3CDTF">2025-10-01T18:45:47Z</dcterms:created>
  <dcterms:modified xsi:type="dcterms:W3CDTF">2026-10-15T00:23:24Z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