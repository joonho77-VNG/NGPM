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931" documentId="8_{901EC4A7-380E-42EF-85E2-5843E96E205C}" xr6:coauthVersionLast="47" xr6:coauthVersionMax="47" xr10:uidLastSave="{93129865-2F74-4537-A17F-9C3114DF7CEB}"/>
  <bookViews>
    <workbookView xWindow="-120" yWindow="-120" windowWidth="29040" windowHeight="15720" xr2:uid="{7496AAB9-9610-4154-B91D-ED1C66077D08}"/>
  </bookViews>
  <sheets>
    <sheet name="DEFECTS" sheetId="1" r:id="rId1"/>
    <sheet name="SUMMARY" sheetId="4" r:id="rId2"/>
    <sheet name="Sheet2" sheetId="3" state="hidden" r:id="rId3"/>
  </sheets>
  <definedNames>
    <definedName name="_xlnm._FilterDatabase" localSheetId="0" hidden="1">DEFECTS!$A$1:$N$51</definedName>
  </definedNames>
  <calcPr calcId="191028"/>
  <pivotCaches>
    <pivotCache cacheId="17"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3" i="1"/>
  <c r="A11" i="1"/>
  <c r="A13" i="1"/>
  <c r="A10" i="1"/>
  <c r="A9" i="1"/>
  <c r="A8" i="1"/>
  <c r="A7" i="1"/>
  <c r="A6" i="1"/>
  <c r="A5" i="1"/>
  <c r="A4"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12" i="1"/>
</calcChain>
</file>

<file path=xl/sharedStrings.xml><?xml version="1.0" encoding="utf-8"?>
<sst xmlns="http://schemas.openxmlformats.org/spreadsheetml/2006/main" count="281" uniqueCount="136">
  <si>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</si>
  <si>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</si>
  <si>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</si>
  <si>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</si>
  <si>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</si>
  <si>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</si>
  <si>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</si>
  <si>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</si>
  <si>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</si>
  <si>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</si>
  <si>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</si>
  <si>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</si>
  <si>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</si>
  <si>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</si>
  <si>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</si>
  <si>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UI</t>
  </si>
  <si>
    <t>Minor</t>
  </si>
  <si>
    <t>Resolved</t>
  </si>
  <si>
    <t>All tabs</t>
  </si>
  <si>
    <t>Icon on tabs should be on right side of tab description</t>
  </si>
  <si>
    <t>Icon on tabs are incorrectly placed on the left side</t>
  </si>
  <si>
    <t>Need to move placement of icon for tabs</t>
  </si>
  <si>
    <t>Pass</t>
  </si>
  <si>
    <t>5/5: Added styling to move icons to right side.
JL  seems it meant reverse of what was written</t>
  </si>
  <si>
    <t>Functionality</t>
  </si>
  <si>
    <t>Major</t>
  </si>
  <si>
    <t>F3 Refresh</t>
  </si>
  <si>
    <t>Focus resets to Disposition Mapping (Tbab #1)</t>
  </si>
  <si>
    <t>If user executes refresh on any of the tabs, the focus shifts back to Disposition Mapping (Tab #1); Refresh should retain tab view but clear filters</t>
  </si>
  <si>
    <r>
      <rPr>
        <b/>
        <sz val="11"/>
        <color theme="1"/>
        <rFont val="Calibri"/>
        <family val="2"/>
      </rPr>
      <t>UI Guidelines #40;</t>
    </r>
    <r>
      <rPr>
        <sz val="11"/>
        <color theme="1"/>
        <rFont val="Calibri"/>
        <family val="2"/>
      </rPr>
      <t xml:space="preserve"> defines refreshing coumn filters; may need additional definition to maintain view - issue also occurring in SP Registry</t>
    </r>
  </si>
  <si>
    <t>5/5: Remove choosing first tab after refresh.</t>
  </si>
  <si>
    <t>Disposition Mapping
(Tab #1)
Workflow Disposition
(Tab #3)</t>
  </si>
  <si>
    <t>Color of alternating rows</t>
  </si>
  <si>
    <t>Current color is blue gradient but should be alternating blue/white per UI Guidelines</t>
  </si>
  <si>
    <r>
      <rPr>
        <b/>
        <sz val="11"/>
        <color rgb="FF000000"/>
        <rFont val="Calibri"/>
        <family val="2"/>
      </rPr>
      <t xml:space="preserve">UI Guidelines #30; </t>
    </r>
    <r>
      <rPr>
        <sz val="11"/>
        <color rgb="FF000000"/>
        <rFont val="Calibri"/>
        <family val="2"/>
      </rPr>
      <t>see Purge Duplicate Cases; needs discussion as window introduces grouping format with alternating rows</t>
    </r>
  </si>
  <si>
    <t>5/5: Added alternating rows, removed gradient. Also applied to first grid in the fourth tab since that window will not get a context menu and will not be editable.</t>
  </si>
  <si>
    <t>Alignment of checkboxes</t>
  </si>
  <si>
    <t>Both sections with check boxes and read-only checkboxes should be center aligned in their respective columns</t>
  </si>
  <si>
    <t>UI Guidelines #86</t>
  </si>
  <si>
    <t>5/5: SyncFusion was not properly handling my grouping, overrode their styling with my own padding.</t>
  </si>
  <si>
    <t>No Action</t>
  </si>
  <si>
    <t>Sentence Workflow Xref
(Tab #2)</t>
  </si>
  <si>
    <t>"Add" button</t>
  </si>
  <si>
    <t xml:space="preserve">Outside of box section; Button is outside of window/section grid </t>
  </si>
  <si>
    <t>Logging for now to be discussed</t>
  </si>
  <si>
    <t>Pass with Comments</t>
  </si>
  <si>
    <t>5/5: Melanie okay with this, just noted as a difference.</t>
  </si>
  <si>
    <t>Short cut key of "A" not available (Alt + A); short cut key of undeline "A" is missing to add</t>
  </si>
  <si>
    <t>See ID #15</t>
  </si>
  <si>
    <t>5/5: Added Alt + A keyboard shortcut, also added underline to button.</t>
  </si>
  <si>
    <t>Disposition Mapping
(Tab #1)
Sentence Workflow Xref
(Tab #2)
Workflow Disposition
(Tab #3)</t>
  </si>
  <si>
    <t>Select workflow and retireve button</t>
  </si>
  <si>
    <t>A Sentence Workflow is selected, retrieved, and filter is used in the Sentence Type column.  When you select a different workflow and retrieve the window will return "No records to display". 
Note: occurs on Sentence Type, Activity, Associated Workflow, and Activity (Associated Workflow) columns</t>
  </si>
  <si>
    <r>
      <rPr>
        <sz val="11"/>
        <color rgb="FF000000"/>
        <rFont val="Calibri"/>
        <family val="2"/>
      </rPr>
      <t xml:space="preserve">Window should automatically retrieve the newly selected workflow without have to clear out filters
</t>
    </r>
    <r>
      <rPr>
        <b/>
        <sz val="11"/>
        <color rgb="FF000000"/>
        <rFont val="Calibri"/>
        <family val="2"/>
      </rPr>
      <t>UI Guidelines #40</t>
    </r>
    <r>
      <rPr>
        <sz val="11"/>
        <color rgb="FF000000"/>
        <rFont val="Calibri"/>
        <family val="2"/>
      </rPr>
      <t xml:space="preserve"> defines behavior for F3 refresh - need definition for retrieve; seems that retrieve should clear filter</t>
    </r>
  </si>
  <si>
    <t>Sentence Workflow Xref (Tab #2)
- When you filter in the Associated Workflow (right side column) and click on Retrieve button the filter does not clear out.
- When you select another workflow in the drop down selection the previous filter on the right side does shows "No records to display"
Workflow Disposition (Tab #3)
- Similar issue
6/8:  See defect ID #19</t>
  </si>
  <si>
    <t>5/5: Remove filters on dropdown selection.
JL:  Santiago review this please, i see issues with F3 and the refresh of data... dropdowns remain selected but with no data, i have to select a different option then go back to reload
5/20: Added to assoc windows.</t>
  </si>
  <si>
    <t>Invalid Sentence Type do not display code numbers</t>
  </si>
  <si>
    <t>Should NG window match PB window and display code_nbr of invalid rows? Or should we keep the NG view of empty cell?</t>
  </si>
  <si>
    <t>Re-test pending VISAR-VISAR-6982 and assigned Sub Task 6983 to Sameer</t>
  </si>
  <si>
    <t>05/19: per discussion with NG team</t>
  </si>
  <si>
    <t>5/5: Needs discussion, we need some way to mark invalid rows.
5/6: No action, data itself needs correction.</t>
  </si>
  <si>
    <t>Workflow Disposition
(Tab #3)</t>
  </si>
  <si>
    <t>Column Header verbiage incorrect on title/label</t>
  </si>
  <si>
    <r>
      <t>Verbiage incorrectly labeled as "Description" and should read as "</t>
    </r>
    <r>
      <rPr>
        <b/>
        <sz val="11"/>
        <color theme="1"/>
        <rFont val="Calibri"/>
        <family val="2"/>
      </rPr>
      <t>Disposition</t>
    </r>
    <r>
      <rPr>
        <sz val="11"/>
        <color theme="1"/>
        <rFont val="Calibri"/>
        <family val="2"/>
      </rPr>
      <t xml:space="preserve">" </t>
    </r>
  </si>
  <si>
    <t>5/5: Fixed column header</t>
  </si>
  <si>
    <t xml:space="preserve">Column label "Updated On" </t>
  </si>
  <si>
    <t>Column label of "Updated On" description is cut off.</t>
  </si>
  <si>
    <t>Need to adjust "Updated On" column width so that the description is not cut off</t>
  </si>
  <si>
    <t>5/5: Adjusted column widths.</t>
  </si>
  <si>
    <t>Workflow Maintenance
(Tab #4)</t>
  </si>
  <si>
    <t>Context Menu not available to add/insert when right clicking on mouse</t>
  </si>
  <si>
    <t>Right-Click on mouse does not bring up the context menu</t>
  </si>
  <si>
    <t>Need context menu to add/insert new workflow
See also SNTWKF and SENTTP tables</t>
  </si>
  <si>
    <t>5/5: No action, the context menu in the original doesn't work anyways, you must add through Code Entries table.</t>
  </si>
  <si>
    <t xml:space="preserve">Column "Code" label </t>
  </si>
  <si>
    <t>The column title of "Code" is cut off.  The column width needs to be adjusted so title is not cut off.</t>
  </si>
  <si>
    <t>The popup for saving changes</t>
  </si>
  <si>
    <t xml:space="preserve">Title of NG popup for saving changes verbiage reads differently
</t>
  </si>
  <si>
    <t xml:space="preserve">Old popup for saving changes verbiage reads "Confirmation"
</t>
  </si>
  <si>
    <t>6/9/26:  This is the popup when using the "Save" icon/button in top left corner of second sheet bar</t>
  </si>
  <si>
    <t>5/15: Updated verbiage to match.</t>
  </si>
  <si>
    <t>Return to Dev</t>
  </si>
  <si>
    <t>Column Updated On</t>
  </si>
  <si>
    <t>Display is missing time (HH:MM PM or AM)</t>
  </si>
  <si>
    <t>Old window</t>
  </si>
  <si>
    <t>Fail</t>
  </si>
  <si>
    <t>Missing AM and PM</t>
  </si>
  <si>
    <t>5/15: Updated that column in tab #3 to show times as well.
6/16: Added AM PM.</t>
  </si>
  <si>
    <t xml:space="preserve">Context Menu </t>
  </si>
  <si>
    <t>05/19: decision made to remove Add button, configure actions in PB menu for window</t>
  </si>
  <si>
    <t>See new test ID #21</t>
  </si>
  <si>
    <t>5/20: Removed add button, added menu config, added context menu.</t>
  </si>
  <si>
    <t>Retrieve button
in Tabs 1 thru 3</t>
  </si>
  <si>
    <t>Window Grid</t>
  </si>
  <si>
    <t>When you adjust the window grid and proceed to retrieve the grid (circle arrow button) does not refresh and adjustment of columns width remains</t>
  </si>
  <si>
    <t>F3 refresh resets the column sizes as expected but button does not</t>
  </si>
  <si>
    <t>F3 refreshes the tab in the window and you will see "No records to display"
See new defect ID #20</t>
  </si>
  <si>
    <t>5/20: Added ResetPersistDataAsync to button press to reset widths.
This may have trouble with consistency, we currently have a ticket:
https://support.syncfusion.com/support/tickets/841479</t>
  </si>
  <si>
    <t xml:space="preserve">Associated Disposition Mapping (lower right section) filter </t>
  </si>
  <si>
    <t xml:space="preserve">When you filter on the Associated Disposition Mapping and then go and select a different Workflow in the right side of window grid it does not clear out the previous filter </t>
  </si>
  <si>
    <t>Logging for discussion</t>
  </si>
  <si>
    <t>5/20: Discuss, this should be done in the base class if we want this.
5/21: Added to base class remove filter on child grids.</t>
  </si>
  <si>
    <t>PB Only</t>
  </si>
  <si>
    <t>General</t>
  </si>
  <si>
    <t>NG/PB windows displaying different PB messages when closing window with pending changes</t>
  </si>
  <si>
    <t>NG display in Vision: SAVE; You have pending chnages Do you still want to close? Yes/No/Cancel
PB display (existing window): Warning; There are pending changes you made on "Sentence Workflow Xref" tab page. Do you want to discard the changes? Yes/No/Cancel</t>
  </si>
  <si>
    <t>5/20: Discuss, I am using the default message, I figured that was appropriate here instead of making a custom?
5/21: Jorge will update the PB, we will use a default message still.
6/16: Removing confirmation message entirely, doesn't fit our UI guidelines.</t>
  </si>
  <si>
    <t>New</t>
  </si>
  <si>
    <t>Sentence Workflow Xref
(Tab #2)
Workflow Disposition
(Tab #3)</t>
  </si>
  <si>
    <t>When you apply filter on the right side of the window grid and click the Retrieve button their is a latency and you temporarily see the white flash with "No records to display" on the right side of the window grid before the tab refresh</t>
  </si>
  <si>
    <t>This is from retesting ID #7</t>
  </si>
  <si>
    <t>6/16: Removing clearing on retrieve button</t>
  </si>
  <si>
    <t>Retrieve button
in Tabs 2 and 3</t>
  </si>
  <si>
    <t>When you adjust the window grid and proceed to retireve the grid (circle arrow button) there is a latency and you temporarily see the white flash with "No records to display" on the right side of the window grid before the tab refresh</t>
  </si>
  <si>
    <t>This is from retesting ID #16</t>
  </si>
  <si>
    <t>Error message when adding duplicate</t>
  </si>
  <si>
    <t xml:space="preserve">Error message in NG is different than in old window.
</t>
  </si>
  <si>
    <t>Older window error message is different and when you click OK in the 1st popup a 2nd popup occurs.</t>
  </si>
  <si>
    <t>6/10/26
Logging for discusion to determine if this is acceptable
06/12: leave as-is</t>
  </si>
  <si>
    <t>6/16: Leave as is</t>
  </si>
  <si>
    <t>6/16: Worked on Sameer's enhancement, need to check with Jorge.</t>
  </si>
  <si>
    <t>Count of Scenario Type</t>
  </si>
  <si>
    <t>Column Labels</t>
  </si>
  <si>
    <t>Row Labels</t>
  </si>
  <si>
    <t>Grand Total</t>
  </si>
  <si>
    <t>Count of Bug Type</t>
  </si>
  <si>
    <t>Count of Status</t>
  </si>
  <si>
    <t>Regression</t>
  </si>
  <si>
    <t>Retest In Progress</t>
  </si>
  <si>
    <t>Second popup of "Confirmation - Are you sure you want to save?" is occuring 
Steps taken:
- Change is made in the tab
- User exit using the top [X]
- First popup you get "Vision - Do you want to save changes?" .  You click on "Yes".
- Second popup is occurring and there is no need since you already selected "Yes" in the first popup. 
6/9/26:  Per NG discussion we can remove the second popup.  Please make sure it does not break ID #13.
7-16-26: Logging for discussion. 
Tab #1-When you check a box and uncheck the same box and go to exit from the window since you are not making any changes the popup of "Do you want to save changes?" occurs.  When you go to another Tab you get the popup of "Pending Changes..."
Same behavior occuring in TABs #3
Per Nathan this is consistent with other NG window becasue these tabs are do not have edit mode.  When a tab has edit mode you will not get the popup because the process does not commit when you change your mind.</t>
  </si>
  <si>
    <t>Unclear what is triggering different messages to appear when in Vision application
7-16-26:  While retesting see new defect #22</t>
  </si>
  <si>
    <t>In a tab where you can select a workflow from the list the grid that you adjusted in the previous workflow is remain.  This is the behavior in other NG windows that has option to select workflow from a list.</t>
  </si>
  <si>
    <t>Tabs #1 and #2</t>
  </si>
  <si>
    <t>Tab #1 - Error popup occuring
"Save Failed"
Tab #2 - Edit mode - lookup frozen</t>
  </si>
  <si>
    <t>TAB #1- You check a box in the To Be Disposition and saved.  Next you go back to same box and uncheck, when you try to save you will be an Error popu.  This only occurred on an old test workflow.  Created a new test workflow and the issue is not occurring.
TAB#2 - Check with Nathan and this a latency issue, SyncFusion components (like that dropdown) are unpredictable when things are slow.</t>
  </si>
  <si>
    <t>Should NG window editable tab have a Context 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</si>
</sst>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5"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b/>
      <sz val="11"/>
      <color theme="0"/>
      <name val="Calibri"/>
      <family val="2"/>
    </font>
    <font>
      <b/>
      <sz val="11"/>
      <color theme="1"/>
      <name val="Calibri"/>
      <family val="2"/>
    </font>
    <font>
      <sz val="11"/>
      <color theme="1"/>
      <name val="Calibri"/>
      <family val="2"/>
    </font>
    <font>
      <sz val="11"/>
      <name val="Calibri"/>
      <family val="2"/>
    </font>
    <font>
      <b/>
      <sz val="11"/>
      <color rgb="FF000000"/>
      <name val="Calibri"/>
      <family val="2"/>
    </font>
    <font>
      <sz val="11"/>
      <color rgb="FF000000"/>
      <name val="Calibri"/>
      <family val="2"/>
    </font>
    <font>
      <sz val="11"/>
      <color theme="0"/>
      <name val="Calibri"/>
      <family val="2"/>
    </font>
  </fonts>
  <fills count="5">
    <fill>
      <patternFill patternType="none"/>
    </fill>
    <fill>
      <patternFill patternType="gray125"/>
    </fill>
    <fill>
      <patternFill patternType="solid">
        <fgColor theme="5" tint="0.39997558519241921"/>
        <bgColor indexed="64"/>
      </patternFill>
    </fill>
    <fill>
      <patternFill patternType="solid">
        <fgColor theme="4"/>
        <bgColor indexed="64"/>
      </patternFill>
    </fill>
    <fill>
      <patternFill patternType="solid">
        <fgColor theme="0"/>
        <bgColor indexed="64"/>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3">
    <xf numFmtId="0" fontId="0" fillId="0" borderId="0" xfId="0"/>
    <xf numFmtId="0" fontId="4" fillId="0" borderId="0" xfId="0" applyFont="1"/>
    <xf numFmtId="0" fontId="4" fillId="0" borderId="0" xfId="0" applyFont="1" applyAlignment="1">
      <alignment horizontal="left" vertical="top" wrapText="1"/>
    </xf>
    <xf numFmtId="0" fontId="4" fillId="0" borderId="0" xfId="0" applyFont="1" applyAlignment="1">
      <alignment vertical="top"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5" fillId="0" borderId="1" xfId="0" applyFont="1" applyBorder="1" applyAlignment="1">
      <alignment horizontal="left" vertical="top" wrapText="1"/>
    </xf>
    <xf numFmtId="164" fontId="5" fillId="0" borderId="1" xfId="0" applyNumberFormat="1" applyFont="1" applyBorder="1" applyAlignment="1">
      <alignment horizontal="center" vertical="top" wrapText="1"/>
    </xf>
    <xf numFmtId="0" fontId="4" fillId="0" borderId="0" xfId="0" applyFont="1" applyAlignment="1">
      <alignment vertical="top"/>
    </xf>
    <xf numFmtId="164" fontId="4" fillId="0" borderId="0" xfId="0" applyNumberFormat="1" applyFont="1" applyAlignment="1">
      <alignment horizontal="center" vertical="top"/>
    </xf>
    <xf numFmtId="0" fontId="7" fillId="0" borderId="1" xfId="0" applyFont="1" applyBorder="1" applyAlignment="1">
      <alignmen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6" fillId="0" borderId="1" xfId="0" applyFont="1" applyBorder="1" applyAlignment="1">
      <alignment horizontal="left" vertical="top" wrapText="1"/>
    </xf>
    <xf numFmtId="0" fontId="3" fillId="0" borderId="0" xfId="0" applyFont="1"/>
    <xf numFmtId="0" fontId="8" fillId="3" borderId="2" xfId="0" applyFont="1" applyFill="1" applyBorder="1" applyAlignment="1">
      <alignment horizontal="center"/>
    </xf>
    <xf numFmtId="20" fontId="8" fillId="3" borderId="3" xfId="0" applyNumberFormat="1" applyFont="1" applyFill="1" applyBorder="1" applyAlignment="1">
      <alignment horizontal="center"/>
    </xf>
    <xf numFmtId="0" fontId="13" fillId="0" borderId="1" xfId="0" applyFont="1" applyBorder="1" applyAlignment="1">
      <alignment horizontal="left" vertical="top" wrapText="1"/>
    </xf>
    <xf numFmtId="0" fontId="5" fillId="4" borderId="1" xfId="0" applyFont="1" applyFill="1" applyBorder="1" applyAlignment="1">
      <alignment horizontal="left" vertical="top" wrapText="1"/>
    </xf>
    <xf numFmtId="14" fontId="14" fillId="3" borderId="2" xfId="0" applyNumberFormat="1" applyFont="1" applyFill="1" applyBorder="1" applyAlignment="1">
      <alignment horizontal="left"/>
    </xf>
    <xf numFmtId="0" fontId="2" fillId="0" borderId="1" xfId="0" applyFont="1" applyBorder="1" applyAlignment="1">
      <alignment vertical="top" wrapText="1"/>
    </xf>
    <xf numFmtId="0" fontId="2" fillId="0" borderId="1" xfId="0" applyFont="1" applyBorder="1" applyAlignment="1">
      <alignment horizontal="center" vertical="top" wrapText="1"/>
    </xf>
    <xf numFmtId="164" fontId="2" fillId="0" borderId="1" xfId="0" applyNumberFormat="1" applyFont="1" applyBorder="1" applyAlignment="1">
      <alignment horizontal="center" vertical="top"/>
    </xf>
    <xf numFmtId="0" fontId="2" fillId="0" borderId="1" xfId="0" applyFont="1" applyBorder="1" applyAlignment="1">
      <alignment horizontal="left" vertical="top" wrapText="1"/>
    </xf>
    <xf numFmtId="164" fontId="2" fillId="0" borderId="1" xfId="0" applyNumberFormat="1" applyFont="1" applyBorder="1" applyAlignment="1">
      <alignment horizontal="center" vertical="top" wrapText="1"/>
    </xf>
    <xf numFmtId="0" fontId="2" fillId="4" borderId="1" xfId="0" applyFont="1" applyFill="1" applyBorder="1" applyAlignment="1">
      <alignment horizontal="left" vertical="top" wrapText="1"/>
    </xf>
    <xf numFmtId="0" fontId="2" fillId="0" borderId="0" xfId="0" applyFont="1" applyAlignment="1">
      <alignment vertical="top" wrapText="1"/>
    </xf>
    <xf numFmtId="0" fontId="2" fillId="0" borderId="1" xfId="0" applyFont="1" applyBorder="1" applyAlignment="1">
      <alignment vertical="top"/>
    </xf>
    <xf numFmtId="0" fontId="2" fillId="0" borderId="1" xfId="0" quotePrefix="1" applyFont="1" applyBorder="1" applyAlignment="1">
      <alignment horizontal="left" vertical="top" wrapText="1"/>
    </xf>
    <xf numFmtId="0" fontId="2" fillId="0" borderId="0" xfId="0" applyFont="1"/>
    <xf numFmtId="0" fontId="12" fillId="0" borderId="1" xfId="0" applyFont="1" applyBorder="1" applyAlignment="1">
      <alignment horizontal="left" vertical="top" wrapText="1"/>
    </xf>
    <xf numFmtId="20" fontId="3" fillId="0" borderId="0" xfId="0" applyNumberFormat="1" applyFont="1"/>
    <xf numFmtId="0" fontId="1" fillId="0" borderId="0" xfId="0" pivotButton="1" applyFont="1"/>
    <xf numFmtId="0" fontId="1" fillId="0" borderId="0" xfId="0" applyFont="1"/>
    <xf numFmtId="0" fontId="1" fillId="0" borderId="0" xfId="0" applyFont="1" applyAlignment="1">
      <alignment horizontal="left"/>
    </xf>
    <xf numFmtId="0" fontId="1" fillId="0" borderId="0" xfId="0" applyNumberFormat="1" applyFont="1"/>
    <xf numFmtId="0" fontId="1" fillId="0" borderId="2" xfId="0" applyNumberFormat="1" applyFont="1" applyBorder="1"/>
    <xf numFmtId="0" fontId="1" fillId="0" borderId="2" xfId="0" pivotButton="1" applyFont="1" applyBorder="1"/>
    <xf numFmtId="0" fontId="1" fillId="0" borderId="2" xfId="0" applyFont="1" applyBorder="1" applyAlignment="1">
      <alignment horizontal="left"/>
    </xf>
    <xf numFmtId="0" fontId="1" fillId="0" borderId="2" xfId="0" applyFont="1" applyBorder="1" applyAlignment="1">
      <alignment horizontal="left" indent="1"/>
    </xf>
    <xf numFmtId="0" fontId="1" fillId="0" borderId="2" xfId="0" applyFont="1" applyBorder="1" applyAlignment="1">
      <alignment horizontal="left" indent="2"/>
    </xf>
    <xf numFmtId="0" fontId="1" fillId="0" borderId="2" xfId="0" applyFont="1" applyBorder="1"/>
    <xf numFmtId="0" fontId="14" fillId="3" borderId="2" xfId="0" applyNumberFormat="1" applyFont="1" applyFill="1" applyBorder="1"/>
  </cellXfs>
  <cellStyles count="1">
    <cellStyle name="Normal" xfId="0" builtinId="0"/>
  </cellStyles>
  <dxfs count="317">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border>
        <left style="thin">
          <color indexed="64"/>
        </left>
      </border>
    </dxf>
    <dxf>
      <border>
        <left style="thin">
          <color indexed="64"/>
        </left>
      </border>
    </dxf>
    <dxf>
      <border>
        <left style="thin">
          <color indexed="64"/>
        </left>
      </border>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border>
        <left style="thin">
          <color indexed="64"/>
        </left>
      </border>
    </dxf>
    <dxf>
      <fill>
        <patternFill patternType="solid">
          <bgColor theme="4"/>
        </patternFill>
      </fill>
    </dxf>
    <dxf>
      <fill>
        <patternFill patternType="solid">
          <bgColor theme="4"/>
        </patternFill>
      </fill>
    </dxf>
    <dxf>
      <font>
        <color theme="0"/>
      </font>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1"/>
      </font>
    </dxf>
    <dxf>
      <font>
        <sz val="11"/>
      </font>
    </dxf>
    <dxf>
      <font>
        <sz val="11"/>
      </font>
    </dxf>
    <dxf>
      <font>
        <sz val="11"/>
      </font>
    </dxf>
    <dxf>
      <font>
        <sz val="11"/>
      </font>
    </dxf>
    <dxf>
      <font>
        <sz val="11"/>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1"/>
      </font>
    </dxf>
    <dxf>
      <font>
        <sz val="11"/>
      </font>
    </dxf>
    <dxf>
      <font>
        <sz val="11"/>
      </font>
    </dxf>
    <dxf>
      <font>
        <sz val="11"/>
      </font>
    </dxf>
    <dxf>
      <font>
        <sz val="11"/>
      </font>
    </dxf>
    <dxf>
      <font>
        <sz val="11"/>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border>
        <left style="thin">
          <color indexed="64"/>
        </left>
      </border>
    </dxf>
    <dxf>
      <border>
        <left style="thin">
          <color indexed="64"/>
        </left>
      </border>
    </dxf>
    <dxf>
      <border>
        <left style="thin">
          <color indexed="64"/>
        </left>
      </border>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border>
        <left style="thin">
          <color indexed="64"/>
        </left>
      </border>
    </dxf>
    <dxf>
      <fill>
        <patternFill patternType="solid">
          <bgColor theme="4"/>
        </patternFill>
      </fill>
    </dxf>
    <dxf>
      <fill>
        <patternFill patternType="solid">
          <bgColor theme="4"/>
        </patternFill>
      </fill>
    </dxf>
    <dxf>
      <font>
        <color theme="0"/>
      </font>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1"/>
      </font>
    </dxf>
    <dxf>
      <font>
        <sz val="11"/>
      </font>
    </dxf>
    <dxf>
      <font>
        <sz val="11"/>
      </font>
    </dxf>
    <dxf>
      <font>
        <sz val="11"/>
      </font>
    </dxf>
    <dxf>
      <font>
        <sz val="11"/>
      </font>
    </dxf>
    <dxf>
      <font>
        <sz val="11"/>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1"/>
      </font>
    </dxf>
    <dxf>
      <font>
        <sz val="11"/>
      </font>
    </dxf>
    <dxf>
      <font>
        <sz val="11"/>
      </font>
    </dxf>
    <dxf>
      <font>
        <sz val="11"/>
      </font>
    </dxf>
    <dxf>
      <font>
        <sz val="11"/>
      </font>
    </dxf>
    <dxf>
      <font>
        <sz val="11"/>
      </font>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font>
        <sz val="11"/>
      </font>
    </dxf>
    <dxf>
      <font>
        <sz val="11"/>
      </font>
    </dxf>
    <dxf>
      <font>
        <sz val="11"/>
      </font>
    </dxf>
    <dxf>
      <font>
        <sz val="11"/>
      </font>
    </dxf>
    <dxf>
      <font>
        <sz val="11"/>
      </font>
    </dxf>
    <dxf>
      <font>
        <sz val="11"/>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1"/>
      </font>
    </dxf>
    <dxf>
      <font>
        <sz val="11"/>
      </font>
    </dxf>
    <dxf>
      <font>
        <sz val="11"/>
      </font>
    </dxf>
    <dxf>
      <font>
        <sz val="11"/>
      </font>
    </dxf>
    <dxf>
      <font>
        <sz val="11"/>
      </font>
    </dxf>
    <dxf>
      <font>
        <sz val="11"/>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border>
        <left style="thin">
          <color indexed="64"/>
        </left>
      </border>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border>
        <left style="thin">
          <color indexed="64"/>
        </left>
      </border>
    </dxf>
    <dxf>
      <border>
        <left style="thin">
          <color indexed="64"/>
        </left>
      </border>
    </dxf>
    <dxf>
      <border>
        <left style="thin">
          <color indexed="64"/>
        </left>
      </border>
    </dxf>
    <dxf>
      <fill>
        <patternFill patternType="solid">
          <bgColor theme="4"/>
        </patternFill>
      </fill>
    </dxf>
    <dxf>
      <fill>
        <patternFill patternType="solid">
          <bgColor theme="4"/>
        </patternFill>
      </fill>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95250</xdr:colOff>
      <xdr:row>13</xdr:row>
      <xdr:rowOff>352425</xdr:rowOff>
    </xdr:from>
    <xdr:to>
      <xdr:col>8</xdr:col>
      <xdr:colOff>3248187</xdr:colOff>
      <xdr:row>13</xdr:row>
      <xdr:rowOff>1419280</xdr:rowOff>
    </xdr:to>
    <xdr:pic>
      <xdr:nvPicPr>
        <xdr:cNvPr id="2" name="Picture 1">
          <a:extLst>
            <a:ext uri="{FF2B5EF4-FFF2-40B4-BE49-F238E27FC236}">
              <a16:creationId xmlns:a16="http://schemas.microsoft.com/office/drawing/2014/main" id="{235839AB-357E-F439-DDCB-903C7648F621}"/>
            </a:ext>
          </a:extLst>
        </xdr:cNvPr>
        <xdr:cNvPicPr>
          <a:picLocks noChangeAspect="1"/>
        </xdr:cNvPicPr>
      </xdr:nvPicPr>
      <xdr:blipFill>
        <a:blip xmlns:r="http://schemas.openxmlformats.org/officeDocument/2006/relationships" r:embed="rId1"/>
        <a:stretch>
          <a:fillRect/>
        </a:stretch>
      </xdr:blipFill>
      <xdr:spPr>
        <a:xfrm>
          <a:off x="7058025" y="11210925"/>
          <a:ext cx="3152937" cy="1066855"/>
        </a:xfrm>
        <a:prstGeom prst="rect">
          <a:avLst/>
        </a:prstGeom>
      </xdr:spPr>
    </xdr:pic>
    <xdr:clientData/>
  </xdr:twoCellAnchor>
  <xdr:twoCellAnchor editAs="oneCell">
    <xdr:from>
      <xdr:col>9</xdr:col>
      <xdr:colOff>238125</xdr:colOff>
      <xdr:row>13</xdr:row>
      <xdr:rowOff>333375</xdr:rowOff>
    </xdr:from>
    <xdr:to>
      <xdr:col>9</xdr:col>
      <xdr:colOff>1787605</xdr:colOff>
      <xdr:row>13</xdr:row>
      <xdr:rowOff>1333551</xdr:rowOff>
    </xdr:to>
    <xdr:pic>
      <xdr:nvPicPr>
        <xdr:cNvPr id="3" name="Picture 2">
          <a:extLst>
            <a:ext uri="{FF2B5EF4-FFF2-40B4-BE49-F238E27FC236}">
              <a16:creationId xmlns:a16="http://schemas.microsoft.com/office/drawing/2014/main" id="{C386C79D-8B9E-CBF8-70C6-ED3CB564458B}"/>
            </a:ext>
          </a:extLst>
        </xdr:cNvPr>
        <xdr:cNvPicPr>
          <a:picLocks noChangeAspect="1"/>
        </xdr:cNvPicPr>
      </xdr:nvPicPr>
      <xdr:blipFill>
        <a:blip xmlns:r="http://schemas.openxmlformats.org/officeDocument/2006/relationships" r:embed="rId2"/>
        <a:stretch>
          <a:fillRect/>
        </a:stretch>
      </xdr:blipFill>
      <xdr:spPr>
        <a:xfrm>
          <a:off x="11439525" y="11191875"/>
          <a:ext cx="1549480" cy="1000176"/>
        </a:xfrm>
        <a:prstGeom prst="rect">
          <a:avLst/>
        </a:prstGeom>
      </xdr:spPr>
    </xdr:pic>
    <xdr:clientData/>
  </xdr:twoCellAnchor>
  <xdr:twoCellAnchor editAs="oneCell">
    <xdr:from>
      <xdr:col>8</xdr:col>
      <xdr:colOff>111125</xdr:colOff>
      <xdr:row>14</xdr:row>
      <xdr:rowOff>247650</xdr:rowOff>
    </xdr:from>
    <xdr:to>
      <xdr:col>8</xdr:col>
      <xdr:colOff>1257359</xdr:colOff>
      <xdr:row>14</xdr:row>
      <xdr:rowOff>654071</xdr:rowOff>
    </xdr:to>
    <xdr:pic>
      <xdr:nvPicPr>
        <xdr:cNvPr id="8" name="Picture 7">
          <a:extLst>
            <a:ext uri="{FF2B5EF4-FFF2-40B4-BE49-F238E27FC236}">
              <a16:creationId xmlns:a16="http://schemas.microsoft.com/office/drawing/2014/main" id="{654795F9-5F06-D49B-D2A0-F1649A1579F7}"/>
            </a:ext>
          </a:extLst>
        </xdr:cNvPr>
        <xdr:cNvPicPr>
          <a:picLocks noChangeAspect="1"/>
        </xdr:cNvPicPr>
      </xdr:nvPicPr>
      <xdr:blipFill>
        <a:blip xmlns:r="http://schemas.openxmlformats.org/officeDocument/2006/relationships" r:embed="rId3"/>
        <a:stretch>
          <a:fillRect/>
        </a:stretch>
      </xdr:blipFill>
      <xdr:spPr>
        <a:xfrm>
          <a:off x="7073900" y="14573250"/>
          <a:ext cx="1146234" cy="409596"/>
        </a:xfrm>
        <a:prstGeom prst="rect">
          <a:avLst/>
        </a:prstGeom>
      </xdr:spPr>
    </xdr:pic>
    <xdr:clientData/>
  </xdr:twoCellAnchor>
  <xdr:twoCellAnchor editAs="oneCell">
    <xdr:from>
      <xdr:col>9</xdr:col>
      <xdr:colOff>180975</xdr:colOff>
      <xdr:row>14</xdr:row>
      <xdr:rowOff>285750</xdr:rowOff>
    </xdr:from>
    <xdr:to>
      <xdr:col>9</xdr:col>
      <xdr:colOff>1406588</xdr:colOff>
      <xdr:row>14</xdr:row>
      <xdr:rowOff>609617</xdr:rowOff>
    </xdr:to>
    <xdr:pic>
      <xdr:nvPicPr>
        <xdr:cNvPr id="9" name="Picture 8">
          <a:extLst>
            <a:ext uri="{FF2B5EF4-FFF2-40B4-BE49-F238E27FC236}">
              <a16:creationId xmlns:a16="http://schemas.microsoft.com/office/drawing/2014/main" id="{D88A997B-1D8B-F548-469D-2D727575394C}"/>
            </a:ext>
          </a:extLst>
        </xdr:cNvPr>
        <xdr:cNvPicPr>
          <a:picLocks noChangeAspect="1"/>
        </xdr:cNvPicPr>
      </xdr:nvPicPr>
      <xdr:blipFill>
        <a:blip xmlns:r="http://schemas.openxmlformats.org/officeDocument/2006/relationships" r:embed="rId4"/>
        <a:stretch>
          <a:fillRect/>
        </a:stretch>
      </xdr:blipFill>
      <xdr:spPr>
        <a:xfrm>
          <a:off x="11382375" y="14611350"/>
          <a:ext cx="1225613" cy="323867"/>
        </a:xfrm>
        <a:prstGeom prst="rect">
          <a:avLst/>
        </a:prstGeom>
      </xdr:spPr>
    </xdr:pic>
    <xdr:clientData/>
  </xdr:twoCellAnchor>
  <xdr:twoCellAnchor editAs="oneCell">
    <xdr:from>
      <xdr:col>8</xdr:col>
      <xdr:colOff>245035</xdr:colOff>
      <xdr:row>18</xdr:row>
      <xdr:rowOff>1598146</xdr:rowOff>
    </xdr:from>
    <xdr:to>
      <xdr:col>8</xdr:col>
      <xdr:colOff>3550210</xdr:colOff>
      <xdr:row>18</xdr:row>
      <xdr:rowOff>2801471</xdr:rowOff>
    </xdr:to>
    <xdr:pic>
      <xdr:nvPicPr>
        <xdr:cNvPr id="6" name="Picture 5">
          <a:extLst>
            <a:ext uri="{FF2B5EF4-FFF2-40B4-BE49-F238E27FC236}">
              <a16:creationId xmlns:a16="http://schemas.microsoft.com/office/drawing/2014/main" id="{AECC776A-7AE2-B7D2-1959-A19DA9E252C2}"/>
            </a:ext>
          </a:extLst>
        </xdr:cNvPr>
        <xdr:cNvPicPr>
          <a:picLocks noChangeAspect="1"/>
        </xdr:cNvPicPr>
      </xdr:nvPicPr>
      <xdr:blipFill>
        <a:blip xmlns:r="http://schemas.openxmlformats.org/officeDocument/2006/relationships" r:embed="rId5"/>
        <a:stretch>
          <a:fillRect/>
        </a:stretch>
      </xdr:blipFill>
      <xdr:spPr>
        <a:xfrm>
          <a:off x="7203888" y="16815734"/>
          <a:ext cx="3308350" cy="1203325"/>
        </a:xfrm>
        <a:prstGeom prst="rect">
          <a:avLst/>
        </a:prstGeom>
      </xdr:spPr>
    </xdr:pic>
    <xdr:clientData/>
  </xdr:twoCellAnchor>
  <xdr:twoCellAnchor editAs="oneCell">
    <xdr:from>
      <xdr:col>8</xdr:col>
      <xdr:colOff>161925</xdr:colOff>
      <xdr:row>21</xdr:row>
      <xdr:rowOff>314325</xdr:rowOff>
    </xdr:from>
    <xdr:to>
      <xdr:col>8</xdr:col>
      <xdr:colOff>2292460</xdr:colOff>
      <xdr:row>21</xdr:row>
      <xdr:rowOff>2549640</xdr:rowOff>
    </xdr:to>
    <xdr:pic>
      <xdr:nvPicPr>
        <xdr:cNvPr id="10" name="Picture 9">
          <a:extLst>
            <a:ext uri="{FF2B5EF4-FFF2-40B4-BE49-F238E27FC236}">
              <a16:creationId xmlns:a16="http://schemas.microsoft.com/office/drawing/2014/main" id="{0566E335-AFAB-ED85-684F-436DC6DE0CCF}"/>
            </a:ext>
          </a:extLst>
        </xdr:cNvPr>
        <xdr:cNvPicPr>
          <a:picLocks noChangeAspect="1"/>
        </xdr:cNvPicPr>
      </xdr:nvPicPr>
      <xdr:blipFill>
        <a:blip xmlns:r="http://schemas.openxmlformats.org/officeDocument/2006/relationships" r:embed="rId6"/>
        <a:stretch>
          <a:fillRect/>
        </a:stretch>
      </xdr:blipFill>
      <xdr:spPr>
        <a:xfrm>
          <a:off x="7124700" y="21078825"/>
          <a:ext cx="2133710" cy="2235315"/>
        </a:xfrm>
        <a:prstGeom prst="rect">
          <a:avLst/>
        </a:prstGeom>
      </xdr:spPr>
    </xdr:pic>
    <xdr:clientData/>
  </xdr:twoCellAnchor>
  <xdr:twoCellAnchor editAs="oneCell">
    <xdr:from>
      <xdr:col>9</xdr:col>
      <xdr:colOff>381000</xdr:colOff>
      <xdr:row>21</xdr:row>
      <xdr:rowOff>438150</xdr:rowOff>
    </xdr:from>
    <xdr:to>
      <xdr:col>9</xdr:col>
      <xdr:colOff>3046305</xdr:colOff>
      <xdr:row>21</xdr:row>
      <xdr:rowOff>2562225</xdr:rowOff>
    </xdr:to>
    <xdr:pic>
      <xdr:nvPicPr>
        <xdr:cNvPr id="11" name="Picture 10">
          <a:extLst>
            <a:ext uri="{FF2B5EF4-FFF2-40B4-BE49-F238E27FC236}">
              <a16:creationId xmlns:a16="http://schemas.microsoft.com/office/drawing/2014/main" id="{39ACFE76-6E4B-7A2A-04C4-A5FB84EC6C7F}"/>
            </a:ext>
          </a:extLst>
        </xdr:cNvPr>
        <xdr:cNvPicPr>
          <a:picLocks noChangeAspect="1"/>
        </xdr:cNvPicPr>
      </xdr:nvPicPr>
      <xdr:blipFill>
        <a:blip xmlns:r="http://schemas.openxmlformats.org/officeDocument/2006/relationships" r:embed="rId7"/>
        <a:stretch>
          <a:fillRect/>
        </a:stretch>
      </xdr:blipFill>
      <xdr:spPr>
        <a:xfrm>
          <a:off x="11058525" y="22059900"/>
          <a:ext cx="2665305" cy="2124075"/>
        </a:xfrm>
        <a:prstGeom prst="rect">
          <a:avLst/>
        </a:prstGeom>
      </xdr:spPr>
    </xdr:pic>
    <xdr:clientData/>
  </xdr:twoCellAnchor>
  <xdr:twoCellAnchor editAs="oneCell">
    <xdr:from>
      <xdr:col>9</xdr:col>
      <xdr:colOff>515471</xdr:colOff>
      <xdr:row>22</xdr:row>
      <xdr:rowOff>89647</xdr:rowOff>
    </xdr:from>
    <xdr:to>
      <xdr:col>9</xdr:col>
      <xdr:colOff>2572977</xdr:colOff>
      <xdr:row>22</xdr:row>
      <xdr:rowOff>1658177</xdr:rowOff>
    </xdr:to>
    <xdr:pic>
      <xdr:nvPicPr>
        <xdr:cNvPr id="4" name="Picture 3">
          <a:extLst>
            <a:ext uri="{FF2B5EF4-FFF2-40B4-BE49-F238E27FC236}">
              <a16:creationId xmlns:a16="http://schemas.microsoft.com/office/drawing/2014/main" id="{21376EBD-D246-0A12-D1C4-A49183B8C4DF}"/>
            </a:ext>
          </a:extLst>
        </xdr:cNvPr>
        <xdr:cNvPicPr>
          <a:picLocks noChangeAspect="1"/>
        </xdr:cNvPicPr>
      </xdr:nvPicPr>
      <xdr:blipFill>
        <a:blip xmlns:r="http://schemas.openxmlformats.org/officeDocument/2006/relationships" r:embed="rId8"/>
        <a:stretch>
          <a:fillRect/>
        </a:stretch>
      </xdr:blipFill>
      <xdr:spPr>
        <a:xfrm>
          <a:off x="11710147" y="23689235"/>
          <a:ext cx="2057506" cy="1568530"/>
        </a:xfrm>
        <a:prstGeom prst="rect">
          <a:avLst/>
        </a:prstGeom>
      </xdr:spPr>
    </xdr:pic>
    <xdr:clientData/>
  </xdr:twoCellAnchor>
  <xdr:twoCellAnchor editAs="oneCell">
    <xdr:from>
      <xdr:col>9</xdr:col>
      <xdr:colOff>8031</xdr:colOff>
      <xdr:row>22</xdr:row>
      <xdr:rowOff>1792941</xdr:rowOff>
    </xdr:from>
    <xdr:to>
      <xdr:col>10</xdr:col>
      <xdr:colOff>6725</xdr:colOff>
      <xdr:row>22</xdr:row>
      <xdr:rowOff>3361471</xdr:rowOff>
    </xdr:to>
    <xdr:pic>
      <xdr:nvPicPr>
        <xdr:cNvPr id="5" name="Picture 4">
          <a:extLst>
            <a:ext uri="{FF2B5EF4-FFF2-40B4-BE49-F238E27FC236}">
              <a16:creationId xmlns:a16="http://schemas.microsoft.com/office/drawing/2014/main" id="{213FAE10-0ECC-BEE3-83B6-BFCCBC3D4E7E}"/>
            </a:ext>
          </a:extLst>
        </xdr:cNvPr>
        <xdr:cNvPicPr>
          <a:picLocks noChangeAspect="1"/>
        </xdr:cNvPicPr>
      </xdr:nvPicPr>
      <xdr:blipFill>
        <a:blip xmlns:r="http://schemas.openxmlformats.org/officeDocument/2006/relationships" r:embed="rId9"/>
        <a:stretch>
          <a:fillRect/>
        </a:stretch>
      </xdr:blipFill>
      <xdr:spPr>
        <a:xfrm>
          <a:off x="11202707" y="25594235"/>
          <a:ext cx="4082117" cy="15685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223.447062500003" createdVersion="8" refreshedVersion="8" minRefreshableVersion="3" recordCount="51" xr:uid="{E8481941-120E-48E5-8739-D54FABF471DF}">
  <cacheSource type="worksheet">
    <worksheetSource ref="B1:F1048576" sheet="DEFECTS"/>
  </cacheSource>
  <cacheFields count="5">
    <cacheField name="Date Tested" numFmtId="0">
      <sharedItems containsNonDate="0" containsDate="1" containsString="0" containsBlank="1" minDate="2026-05-04T00:00:00" maxDate="2026-07-17T00:00:00" count="7">
        <d v="2026-05-05T00:00:00"/>
        <d v="2026-05-19T00:00:00"/>
        <d v="2026-06-10T00:00:00"/>
        <d v="2026-07-16T00:00:00"/>
        <m/>
        <d v="2026-05-14T00:00:00" u="1"/>
        <d v="2026-05-04T00:00:00" u="1"/>
      </sharedItems>
    </cacheField>
    <cacheField name="Interface" numFmtId="0">
      <sharedItems containsBlank="1"/>
    </cacheField>
    <cacheField name="Scenario Type" numFmtId="0">
      <sharedItems containsBlank="1" count="3">
        <s v="UI"/>
        <s v="Functionality"/>
        <m/>
      </sharedItems>
    </cacheField>
    <cacheField name="Bug Type" numFmtId="0">
      <sharedItems containsBlank="1" count="4">
        <s v="Minor"/>
        <s v="Major"/>
        <s v="Regression"/>
        <m/>
      </sharedItems>
    </cacheField>
    <cacheField name="Status" numFmtId="0">
      <sharedItems containsBlank="1" count="6">
        <s v="Resolved"/>
        <s v="No Action"/>
        <m/>
        <s v="Return to Dev" u="1"/>
        <s v="New" u="1"/>
        <s v="Retest In Progres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s v="Both"/>
    <x v="0"/>
    <x v="0"/>
    <x v="0"/>
  </r>
  <r>
    <x v="0"/>
    <s v="Both"/>
    <x v="1"/>
    <x v="1"/>
    <x v="0"/>
  </r>
  <r>
    <x v="0"/>
    <s v="Both"/>
    <x v="0"/>
    <x v="0"/>
    <x v="0"/>
  </r>
  <r>
    <x v="0"/>
    <s v="Both"/>
    <x v="0"/>
    <x v="0"/>
    <x v="0"/>
  </r>
  <r>
    <x v="0"/>
    <s v="Both"/>
    <x v="0"/>
    <x v="0"/>
    <x v="1"/>
  </r>
  <r>
    <x v="0"/>
    <s v="Both"/>
    <x v="1"/>
    <x v="1"/>
    <x v="0"/>
  </r>
  <r>
    <x v="0"/>
    <s v="Both"/>
    <x v="1"/>
    <x v="1"/>
    <x v="0"/>
  </r>
  <r>
    <x v="0"/>
    <s v="Both"/>
    <x v="0"/>
    <x v="0"/>
    <x v="1"/>
  </r>
  <r>
    <x v="0"/>
    <s v="Both"/>
    <x v="0"/>
    <x v="0"/>
    <x v="0"/>
  </r>
  <r>
    <x v="0"/>
    <s v="Both"/>
    <x v="0"/>
    <x v="0"/>
    <x v="0"/>
  </r>
  <r>
    <x v="0"/>
    <s v="Both"/>
    <x v="1"/>
    <x v="1"/>
    <x v="1"/>
  </r>
  <r>
    <x v="0"/>
    <s v="Both"/>
    <x v="0"/>
    <x v="0"/>
    <x v="0"/>
  </r>
  <r>
    <x v="1"/>
    <s v="Both"/>
    <x v="0"/>
    <x v="0"/>
    <x v="0"/>
  </r>
  <r>
    <x v="1"/>
    <s v="Both"/>
    <x v="0"/>
    <x v="0"/>
    <x v="0"/>
  </r>
  <r>
    <x v="1"/>
    <s v="Both"/>
    <x v="0"/>
    <x v="0"/>
    <x v="0"/>
  </r>
  <r>
    <x v="1"/>
    <s v="Both"/>
    <x v="0"/>
    <x v="0"/>
    <x v="0"/>
  </r>
  <r>
    <x v="1"/>
    <s v="Both"/>
    <x v="0"/>
    <x v="0"/>
    <x v="0"/>
  </r>
  <r>
    <x v="1"/>
    <s v="PB Only"/>
    <x v="1"/>
    <x v="1"/>
    <x v="0"/>
  </r>
  <r>
    <x v="2"/>
    <s v="Both"/>
    <x v="0"/>
    <x v="0"/>
    <x v="0"/>
  </r>
  <r>
    <x v="2"/>
    <s v="Both"/>
    <x v="0"/>
    <x v="0"/>
    <x v="0"/>
  </r>
  <r>
    <x v="2"/>
    <s v="Both"/>
    <x v="0"/>
    <x v="0"/>
    <x v="1"/>
  </r>
  <r>
    <x v="3"/>
    <s v="Both"/>
    <x v="1"/>
    <x v="2"/>
    <x v="1"/>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r>
    <x v="4"/>
    <m/>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EA5939-C18F-43A8-B1AF-F9A62C4391A2}"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5" firstHeaderRow="1" firstDataRow="1" firstDataCol="1"/>
  <pivotFields count="5">
    <pivotField showAll="0"/>
    <pivotField showAll="0"/>
    <pivotField showAll="0"/>
    <pivotField showAll="0"/>
    <pivotField axis="axisRow" dataField="1" showAll="0">
      <items count="7">
        <item m="1" x="4"/>
        <item h="1" x="2"/>
        <item x="0"/>
        <item x="1"/>
        <item m="1" x="5"/>
        <item m="1" x="3"/>
        <item t="default"/>
      </items>
    </pivotField>
  </pivotFields>
  <rowFields count="1">
    <field x="4"/>
  </rowFields>
  <rowItems count="3">
    <i>
      <x v="2"/>
    </i>
    <i>
      <x v="3"/>
    </i>
    <i t="grand">
      <x/>
    </i>
  </rowItems>
  <colItems count="1">
    <i/>
  </colItems>
  <dataFields count="1">
    <dataField name="Count of Status" fld="4" subtotal="count" baseField="0" baseItem="0"/>
  </dataFields>
  <formats count="12">
    <format dxfId="225">
      <pivotArea type="all" dataOnly="0" outline="0" fieldPosition="0"/>
    </format>
    <format dxfId="224">
      <pivotArea outline="0" collapsedLevelsAreSubtotals="1" fieldPosition="0"/>
    </format>
    <format dxfId="223">
      <pivotArea field="4" type="button" dataOnly="0" labelOnly="1" outline="0" axis="axisRow" fieldPosition="0"/>
    </format>
    <format dxfId="222">
      <pivotArea dataOnly="0" labelOnly="1" fieldPosition="0">
        <references count="1">
          <reference field="4" count="0"/>
        </references>
      </pivotArea>
    </format>
    <format dxfId="221">
      <pivotArea dataOnly="0" labelOnly="1" grandRow="1" outline="0"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field="4" type="button" dataOnly="0" labelOnly="1" outline="0" axis="axisRow" fieldPosition="0"/>
    </format>
    <format dxfId="216">
      <pivotArea dataOnly="0" labelOnly="1" fieldPosition="0">
        <references count="1">
          <reference field="4" count="0"/>
        </references>
      </pivotArea>
    </format>
    <format dxfId="215">
      <pivotArea dataOnly="0" labelOnly="1" grandRow="1" outline="0" fieldPosition="0"/>
    </format>
    <format dxfId="2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02E1D-2803-4D6B-86BE-5E5D3554108E}"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5" firstHeaderRow="1" firstDataRow="1" firstDataCol="1"/>
  <pivotFields count="5">
    <pivotField showAll="0"/>
    <pivotField showAll="0"/>
    <pivotField showAll="0"/>
    <pivotField axis="axisRow" dataField="1" showAll="0">
      <items count="5">
        <item x="1"/>
        <item x="0"/>
        <item h="1" x="3"/>
        <item h="1" x="2"/>
        <item t="default"/>
      </items>
    </pivotField>
    <pivotField showAll="0"/>
  </pivotFields>
  <rowFields count="1">
    <field x="3"/>
  </rowFields>
  <rowItems count="3">
    <i>
      <x/>
    </i>
    <i>
      <x v="1"/>
    </i>
    <i t="grand">
      <x/>
    </i>
  </rowItems>
  <colItems count="1">
    <i/>
  </colItems>
  <dataFields count="1">
    <dataField name="Count of Bug Type" fld="3" subtotal="count" baseField="0" baseItem="0"/>
  </dataFields>
  <formats count="12">
    <format dxfId="237">
      <pivotArea type="all" dataOnly="0" outline="0" fieldPosition="0"/>
    </format>
    <format dxfId="236">
      <pivotArea outline="0" collapsedLevelsAreSubtotals="1" fieldPosition="0"/>
    </format>
    <format dxfId="235">
      <pivotArea field="3" type="button" dataOnly="0" labelOnly="1" outline="0" axis="axisRow" fieldPosition="0"/>
    </format>
    <format dxfId="234">
      <pivotArea dataOnly="0" labelOnly="1" fieldPosition="0">
        <references count="1">
          <reference field="3" count="0"/>
        </references>
      </pivotArea>
    </format>
    <format dxfId="233">
      <pivotArea dataOnly="0" labelOnly="1" grandRow="1" outline="0" fieldPosition="0"/>
    </format>
    <format dxfId="232">
      <pivotArea dataOnly="0" labelOnly="1" outline="0" axis="axisValues" fieldPosition="0"/>
    </format>
    <format dxfId="231">
      <pivotArea type="all" dataOnly="0" outline="0" fieldPosition="0"/>
    </format>
    <format dxfId="230">
      <pivotArea outline="0" collapsedLevelsAreSubtotals="1" fieldPosition="0"/>
    </format>
    <format dxfId="229">
      <pivotArea field="3" type="button" dataOnly="0" labelOnly="1" outline="0" axis="axisRow" fieldPosition="0"/>
    </format>
    <format dxfId="228">
      <pivotArea dataOnly="0" labelOnly="1" fieldPosition="0">
        <references count="1">
          <reference field="3" count="0"/>
        </references>
      </pivotArea>
    </format>
    <format dxfId="227">
      <pivotArea dataOnly="0" labelOnly="1" grandRow="1" outline="0" fieldPosition="0"/>
    </format>
    <format dxfId="2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A3AB2D-4D1C-449E-AA96-A2DEC1DB4CE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16" firstHeaderRow="1" firstDataRow="2" firstDataCol="1"/>
  <pivotFields count="5">
    <pivotField axis="axisRow" showAll="0">
      <items count="8">
        <item m="1" x="6"/>
        <item x="0"/>
        <item h="1" x="4"/>
        <item m="1" x="5"/>
        <item x="1"/>
        <item x="2"/>
        <item h="1" x="3"/>
        <item t="default"/>
      </items>
    </pivotField>
    <pivotField showAll="0"/>
    <pivotField axis="axisRow" dataField="1" showAll="0">
      <items count="4">
        <item x="1"/>
        <item x="0"/>
        <item h="1" x="2"/>
        <item t="default"/>
      </items>
    </pivotField>
    <pivotField axis="axisRow" showAll="0">
      <items count="5">
        <item x="1"/>
        <item x="0"/>
        <item h="1" x="3"/>
        <item h="1" x="2"/>
        <item t="default"/>
      </items>
    </pivotField>
    <pivotField axis="axisCol" showAll="0">
      <items count="7">
        <item m="1" x="4"/>
        <item h="1" x="2"/>
        <item x="0"/>
        <item x="1"/>
        <item m="1" x="5"/>
        <item m="1" x="3"/>
        <item t="default"/>
      </items>
    </pivotField>
  </pivotFields>
  <rowFields count="3">
    <field x="0"/>
    <field x="2"/>
    <field x="3"/>
  </rowFields>
  <rowItems count="14">
    <i>
      <x v="1"/>
    </i>
    <i r="1">
      <x/>
    </i>
    <i r="2">
      <x/>
    </i>
    <i r="1">
      <x v="1"/>
    </i>
    <i r="2">
      <x v="1"/>
    </i>
    <i>
      <x v="4"/>
    </i>
    <i r="1">
      <x/>
    </i>
    <i r="2">
      <x/>
    </i>
    <i r="1">
      <x v="1"/>
    </i>
    <i r="2">
      <x v="1"/>
    </i>
    <i>
      <x v="5"/>
    </i>
    <i r="1">
      <x v="1"/>
    </i>
    <i r="2">
      <x v="1"/>
    </i>
    <i t="grand">
      <x/>
    </i>
  </rowItems>
  <colFields count="1">
    <field x="4"/>
  </colFields>
  <colItems count="3">
    <i>
      <x v="2"/>
    </i>
    <i>
      <x v="3"/>
    </i>
    <i t="grand">
      <x/>
    </i>
  </colItems>
  <dataFields count="1">
    <dataField name="Count of Scenario Type" fld="2" subtotal="count" baseField="0" baseItem="0"/>
  </dataFields>
  <formats count="79">
    <format dxfId="316">
      <pivotArea type="all" dataOnly="0" outline="0" fieldPosition="0"/>
    </format>
    <format dxfId="315">
      <pivotArea outline="0" collapsedLevelsAreSubtotals="1" fieldPosition="0"/>
    </format>
    <format dxfId="314">
      <pivotArea type="origin" dataOnly="0" labelOnly="1" outline="0" fieldPosition="0"/>
    </format>
    <format dxfId="313">
      <pivotArea field="4" type="button" dataOnly="0" labelOnly="1" outline="0" axis="axisCol" fieldPosition="0"/>
    </format>
    <format dxfId="312">
      <pivotArea type="topRight" dataOnly="0" labelOnly="1" outline="0" fieldPosition="0"/>
    </format>
    <format dxfId="311">
      <pivotArea field="0" type="button" dataOnly="0" labelOnly="1" outline="0" axis="axisRow" fieldPosition="0"/>
    </format>
    <format dxfId="310">
      <pivotArea dataOnly="0" labelOnly="1" fieldPosition="0">
        <references count="1">
          <reference field="0" count="0"/>
        </references>
      </pivotArea>
    </format>
    <format dxfId="309">
      <pivotArea dataOnly="0" labelOnly="1" grandRow="1" outline="0" fieldPosition="0"/>
    </format>
    <format dxfId="308">
      <pivotArea dataOnly="0" labelOnly="1" fieldPosition="0">
        <references count="2">
          <reference field="0" count="1" selected="0">
            <x v="0"/>
          </reference>
          <reference field="2" count="0"/>
        </references>
      </pivotArea>
    </format>
    <format dxfId="307">
      <pivotArea dataOnly="0" labelOnly="1" fieldPosition="0">
        <references count="2">
          <reference field="0" count="1" selected="0">
            <x v="1"/>
          </reference>
          <reference field="2" count="1">
            <x v="1"/>
          </reference>
        </references>
      </pivotArea>
    </format>
    <format dxfId="306">
      <pivotArea dataOnly="0" labelOnly="1" fieldPosition="0">
        <references count="3">
          <reference field="0" count="1" selected="0">
            <x v="0"/>
          </reference>
          <reference field="2" count="1" selected="0">
            <x v="0"/>
          </reference>
          <reference field="3" count="1">
            <x v="0"/>
          </reference>
        </references>
      </pivotArea>
    </format>
    <format dxfId="305">
      <pivotArea dataOnly="0" labelOnly="1" fieldPosition="0">
        <references count="3">
          <reference field="0" count="1" selected="0">
            <x v="0"/>
          </reference>
          <reference field="2" count="1" selected="0">
            <x v="1"/>
          </reference>
          <reference field="3" count="1">
            <x v="1"/>
          </reference>
        </references>
      </pivotArea>
    </format>
    <format dxfId="304">
      <pivotArea dataOnly="0" labelOnly="1" fieldPosition="0">
        <references count="3">
          <reference field="0" count="1" selected="0">
            <x v="1"/>
          </reference>
          <reference field="2" count="1" selected="0">
            <x v="1"/>
          </reference>
          <reference field="3" count="1">
            <x v="1"/>
          </reference>
        </references>
      </pivotArea>
    </format>
    <format dxfId="303">
      <pivotArea dataOnly="0" labelOnly="1" fieldPosition="0">
        <references count="1">
          <reference field="4" count="0"/>
        </references>
      </pivotArea>
    </format>
    <format dxfId="302">
      <pivotArea dataOnly="0" labelOnly="1" grandCol="1" outline="0" fieldPosition="0"/>
    </format>
    <format dxfId="301">
      <pivotArea type="all" dataOnly="0" outline="0" fieldPosition="0"/>
    </format>
    <format dxfId="300">
      <pivotArea outline="0" collapsedLevelsAreSubtotals="1" fieldPosition="0"/>
    </format>
    <format dxfId="299">
      <pivotArea type="origin" dataOnly="0" labelOnly="1" outline="0" fieldPosition="0"/>
    </format>
    <format dxfId="298">
      <pivotArea field="4" type="button" dataOnly="0" labelOnly="1" outline="0" axis="axisCol" fieldPosition="0"/>
    </format>
    <format dxfId="297">
      <pivotArea type="topRight" dataOnly="0" labelOnly="1" outline="0" fieldPosition="0"/>
    </format>
    <format dxfId="296">
      <pivotArea field="0" type="button" dataOnly="0" labelOnly="1" outline="0" axis="axisRow" fieldPosition="0"/>
    </format>
    <format dxfId="295">
      <pivotArea dataOnly="0" labelOnly="1" fieldPosition="0">
        <references count="1">
          <reference field="0" count="0"/>
        </references>
      </pivotArea>
    </format>
    <format dxfId="294">
      <pivotArea dataOnly="0" labelOnly="1" grandRow="1" outline="0" fieldPosition="0"/>
    </format>
    <format dxfId="293">
      <pivotArea dataOnly="0" labelOnly="1" fieldPosition="0">
        <references count="2">
          <reference field="0" count="1" selected="0">
            <x v="0"/>
          </reference>
          <reference field="2" count="0"/>
        </references>
      </pivotArea>
    </format>
    <format dxfId="292">
      <pivotArea dataOnly="0" labelOnly="1" fieldPosition="0">
        <references count="2">
          <reference field="0" count="1" selected="0">
            <x v="1"/>
          </reference>
          <reference field="2" count="1">
            <x v="1"/>
          </reference>
        </references>
      </pivotArea>
    </format>
    <format dxfId="291">
      <pivotArea dataOnly="0" labelOnly="1" fieldPosition="0">
        <references count="3">
          <reference field="0" count="1" selected="0">
            <x v="0"/>
          </reference>
          <reference field="2" count="1" selected="0">
            <x v="0"/>
          </reference>
          <reference field="3" count="1">
            <x v="0"/>
          </reference>
        </references>
      </pivotArea>
    </format>
    <format dxfId="290">
      <pivotArea dataOnly="0" labelOnly="1" fieldPosition="0">
        <references count="3">
          <reference field="0" count="1" selected="0">
            <x v="0"/>
          </reference>
          <reference field="2" count="1" selected="0">
            <x v="1"/>
          </reference>
          <reference field="3" count="1">
            <x v="1"/>
          </reference>
        </references>
      </pivotArea>
    </format>
    <format dxfId="289">
      <pivotArea dataOnly="0" labelOnly="1" fieldPosition="0">
        <references count="3">
          <reference field="0" count="1" selected="0">
            <x v="1"/>
          </reference>
          <reference field="2" count="1" selected="0">
            <x v="1"/>
          </reference>
          <reference field="3" count="1">
            <x v="1"/>
          </reference>
        </references>
      </pivotArea>
    </format>
    <format dxfId="288">
      <pivotArea dataOnly="0" labelOnly="1" fieldPosition="0">
        <references count="1">
          <reference field="4" count="0"/>
        </references>
      </pivotArea>
    </format>
    <format dxfId="287">
      <pivotArea dataOnly="0" labelOnly="1" grandCol="1" outline="0" fieldPosition="0"/>
    </format>
    <format dxfId="286">
      <pivotArea outline="0" collapsedLevelsAreSubtotals="1" fieldPosition="0"/>
    </format>
    <format dxfId="285">
      <pivotArea field="0" type="button" dataOnly="0" labelOnly="1" outline="0" axis="axisRow" fieldPosition="0"/>
    </format>
    <format dxfId="284">
      <pivotArea dataOnly="0" labelOnly="1" fieldPosition="0">
        <references count="1">
          <reference field="0" count="0"/>
        </references>
      </pivotArea>
    </format>
    <format dxfId="283">
      <pivotArea dataOnly="0" labelOnly="1" grandRow="1" outline="0" fieldPosition="0"/>
    </format>
    <format dxfId="282">
      <pivotArea dataOnly="0" labelOnly="1" fieldPosition="0">
        <references count="2">
          <reference field="0" count="1" selected="0">
            <x v="0"/>
          </reference>
          <reference field="2" count="0"/>
        </references>
      </pivotArea>
    </format>
    <format dxfId="281">
      <pivotArea dataOnly="0" labelOnly="1" fieldPosition="0">
        <references count="2">
          <reference field="0" count="1" selected="0">
            <x v="1"/>
          </reference>
          <reference field="2" count="1">
            <x v="1"/>
          </reference>
        </references>
      </pivotArea>
    </format>
    <format dxfId="280">
      <pivotArea dataOnly="0" labelOnly="1" fieldPosition="0">
        <references count="3">
          <reference field="0" count="1" selected="0">
            <x v="0"/>
          </reference>
          <reference field="2" count="1" selected="0">
            <x v="0"/>
          </reference>
          <reference field="3" count="1">
            <x v="0"/>
          </reference>
        </references>
      </pivotArea>
    </format>
    <format dxfId="279">
      <pivotArea dataOnly="0" labelOnly="1" fieldPosition="0">
        <references count="3">
          <reference field="0" count="1" selected="0">
            <x v="0"/>
          </reference>
          <reference field="2" count="1" selected="0">
            <x v="1"/>
          </reference>
          <reference field="3" count="1">
            <x v="1"/>
          </reference>
        </references>
      </pivotArea>
    </format>
    <format dxfId="278">
      <pivotArea dataOnly="0" labelOnly="1" fieldPosition="0">
        <references count="3">
          <reference field="0" count="1" selected="0">
            <x v="1"/>
          </reference>
          <reference field="2" count="1" selected="0">
            <x v="1"/>
          </reference>
          <reference field="3" count="1">
            <x v="1"/>
          </reference>
        </references>
      </pivotArea>
    </format>
    <format dxfId="277">
      <pivotArea dataOnly="0" labelOnly="1" fieldPosition="0">
        <references count="1">
          <reference field="4" count="0"/>
        </references>
      </pivotArea>
    </format>
    <format dxfId="276">
      <pivotArea dataOnly="0" labelOnly="1" grandCol="1" outline="0" fieldPosition="0"/>
    </format>
    <format dxfId="275">
      <pivotArea collapsedLevelsAreSubtotals="1" fieldPosition="0">
        <references count="1">
          <reference field="0" count="1">
            <x v="0"/>
          </reference>
        </references>
      </pivotArea>
    </format>
    <format dxfId="274">
      <pivotArea dataOnly="0" labelOnly="1" fieldPosition="0">
        <references count="1">
          <reference field="0" count="1">
            <x v="0"/>
          </reference>
        </references>
      </pivotArea>
    </format>
    <format dxfId="273">
      <pivotArea collapsedLevelsAreSubtotals="1" fieldPosition="0">
        <references count="1">
          <reference field="0" count="1">
            <x v="0"/>
          </reference>
        </references>
      </pivotArea>
    </format>
    <format dxfId="272">
      <pivotArea dataOnly="0" labelOnly="1" fieldPosition="0">
        <references count="1">
          <reference field="0" count="1">
            <x v="0"/>
          </reference>
        </references>
      </pivotArea>
    </format>
    <format dxfId="271">
      <pivotArea dataOnly="0" labelOnly="1" fieldPosition="0">
        <references count="1">
          <reference field="0" count="0"/>
        </references>
      </pivotArea>
    </format>
    <format dxfId="270">
      <pivotArea dataOnly="0" labelOnly="1" fieldPosition="0">
        <references count="2">
          <reference field="0" count="1" selected="0">
            <x v="3"/>
          </reference>
          <reference field="2" count="1">
            <x v="1"/>
          </reference>
        </references>
      </pivotArea>
    </format>
    <format dxfId="269">
      <pivotArea dataOnly="0" labelOnly="1" fieldPosition="0">
        <references count="3">
          <reference field="0" count="1" selected="0">
            <x v="3"/>
          </reference>
          <reference field="2" count="1" selected="0">
            <x v="1"/>
          </reference>
          <reference field="3" count="1">
            <x v="1"/>
          </reference>
        </references>
      </pivotArea>
    </format>
    <format dxfId="268">
      <pivotArea collapsedLevelsAreSubtotals="1" fieldPosition="0">
        <references count="1">
          <reference field="0" count="1">
            <x v="1"/>
          </reference>
        </references>
      </pivotArea>
    </format>
    <format dxfId="267">
      <pivotArea dataOnly="0" labelOnly="1" fieldPosition="0">
        <references count="1">
          <reference field="0" count="1">
            <x v="1"/>
          </reference>
        </references>
      </pivotArea>
    </format>
    <format dxfId="266">
      <pivotArea collapsedLevelsAreSubtotals="1" fieldPosition="0">
        <references count="1">
          <reference field="0" count="1">
            <x v="1"/>
          </reference>
        </references>
      </pivotArea>
    </format>
    <format dxfId="265">
      <pivotArea dataOnly="0" labelOnly="1" fieldPosition="0">
        <references count="1">
          <reference field="0" count="1">
            <x v="1"/>
          </reference>
        </references>
      </pivotArea>
    </format>
    <format dxfId="264">
      <pivotArea collapsedLevelsAreSubtotals="1" fieldPosition="0">
        <references count="1">
          <reference field="0" count="1">
            <x v="4"/>
          </reference>
        </references>
      </pivotArea>
    </format>
    <format dxfId="263">
      <pivotArea dataOnly="0" labelOnly="1" fieldPosition="0">
        <references count="1">
          <reference field="0" count="1">
            <x v="4"/>
          </reference>
        </references>
      </pivotArea>
    </format>
    <format dxfId="262">
      <pivotArea collapsedLevelsAreSubtotals="1" fieldPosition="0">
        <references count="1">
          <reference field="0" count="1">
            <x v="4"/>
          </reference>
        </references>
      </pivotArea>
    </format>
    <format dxfId="261">
      <pivotArea dataOnly="0" labelOnly="1" fieldPosition="0">
        <references count="1">
          <reference field="0" count="1">
            <x v="4"/>
          </reference>
        </references>
      </pivotArea>
    </format>
    <format dxfId="260">
      <pivotArea dataOnly="0" labelOnly="1" fieldPosition="0">
        <references count="1">
          <reference field="0" count="0"/>
        </references>
      </pivotArea>
    </format>
    <format dxfId="259">
      <pivotArea collapsedLevelsAreSubtotals="1" fieldPosition="0">
        <references count="1">
          <reference field="0" count="1">
            <x v="5"/>
          </reference>
        </references>
      </pivotArea>
    </format>
    <format dxfId="258">
      <pivotArea dataOnly="0" labelOnly="1" fieldPosition="0">
        <references count="1">
          <reference field="0" count="1">
            <x v="5"/>
          </reference>
        </references>
      </pivotArea>
    </format>
    <format dxfId="257">
      <pivotArea collapsedLevelsAreSubtotals="1" fieldPosition="0">
        <references count="1">
          <reference field="0" count="1">
            <x v="5"/>
          </reference>
        </references>
      </pivotArea>
    </format>
    <format dxfId="256">
      <pivotArea dataOnly="0" labelOnly="1" fieldPosition="0">
        <references count="1">
          <reference field="0" count="1">
            <x v="5"/>
          </reference>
        </references>
      </pivotArea>
    </format>
    <format dxfId="255">
      <pivotArea type="all" dataOnly="0" outline="0" fieldPosition="0"/>
    </format>
    <format dxfId="254">
      <pivotArea outline="0" collapsedLevelsAreSubtotals="1" fieldPosition="0"/>
    </format>
    <format dxfId="253">
      <pivotArea type="origin" dataOnly="0" labelOnly="1" outline="0" fieldPosition="0"/>
    </format>
    <format dxfId="252">
      <pivotArea field="4" type="button" dataOnly="0" labelOnly="1" outline="0" axis="axisCol" fieldPosition="0"/>
    </format>
    <format dxfId="251">
      <pivotArea type="topRight" dataOnly="0" labelOnly="1" outline="0" fieldPosition="0"/>
    </format>
    <format dxfId="250">
      <pivotArea field="0" type="button" dataOnly="0" labelOnly="1" outline="0" axis="axisRow" fieldPosition="0"/>
    </format>
    <format dxfId="249">
      <pivotArea dataOnly="0" labelOnly="1" fieldPosition="0">
        <references count="1">
          <reference field="0" count="0"/>
        </references>
      </pivotArea>
    </format>
    <format dxfId="248">
      <pivotArea dataOnly="0" labelOnly="1" grandRow="1" outline="0" fieldPosition="0"/>
    </format>
    <format dxfId="247">
      <pivotArea dataOnly="0" labelOnly="1" fieldPosition="0">
        <references count="2">
          <reference field="0" count="1" selected="0">
            <x v="1"/>
          </reference>
          <reference field="2" count="0"/>
        </references>
      </pivotArea>
    </format>
    <format dxfId="246">
      <pivotArea dataOnly="0" labelOnly="1" fieldPosition="0">
        <references count="2">
          <reference field="0" count="1" selected="0">
            <x v="4"/>
          </reference>
          <reference field="2" count="0"/>
        </references>
      </pivotArea>
    </format>
    <format dxfId="245">
      <pivotArea dataOnly="0" labelOnly="1" fieldPosition="0">
        <references count="2">
          <reference field="0" count="1" selected="0">
            <x v="5"/>
          </reference>
          <reference field="2" count="1">
            <x v="1"/>
          </reference>
        </references>
      </pivotArea>
    </format>
    <format dxfId="244">
      <pivotArea dataOnly="0" labelOnly="1" fieldPosition="0">
        <references count="3">
          <reference field="0" count="1" selected="0">
            <x v="1"/>
          </reference>
          <reference field="2" count="1" selected="0">
            <x v="0"/>
          </reference>
          <reference field="3" count="1">
            <x v="0"/>
          </reference>
        </references>
      </pivotArea>
    </format>
    <format dxfId="243">
      <pivotArea dataOnly="0" labelOnly="1" fieldPosition="0">
        <references count="3">
          <reference field="0" count="1" selected="0">
            <x v="1"/>
          </reference>
          <reference field="2" count="1" selected="0">
            <x v="1"/>
          </reference>
          <reference field="3" count="1">
            <x v="1"/>
          </reference>
        </references>
      </pivotArea>
    </format>
    <format dxfId="242">
      <pivotArea dataOnly="0" labelOnly="1" fieldPosition="0">
        <references count="3">
          <reference field="0" count="1" selected="0">
            <x v="4"/>
          </reference>
          <reference field="2" count="1" selected="0">
            <x v="0"/>
          </reference>
          <reference field="3" count="1">
            <x v="0"/>
          </reference>
        </references>
      </pivotArea>
    </format>
    <format dxfId="241">
      <pivotArea dataOnly="0" labelOnly="1" fieldPosition="0">
        <references count="3">
          <reference field="0" count="1" selected="0">
            <x v="4"/>
          </reference>
          <reference field="2" count="1" selected="0">
            <x v="1"/>
          </reference>
          <reference field="3" count="1">
            <x v="1"/>
          </reference>
        </references>
      </pivotArea>
    </format>
    <format dxfId="240">
      <pivotArea dataOnly="0" labelOnly="1" fieldPosition="0">
        <references count="3">
          <reference field="0" count="1" selected="0">
            <x v="5"/>
          </reference>
          <reference field="2" count="1" selected="0">
            <x v="1"/>
          </reference>
          <reference field="3" count="1">
            <x v="1"/>
          </reference>
        </references>
      </pivotArea>
    </format>
    <format dxfId="239">
      <pivotArea dataOnly="0" labelOnly="1" fieldPosition="0">
        <references count="1">
          <reference field="4" count="0"/>
        </references>
      </pivotArea>
    </format>
    <format dxfId="23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1"/>
  <sheetViews>
    <sheetView tabSelected="1" zoomScale="85" zoomScaleNormal="85" workbookViewId="0">
      <pane ySplit="1" topLeftCell="A2" activePane="bottomLeft" state="frozen"/>
      <selection activeCell="E2" sqref="A2:F1048576"/>
      <selection pane="bottomLeft" activeCell="M23" sqref="M23"/>
    </sheetView>
  </sheetViews>
  <sheetFormatPr defaultColWidth="9.140625" defaultRowHeight="15" x14ac:dyDescent="0.25"/>
  <cols>
    <col min="1" max="1" width="3" style="8" bestFit="1" customWidth="1"/>
    <col min="2" max="3" width="10.7109375" style="8" customWidth="1"/>
    <col min="4" max="4" width="12.5703125" style="8" bestFit="1" customWidth="1"/>
    <col min="5" max="5" width="10.7109375" style="8" bestFit="1" customWidth="1"/>
    <col min="6" max="6" width="17" style="8" bestFit="1" customWidth="1"/>
    <col min="7" max="7" width="14" style="8" bestFit="1" customWidth="1"/>
    <col min="8" max="8" width="20.7109375" style="3" customWidth="1"/>
    <col min="9" max="10" width="60.7109375" style="8" customWidth="1"/>
    <col min="11" max="11" width="10.7109375" style="9" customWidth="1"/>
    <col min="12" max="12" width="19.42578125" style="8" customWidth="1"/>
    <col min="13" max="13" width="92.85546875" style="3" customWidth="1"/>
    <col min="14" max="14" width="60.7109375" style="8" customWidth="1"/>
    <col min="15" max="16384" width="9.140625" style="8"/>
  </cols>
  <sheetData>
    <row r="1" spans="1:14" s="1" customFormat="1" ht="30" x14ac:dyDescent="0.25">
      <c r="A1" s="4" t="s">
        <v>0</v>
      </c>
      <c r="B1" s="5" t="s">
        <v>1</v>
      </c>
      <c r="C1" s="5" t="s">
        <v>2</v>
      </c>
      <c r="D1" s="5" t="s">
        <v>3</v>
      </c>
      <c r="E1" s="4" t="s">
        <v>4</v>
      </c>
      <c r="F1" s="5" t="s">
        <v>5</v>
      </c>
      <c r="G1" s="5" t="s">
        <v>6</v>
      </c>
      <c r="H1" s="4" t="s">
        <v>7</v>
      </c>
      <c r="I1" s="5" t="s">
        <v>8</v>
      </c>
      <c r="J1" s="4" t="s">
        <v>9</v>
      </c>
      <c r="K1" s="5" t="s">
        <v>10</v>
      </c>
      <c r="L1" s="5" t="s">
        <v>11</v>
      </c>
      <c r="M1" s="4" t="s">
        <v>12</v>
      </c>
      <c r="N1" s="4" t="s">
        <v>13</v>
      </c>
    </row>
    <row r="2" spans="1:14" ht="45" x14ac:dyDescent="0.25">
      <c r="A2" s="21">
        <f>ROW()-1</f>
        <v>1</v>
      </c>
      <c r="B2" s="22">
        <v>46147</v>
      </c>
      <c r="C2" s="22" t="s">
        <v>14</v>
      </c>
      <c r="D2" s="23" t="s">
        <v>15</v>
      </c>
      <c r="E2" s="23" t="s">
        <v>16</v>
      </c>
      <c r="F2" s="23" t="s">
        <v>17</v>
      </c>
      <c r="G2" s="11" t="s">
        <v>18</v>
      </c>
      <c r="H2" s="17" t="s">
        <v>19</v>
      </c>
      <c r="I2" s="12" t="s">
        <v>20</v>
      </c>
      <c r="J2" s="23" t="s">
        <v>21</v>
      </c>
      <c r="K2" s="24">
        <v>46150</v>
      </c>
      <c r="L2" s="23" t="s">
        <v>22</v>
      </c>
      <c r="M2" s="10"/>
      <c r="N2" s="23" t="s">
        <v>23</v>
      </c>
    </row>
    <row r="3" spans="1:14" ht="45" x14ac:dyDescent="0.25">
      <c r="A3" s="21">
        <f t="shared" ref="A3:A51" si="0">ROW()-1</f>
        <v>2</v>
      </c>
      <c r="B3" s="22">
        <v>46147</v>
      </c>
      <c r="C3" s="22" t="s">
        <v>14</v>
      </c>
      <c r="D3" s="23" t="s">
        <v>24</v>
      </c>
      <c r="E3" s="23" t="s">
        <v>25</v>
      </c>
      <c r="F3" s="23" t="s">
        <v>17</v>
      </c>
      <c r="G3" s="23" t="s">
        <v>26</v>
      </c>
      <c r="H3" s="25" t="s">
        <v>27</v>
      </c>
      <c r="I3" s="6" t="s">
        <v>28</v>
      </c>
      <c r="J3" s="23" t="s">
        <v>29</v>
      </c>
      <c r="K3" s="24">
        <v>46150</v>
      </c>
      <c r="L3" s="23" t="s">
        <v>22</v>
      </c>
      <c r="M3" s="10"/>
      <c r="N3" s="23" t="s">
        <v>30</v>
      </c>
    </row>
    <row r="4" spans="1:14" ht="105" x14ac:dyDescent="0.25">
      <c r="A4" s="21">
        <f t="shared" si="0"/>
        <v>3</v>
      </c>
      <c r="B4" s="22">
        <v>46147</v>
      </c>
      <c r="C4" s="22" t="s">
        <v>14</v>
      </c>
      <c r="D4" s="23" t="s">
        <v>15</v>
      </c>
      <c r="E4" s="23" t="s">
        <v>16</v>
      </c>
      <c r="F4" s="23" t="s">
        <v>17</v>
      </c>
      <c r="G4" s="6" t="s">
        <v>31</v>
      </c>
      <c r="H4" s="18" t="s">
        <v>32</v>
      </c>
      <c r="I4" s="6" t="s">
        <v>33</v>
      </c>
      <c r="J4" s="17" t="s">
        <v>34</v>
      </c>
      <c r="K4" s="7">
        <v>46150</v>
      </c>
      <c r="L4" s="23" t="s">
        <v>22</v>
      </c>
      <c r="M4" s="10"/>
      <c r="N4" s="6" t="s">
        <v>35</v>
      </c>
    </row>
    <row r="5" spans="1:14" ht="105" x14ac:dyDescent="0.25">
      <c r="A5" s="21">
        <f t="shared" si="0"/>
        <v>4</v>
      </c>
      <c r="B5" s="22">
        <v>46147</v>
      </c>
      <c r="C5" s="22" t="s">
        <v>14</v>
      </c>
      <c r="D5" s="23" t="s">
        <v>15</v>
      </c>
      <c r="E5" s="23" t="s">
        <v>16</v>
      </c>
      <c r="F5" s="23" t="s">
        <v>17</v>
      </c>
      <c r="G5" s="6" t="s">
        <v>31</v>
      </c>
      <c r="H5" s="18" t="s">
        <v>36</v>
      </c>
      <c r="I5" s="6" t="s">
        <v>37</v>
      </c>
      <c r="J5" s="13" t="s">
        <v>38</v>
      </c>
      <c r="K5" s="7">
        <v>46150</v>
      </c>
      <c r="L5" s="23" t="s">
        <v>22</v>
      </c>
      <c r="M5" s="20"/>
      <c r="N5" s="6" t="s">
        <v>39</v>
      </c>
    </row>
    <row r="6" spans="1:14" ht="45" x14ac:dyDescent="0.25">
      <c r="A6" s="21">
        <f t="shared" si="0"/>
        <v>5</v>
      </c>
      <c r="B6" s="22">
        <v>46147</v>
      </c>
      <c r="C6" s="22" t="s">
        <v>14</v>
      </c>
      <c r="D6" s="23" t="s">
        <v>15</v>
      </c>
      <c r="E6" s="23" t="s">
        <v>16</v>
      </c>
      <c r="F6" s="23" t="s">
        <v>40</v>
      </c>
      <c r="G6" s="23" t="s">
        <v>41</v>
      </c>
      <c r="H6" s="25" t="s">
        <v>42</v>
      </c>
      <c r="I6" s="23" t="s">
        <v>43</v>
      </c>
      <c r="J6" s="23" t="s">
        <v>44</v>
      </c>
      <c r="K6" s="24"/>
      <c r="L6" s="23" t="s">
        <v>22</v>
      </c>
      <c r="M6" s="10"/>
      <c r="N6" s="23" t="s">
        <v>46</v>
      </c>
    </row>
    <row r="7" spans="1:14" ht="45" x14ac:dyDescent="0.25">
      <c r="A7" s="21">
        <f t="shared" si="0"/>
        <v>6</v>
      </c>
      <c r="B7" s="22">
        <v>46147</v>
      </c>
      <c r="C7" s="22" t="s">
        <v>14</v>
      </c>
      <c r="D7" s="23" t="s">
        <v>24</v>
      </c>
      <c r="E7" s="23" t="s">
        <v>25</v>
      </c>
      <c r="F7" s="23" t="s">
        <v>17</v>
      </c>
      <c r="G7" s="23" t="s">
        <v>41</v>
      </c>
      <c r="H7" s="25" t="s">
        <v>42</v>
      </c>
      <c r="I7" s="6" t="s">
        <v>47</v>
      </c>
      <c r="J7" s="23" t="s">
        <v>44</v>
      </c>
      <c r="K7" s="24">
        <v>46161</v>
      </c>
      <c r="L7" s="23" t="s">
        <v>22</v>
      </c>
      <c r="M7" s="10" t="s">
        <v>48</v>
      </c>
      <c r="N7" s="23" t="s">
        <v>49</v>
      </c>
    </row>
    <row r="8" spans="1:14" s="2" customFormat="1" ht="165" x14ac:dyDescent="0.25">
      <c r="A8" s="21">
        <f t="shared" si="0"/>
        <v>7</v>
      </c>
      <c r="B8" s="22">
        <v>46147</v>
      </c>
      <c r="C8" s="22" t="s">
        <v>14</v>
      </c>
      <c r="D8" s="23" t="s">
        <v>24</v>
      </c>
      <c r="E8" s="23" t="s">
        <v>25</v>
      </c>
      <c r="F8" s="23" t="s">
        <v>17</v>
      </c>
      <c r="G8" s="6" t="s">
        <v>50</v>
      </c>
      <c r="H8" s="25" t="s">
        <v>51</v>
      </c>
      <c r="I8" s="6" t="s">
        <v>52</v>
      </c>
      <c r="J8" s="17" t="s">
        <v>53</v>
      </c>
      <c r="K8" s="24">
        <v>46181</v>
      </c>
      <c r="L8" s="23" t="s">
        <v>22</v>
      </c>
      <c r="M8" s="23" t="s">
        <v>54</v>
      </c>
      <c r="N8" s="23" t="s">
        <v>55</v>
      </c>
    </row>
    <row r="9" spans="1:14" ht="45" x14ac:dyDescent="0.25">
      <c r="A9" s="21">
        <f t="shared" si="0"/>
        <v>8</v>
      </c>
      <c r="B9" s="22">
        <v>46147</v>
      </c>
      <c r="C9" s="22" t="s">
        <v>14</v>
      </c>
      <c r="D9" s="23" t="s">
        <v>15</v>
      </c>
      <c r="E9" s="23" t="s">
        <v>16</v>
      </c>
      <c r="F9" s="23" t="s">
        <v>40</v>
      </c>
      <c r="G9" s="23" t="s">
        <v>41</v>
      </c>
      <c r="H9" s="25" t="s">
        <v>56</v>
      </c>
      <c r="I9" s="6" t="s">
        <v>57</v>
      </c>
      <c r="J9" s="6" t="s">
        <v>58</v>
      </c>
      <c r="K9" s="7"/>
      <c r="L9" s="23" t="s">
        <v>22</v>
      </c>
      <c r="M9" s="10" t="s">
        <v>59</v>
      </c>
      <c r="N9" s="6" t="s">
        <v>60</v>
      </c>
    </row>
    <row r="10" spans="1:14" ht="45" x14ac:dyDescent="0.25">
      <c r="A10" s="21">
        <f t="shared" si="0"/>
        <v>9</v>
      </c>
      <c r="B10" s="22">
        <v>46147</v>
      </c>
      <c r="C10" s="22" t="s">
        <v>14</v>
      </c>
      <c r="D10" s="23" t="s">
        <v>15</v>
      </c>
      <c r="E10" s="23" t="s">
        <v>16</v>
      </c>
      <c r="F10" s="23" t="s">
        <v>17</v>
      </c>
      <c r="G10" s="23" t="s">
        <v>61</v>
      </c>
      <c r="H10" s="25" t="s">
        <v>62</v>
      </c>
      <c r="I10" s="23" t="s">
        <v>63</v>
      </c>
      <c r="J10" s="23"/>
      <c r="K10" s="24">
        <v>46161</v>
      </c>
      <c r="L10" s="23" t="s">
        <v>22</v>
      </c>
      <c r="M10" s="20"/>
      <c r="N10" s="23" t="s">
        <v>64</v>
      </c>
    </row>
    <row r="11" spans="1:14" ht="45" x14ac:dyDescent="0.25">
      <c r="A11" s="21">
        <f t="shared" si="0"/>
        <v>10</v>
      </c>
      <c r="B11" s="22">
        <v>46147</v>
      </c>
      <c r="C11" s="22" t="s">
        <v>14</v>
      </c>
      <c r="D11" s="23" t="s">
        <v>15</v>
      </c>
      <c r="E11" s="23" t="s">
        <v>16</v>
      </c>
      <c r="F11" s="23" t="s">
        <v>17</v>
      </c>
      <c r="G11" s="23" t="s">
        <v>61</v>
      </c>
      <c r="H11" s="25" t="s">
        <v>65</v>
      </c>
      <c r="I11" s="6" t="s">
        <v>66</v>
      </c>
      <c r="J11" s="23" t="s">
        <v>67</v>
      </c>
      <c r="K11" s="24">
        <v>46161</v>
      </c>
      <c r="L11" s="23" t="s">
        <v>22</v>
      </c>
      <c r="M11" s="20"/>
      <c r="N11" s="23" t="s">
        <v>68</v>
      </c>
    </row>
    <row r="12" spans="1:14" ht="60" x14ac:dyDescent="0.25">
      <c r="A12" s="21">
        <f>ROW()-1</f>
        <v>11</v>
      </c>
      <c r="B12" s="22">
        <v>46147</v>
      </c>
      <c r="C12" s="22" t="s">
        <v>14</v>
      </c>
      <c r="D12" s="23" t="s">
        <v>24</v>
      </c>
      <c r="E12" s="23" t="s">
        <v>25</v>
      </c>
      <c r="F12" s="23" t="s">
        <v>40</v>
      </c>
      <c r="G12" s="23" t="s">
        <v>69</v>
      </c>
      <c r="H12" s="25" t="s">
        <v>70</v>
      </c>
      <c r="I12" s="23" t="s">
        <v>71</v>
      </c>
      <c r="J12" s="23" t="s">
        <v>72</v>
      </c>
      <c r="K12" s="24"/>
      <c r="L12" s="23" t="s">
        <v>22</v>
      </c>
      <c r="M12" s="20"/>
      <c r="N12" s="23" t="s">
        <v>73</v>
      </c>
    </row>
    <row r="13" spans="1:14" ht="101.45" customHeight="1" x14ac:dyDescent="0.25">
      <c r="A13" s="21">
        <f t="shared" si="0"/>
        <v>12</v>
      </c>
      <c r="B13" s="22">
        <v>46147</v>
      </c>
      <c r="C13" s="22" t="s">
        <v>14</v>
      </c>
      <c r="D13" s="23" t="s">
        <v>15</v>
      </c>
      <c r="E13" s="23" t="s">
        <v>16</v>
      </c>
      <c r="F13" s="23" t="s">
        <v>17</v>
      </c>
      <c r="G13" s="11" t="s">
        <v>69</v>
      </c>
      <c r="H13" s="25" t="s">
        <v>74</v>
      </c>
      <c r="I13" s="6" t="s">
        <v>75</v>
      </c>
      <c r="J13" s="6"/>
      <c r="K13" s="7">
        <v>46161</v>
      </c>
      <c r="L13" s="23" t="s">
        <v>22</v>
      </c>
      <c r="M13" s="20"/>
      <c r="N13" s="6" t="s">
        <v>68</v>
      </c>
    </row>
    <row r="14" spans="1:14" ht="135.94999999999999" customHeight="1" x14ac:dyDescent="0.25">
      <c r="A14" s="21">
        <f t="shared" si="0"/>
        <v>13</v>
      </c>
      <c r="B14" s="22">
        <v>46161</v>
      </c>
      <c r="C14" s="22" t="s">
        <v>14</v>
      </c>
      <c r="D14" s="23" t="s">
        <v>15</v>
      </c>
      <c r="E14" s="23" t="s">
        <v>16</v>
      </c>
      <c r="F14" s="23" t="s">
        <v>17</v>
      </c>
      <c r="G14" s="6" t="s">
        <v>41</v>
      </c>
      <c r="H14" s="26" t="s">
        <v>76</v>
      </c>
      <c r="I14" s="6" t="s">
        <v>77</v>
      </c>
      <c r="J14" s="6" t="s">
        <v>78</v>
      </c>
      <c r="K14" s="7">
        <v>46182</v>
      </c>
      <c r="L14" s="23" t="s">
        <v>22</v>
      </c>
      <c r="M14" s="10" t="s">
        <v>79</v>
      </c>
      <c r="N14" s="6" t="s">
        <v>80</v>
      </c>
    </row>
    <row r="15" spans="1:14" ht="65.45" customHeight="1" x14ac:dyDescent="0.25">
      <c r="A15" s="21">
        <f t="shared" si="0"/>
        <v>14</v>
      </c>
      <c r="B15" s="22">
        <v>46161</v>
      </c>
      <c r="C15" s="22" t="s">
        <v>14</v>
      </c>
      <c r="D15" s="23" t="s">
        <v>15</v>
      </c>
      <c r="E15" s="23" t="s">
        <v>16</v>
      </c>
      <c r="F15" s="23" t="s">
        <v>17</v>
      </c>
      <c r="G15" s="23" t="s">
        <v>61</v>
      </c>
      <c r="H15" s="23" t="s">
        <v>82</v>
      </c>
      <c r="I15" s="6" t="s">
        <v>83</v>
      </c>
      <c r="J15" s="23" t="s">
        <v>84</v>
      </c>
      <c r="K15" s="24">
        <v>46218</v>
      </c>
      <c r="L15" s="23" t="s">
        <v>22</v>
      </c>
      <c r="M15" s="20" t="s">
        <v>86</v>
      </c>
      <c r="N15" s="23" t="s">
        <v>87</v>
      </c>
    </row>
    <row r="16" spans="1:14" ht="45" x14ac:dyDescent="0.25">
      <c r="A16" s="21">
        <f t="shared" si="0"/>
        <v>15</v>
      </c>
      <c r="B16" s="22">
        <v>46161</v>
      </c>
      <c r="C16" s="22" t="s">
        <v>14</v>
      </c>
      <c r="D16" s="23" t="s">
        <v>15</v>
      </c>
      <c r="E16" s="23" t="s">
        <v>16</v>
      </c>
      <c r="F16" s="23" t="s">
        <v>17</v>
      </c>
      <c r="G16" s="23" t="s">
        <v>41</v>
      </c>
      <c r="H16" s="23" t="s">
        <v>88</v>
      </c>
      <c r="I16" s="6" t="s">
        <v>135</v>
      </c>
      <c r="J16" s="23" t="s">
        <v>89</v>
      </c>
      <c r="K16" s="24">
        <v>46182</v>
      </c>
      <c r="L16" s="23" t="s">
        <v>22</v>
      </c>
      <c r="M16" s="10" t="s">
        <v>90</v>
      </c>
      <c r="N16" s="23" t="s">
        <v>91</v>
      </c>
    </row>
    <row r="17" spans="1:14" ht="75" x14ac:dyDescent="0.25">
      <c r="A17" s="21">
        <f t="shared" si="0"/>
        <v>16</v>
      </c>
      <c r="B17" s="22">
        <v>46161</v>
      </c>
      <c r="C17" s="22" t="s">
        <v>14</v>
      </c>
      <c r="D17" s="23" t="s">
        <v>15</v>
      </c>
      <c r="E17" s="23" t="s">
        <v>16</v>
      </c>
      <c r="F17" s="23" t="s">
        <v>17</v>
      </c>
      <c r="G17" s="23" t="s">
        <v>92</v>
      </c>
      <c r="H17" s="23" t="s">
        <v>93</v>
      </c>
      <c r="I17" s="6" t="s">
        <v>94</v>
      </c>
      <c r="J17" s="27" t="s">
        <v>95</v>
      </c>
      <c r="K17" s="22">
        <v>46181</v>
      </c>
      <c r="L17" s="23" t="s">
        <v>22</v>
      </c>
      <c r="M17" s="10" t="s">
        <v>96</v>
      </c>
      <c r="N17" s="20" t="s">
        <v>97</v>
      </c>
    </row>
    <row r="18" spans="1:14" ht="60" x14ac:dyDescent="0.25">
      <c r="A18" s="21">
        <f t="shared" si="0"/>
        <v>17</v>
      </c>
      <c r="B18" s="22">
        <v>46161</v>
      </c>
      <c r="C18" s="22" t="s">
        <v>14</v>
      </c>
      <c r="D18" s="23" t="s">
        <v>15</v>
      </c>
      <c r="E18" s="23" t="s">
        <v>16</v>
      </c>
      <c r="F18" s="23" t="s">
        <v>17</v>
      </c>
      <c r="G18" s="23" t="s">
        <v>69</v>
      </c>
      <c r="H18" s="23" t="s">
        <v>98</v>
      </c>
      <c r="I18" s="6" t="s">
        <v>99</v>
      </c>
      <c r="J18" s="20" t="s">
        <v>100</v>
      </c>
      <c r="K18" s="22">
        <v>46181</v>
      </c>
      <c r="L18" s="23" t="s">
        <v>22</v>
      </c>
      <c r="M18" s="20"/>
      <c r="N18" s="20" t="s">
        <v>101</v>
      </c>
    </row>
    <row r="19" spans="1:14" ht="275.45" customHeight="1" x14ac:dyDescent="0.25">
      <c r="A19" s="21">
        <f t="shared" si="0"/>
        <v>18</v>
      </c>
      <c r="B19" s="22">
        <v>46161</v>
      </c>
      <c r="C19" s="22" t="s">
        <v>102</v>
      </c>
      <c r="D19" s="23" t="s">
        <v>24</v>
      </c>
      <c r="E19" s="23" t="s">
        <v>25</v>
      </c>
      <c r="F19" s="23" t="s">
        <v>17</v>
      </c>
      <c r="G19" s="23" t="s">
        <v>103</v>
      </c>
      <c r="H19" s="23" t="s">
        <v>104</v>
      </c>
      <c r="I19" s="6" t="s">
        <v>105</v>
      </c>
      <c r="J19" s="20" t="s">
        <v>130</v>
      </c>
      <c r="K19" s="22">
        <v>46219</v>
      </c>
      <c r="L19" s="23" t="s">
        <v>22</v>
      </c>
      <c r="M19" s="10" t="s">
        <v>129</v>
      </c>
      <c r="N19" s="20" t="s">
        <v>106</v>
      </c>
    </row>
    <row r="20" spans="1:14" ht="105" x14ac:dyDescent="0.25">
      <c r="A20" s="21">
        <f t="shared" si="0"/>
        <v>19</v>
      </c>
      <c r="B20" s="22">
        <v>46183</v>
      </c>
      <c r="C20" s="22" t="s">
        <v>14</v>
      </c>
      <c r="D20" s="23" t="s">
        <v>15</v>
      </c>
      <c r="E20" s="23" t="s">
        <v>16</v>
      </c>
      <c r="F20" s="23" t="s">
        <v>17</v>
      </c>
      <c r="G20" s="6" t="s">
        <v>108</v>
      </c>
      <c r="H20" s="25" t="s">
        <v>51</v>
      </c>
      <c r="I20" s="28" t="s">
        <v>109</v>
      </c>
      <c r="J20" s="27" t="s">
        <v>110</v>
      </c>
      <c r="K20" s="22">
        <v>46219</v>
      </c>
      <c r="L20" s="23" t="s">
        <v>22</v>
      </c>
      <c r="M20" s="20"/>
      <c r="N20" s="27" t="s">
        <v>111</v>
      </c>
    </row>
    <row r="21" spans="1:14" ht="73.5" customHeight="1" x14ac:dyDescent="0.25">
      <c r="A21" s="21">
        <f t="shared" si="0"/>
        <v>20</v>
      </c>
      <c r="B21" s="22">
        <v>46183</v>
      </c>
      <c r="C21" s="22" t="s">
        <v>14</v>
      </c>
      <c r="D21" s="23" t="s">
        <v>15</v>
      </c>
      <c r="E21" s="23" t="s">
        <v>16</v>
      </c>
      <c r="F21" s="23" t="s">
        <v>17</v>
      </c>
      <c r="G21" s="23" t="s">
        <v>112</v>
      </c>
      <c r="H21" s="20" t="s">
        <v>93</v>
      </c>
      <c r="I21" s="20" t="s">
        <v>113</v>
      </c>
      <c r="J21" s="27" t="s">
        <v>114</v>
      </c>
      <c r="K21" s="22">
        <v>46219</v>
      </c>
      <c r="L21" s="23" t="s">
        <v>22</v>
      </c>
      <c r="M21" s="20" t="s">
        <v>131</v>
      </c>
      <c r="N21" s="27" t="s">
        <v>111</v>
      </c>
    </row>
    <row r="22" spans="1:14" ht="225.95" customHeight="1" x14ac:dyDescent="0.25">
      <c r="A22" s="21">
        <f t="shared" si="0"/>
        <v>21</v>
      </c>
      <c r="B22" s="22">
        <v>46183</v>
      </c>
      <c r="C22" s="22" t="s">
        <v>14</v>
      </c>
      <c r="D22" s="23" t="s">
        <v>15</v>
      </c>
      <c r="E22" s="23" t="s">
        <v>16</v>
      </c>
      <c r="F22" s="23" t="s">
        <v>40</v>
      </c>
      <c r="G22" s="20" t="s">
        <v>41</v>
      </c>
      <c r="H22" s="20" t="s">
        <v>115</v>
      </c>
      <c r="I22" s="20" t="s">
        <v>116</v>
      </c>
      <c r="J22" s="20" t="s">
        <v>117</v>
      </c>
      <c r="K22" s="22">
        <v>46219</v>
      </c>
      <c r="L22" s="23" t="s">
        <v>45</v>
      </c>
      <c r="M22" s="20" t="s">
        <v>118</v>
      </c>
      <c r="N22" s="27" t="s">
        <v>119</v>
      </c>
    </row>
    <row r="23" spans="1:14" ht="274.5" customHeight="1" x14ac:dyDescent="0.25">
      <c r="A23" s="21">
        <f t="shared" si="0"/>
        <v>22</v>
      </c>
      <c r="B23" s="22">
        <v>46219</v>
      </c>
      <c r="C23" s="22" t="s">
        <v>14</v>
      </c>
      <c r="D23" s="23" t="s">
        <v>24</v>
      </c>
      <c r="E23" s="23" t="s">
        <v>127</v>
      </c>
      <c r="F23" s="23" t="s">
        <v>40</v>
      </c>
      <c r="G23" s="23" t="s">
        <v>132</v>
      </c>
      <c r="H23" s="23" t="s">
        <v>133</v>
      </c>
      <c r="I23" s="6" t="s">
        <v>134</v>
      </c>
      <c r="J23" s="23"/>
      <c r="K23" s="22">
        <v>46219</v>
      </c>
      <c r="L23" s="23" t="s">
        <v>45</v>
      </c>
      <c r="M23" s="20"/>
      <c r="N23" s="30" t="s">
        <v>120</v>
      </c>
    </row>
    <row r="24" spans="1:14" x14ac:dyDescent="0.25">
      <c r="A24" s="21">
        <f t="shared" si="0"/>
        <v>23</v>
      </c>
      <c r="B24" s="22"/>
      <c r="C24" s="22"/>
      <c r="D24" s="23"/>
      <c r="E24" s="23"/>
      <c r="F24" s="23"/>
      <c r="G24" s="27"/>
      <c r="H24" s="20"/>
      <c r="I24" s="27"/>
      <c r="J24" s="27"/>
      <c r="K24" s="22"/>
      <c r="L24" s="23"/>
      <c r="M24" s="20"/>
      <c r="N24" s="27"/>
    </row>
    <row r="25" spans="1:14" x14ac:dyDescent="0.25">
      <c r="A25" s="21">
        <f t="shared" si="0"/>
        <v>24</v>
      </c>
      <c r="B25" s="22"/>
      <c r="C25" s="22"/>
      <c r="D25" s="23"/>
      <c r="E25" s="23"/>
      <c r="F25" s="23"/>
      <c r="G25" s="27"/>
      <c r="H25" s="20"/>
      <c r="I25" s="20"/>
      <c r="J25" s="27"/>
      <c r="K25" s="22"/>
      <c r="L25" s="23"/>
      <c r="M25" s="20"/>
      <c r="N25" s="27"/>
    </row>
    <row r="26" spans="1:14" x14ac:dyDescent="0.25">
      <c r="A26" s="21">
        <f t="shared" si="0"/>
        <v>25</v>
      </c>
      <c r="B26" s="22"/>
      <c r="C26" s="22"/>
      <c r="D26" s="23"/>
      <c r="E26" s="23"/>
      <c r="F26" s="23"/>
      <c r="G26" s="27"/>
      <c r="H26" s="20"/>
      <c r="I26" s="27"/>
      <c r="J26" s="27"/>
      <c r="K26" s="22"/>
      <c r="L26" s="23"/>
      <c r="M26" s="20"/>
      <c r="N26" s="27"/>
    </row>
    <row r="27" spans="1:14" x14ac:dyDescent="0.25">
      <c r="A27" s="21">
        <f t="shared" si="0"/>
        <v>26</v>
      </c>
      <c r="B27" s="22"/>
      <c r="C27" s="22"/>
      <c r="D27" s="23"/>
      <c r="E27" s="23"/>
      <c r="F27" s="23"/>
      <c r="G27" s="27"/>
      <c r="H27" s="20"/>
      <c r="I27" s="20"/>
      <c r="J27" s="20"/>
      <c r="K27" s="22"/>
      <c r="L27" s="23"/>
      <c r="M27" s="20"/>
      <c r="N27" s="20"/>
    </row>
    <row r="28" spans="1:14" x14ac:dyDescent="0.25">
      <c r="A28" s="21">
        <f t="shared" si="0"/>
        <v>27</v>
      </c>
      <c r="B28" s="22"/>
      <c r="C28" s="22"/>
      <c r="D28" s="23"/>
      <c r="E28" s="23"/>
      <c r="F28" s="23"/>
      <c r="G28" s="27"/>
      <c r="H28" s="20"/>
      <c r="I28" s="20"/>
      <c r="J28" s="27"/>
      <c r="K28" s="22"/>
      <c r="L28" s="23"/>
      <c r="M28" s="20"/>
      <c r="N28" s="27"/>
    </row>
    <row r="29" spans="1:14" x14ac:dyDescent="0.25">
      <c r="A29" s="21">
        <f t="shared" si="0"/>
        <v>28</v>
      </c>
      <c r="B29" s="22"/>
      <c r="C29" s="22"/>
      <c r="D29" s="23"/>
      <c r="E29" s="23"/>
      <c r="F29" s="23"/>
      <c r="G29" s="27"/>
      <c r="H29" s="20"/>
      <c r="I29" s="20"/>
      <c r="J29" s="20"/>
      <c r="K29" s="22"/>
      <c r="L29" s="23"/>
      <c r="M29" s="20"/>
      <c r="N29" s="20"/>
    </row>
    <row r="30" spans="1:14" x14ac:dyDescent="0.25">
      <c r="A30" s="21">
        <f t="shared" si="0"/>
        <v>29</v>
      </c>
      <c r="B30" s="22"/>
      <c r="C30" s="22"/>
      <c r="D30" s="23"/>
      <c r="E30" s="23"/>
      <c r="F30" s="23"/>
      <c r="G30" s="27"/>
      <c r="H30" s="20"/>
      <c r="I30" s="20"/>
      <c r="J30" s="20"/>
      <c r="K30" s="22"/>
      <c r="L30" s="23"/>
      <c r="M30" s="20"/>
      <c r="N30" s="20"/>
    </row>
    <row r="31" spans="1:14" x14ac:dyDescent="0.25">
      <c r="A31" s="21">
        <f t="shared" si="0"/>
        <v>30</v>
      </c>
      <c r="B31" s="22"/>
      <c r="C31" s="22"/>
      <c r="D31" s="23"/>
      <c r="E31" s="23"/>
      <c r="F31" s="23"/>
      <c r="G31" s="27"/>
      <c r="H31" s="20"/>
      <c r="I31" s="20"/>
      <c r="J31" s="27"/>
      <c r="K31" s="22"/>
      <c r="L31" s="23"/>
      <c r="M31" s="20"/>
      <c r="N31" s="27"/>
    </row>
    <row r="32" spans="1:14" x14ac:dyDescent="0.25">
      <c r="A32" s="21">
        <f t="shared" si="0"/>
        <v>31</v>
      </c>
      <c r="B32" s="22"/>
      <c r="C32" s="22"/>
      <c r="D32" s="23"/>
      <c r="E32" s="23"/>
      <c r="F32" s="23"/>
      <c r="G32" s="27"/>
      <c r="H32" s="20"/>
      <c r="I32" s="27"/>
      <c r="J32" s="27"/>
      <c r="K32" s="22"/>
      <c r="L32" s="23"/>
      <c r="M32" s="20"/>
      <c r="N32" s="27"/>
    </row>
    <row r="33" spans="1:14" x14ac:dyDescent="0.25">
      <c r="A33" s="21">
        <f t="shared" si="0"/>
        <v>32</v>
      </c>
      <c r="B33" s="27"/>
      <c r="C33" s="22"/>
      <c r="D33" s="23"/>
      <c r="E33" s="23"/>
      <c r="F33" s="23"/>
      <c r="G33" s="27"/>
      <c r="H33" s="20"/>
      <c r="I33" s="27"/>
      <c r="J33" s="27"/>
      <c r="K33" s="22"/>
      <c r="L33" s="23"/>
      <c r="M33" s="20"/>
      <c r="N33" s="27"/>
    </row>
    <row r="34" spans="1:14" x14ac:dyDescent="0.25">
      <c r="A34" s="21">
        <f t="shared" si="0"/>
        <v>33</v>
      </c>
      <c r="B34" s="27"/>
      <c r="C34" s="22"/>
      <c r="D34" s="23"/>
      <c r="E34" s="23"/>
      <c r="F34" s="23"/>
      <c r="G34" s="27"/>
      <c r="H34" s="20"/>
      <c r="I34" s="27"/>
      <c r="J34" s="27"/>
      <c r="K34" s="22"/>
      <c r="L34" s="23"/>
      <c r="M34" s="20"/>
      <c r="N34" s="27"/>
    </row>
    <row r="35" spans="1:14" x14ac:dyDescent="0.25">
      <c r="A35" s="21">
        <f t="shared" si="0"/>
        <v>34</v>
      </c>
      <c r="B35" s="27"/>
      <c r="C35" s="22"/>
      <c r="D35" s="23"/>
      <c r="E35" s="23"/>
      <c r="F35" s="23"/>
      <c r="G35" s="27"/>
      <c r="H35" s="20"/>
      <c r="I35" s="27"/>
      <c r="J35" s="27"/>
      <c r="K35" s="22"/>
      <c r="L35" s="23"/>
      <c r="M35" s="20"/>
      <c r="N35" s="27"/>
    </row>
    <row r="36" spans="1:14" x14ac:dyDescent="0.25">
      <c r="A36" s="21">
        <f t="shared" si="0"/>
        <v>35</v>
      </c>
      <c r="B36" s="27"/>
      <c r="C36" s="22"/>
      <c r="D36" s="23"/>
      <c r="E36" s="23"/>
      <c r="F36" s="23"/>
      <c r="G36" s="27"/>
      <c r="H36" s="20"/>
      <c r="I36" s="27"/>
      <c r="J36" s="27"/>
      <c r="K36" s="22"/>
      <c r="L36" s="23"/>
      <c r="M36" s="20"/>
      <c r="N36" s="27"/>
    </row>
    <row r="37" spans="1:14" x14ac:dyDescent="0.25">
      <c r="A37" s="21">
        <f t="shared" si="0"/>
        <v>36</v>
      </c>
      <c r="B37" s="27"/>
      <c r="C37" s="22"/>
      <c r="D37" s="23"/>
      <c r="E37" s="23"/>
      <c r="F37" s="23"/>
      <c r="G37" s="27"/>
      <c r="H37" s="20"/>
      <c r="I37" s="27"/>
      <c r="J37" s="27"/>
      <c r="K37" s="22"/>
      <c r="L37" s="23"/>
      <c r="M37" s="20"/>
      <c r="N37" s="27"/>
    </row>
    <row r="38" spans="1:14" x14ac:dyDescent="0.25">
      <c r="A38" s="21">
        <f t="shared" si="0"/>
        <v>37</v>
      </c>
      <c r="B38" s="27"/>
      <c r="C38" s="22"/>
      <c r="D38" s="23"/>
      <c r="E38" s="23"/>
      <c r="F38" s="23"/>
      <c r="G38" s="27"/>
      <c r="H38" s="20"/>
      <c r="I38" s="27"/>
      <c r="J38" s="27"/>
      <c r="K38" s="22"/>
      <c r="L38" s="23"/>
      <c r="M38" s="20"/>
      <c r="N38" s="27"/>
    </row>
    <row r="39" spans="1:14" x14ac:dyDescent="0.25">
      <c r="A39" s="21">
        <f t="shared" si="0"/>
        <v>38</v>
      </c>
      <c r="B39" s="27"/>
      <c r="C39" s="22"/>
      <c r="D39" s="23"/>
      <c r="E39" s="23"/>
      <c r="F39" s="23"/>
      <c r="G39" s="27"/>
      <c r="H39" s="20"/>
      <c r="I39" s="27"/>
      <c r="J39" s="27"/>
      <c r="K39" s="22"/>
      <c r="L39" s="23"/>
      <c r="M39" s="20"/>
      <c r="N39" s="27"/>
    </row>
    <row r="40" spans="1:14" x14ac:dyDescent="0.25">
      <c r="A40" s="21">
        <f t="shared" si="0"/>
        <v>39</v>
      </c>
      <c r="B40" s="27"/>
      <c r="C40" s="22"/>
      <c r="D40" s="23"/>
      <c r="E40" s="23"/>
      <c r="F40" s="23"/>
      <c r="G40" s="27"/>
      <c r="H40" s="20"/>
      <c r="I40" s="27"/>
      <c r="J40" s="27"/>
      <c r="K40" s="22"/>
      <c r="L40" s="23"/>
      <c r="M40" s="20"/>
      <c r="N40" s="27"/>
    </row>
    <row r="41" spans="1:14" x14ac:dyDescent="0.25">
      <c r="A41" s="21">
        <f t="shared" si="0"/>
        <v>40</v>
      </c>
      <c r="B41" s="27"/>
      <c r="C41" s="22"/>
      <c r="D41" s="23"/>
      <c r="E41" s="23"/>
      <c r="F41" s="23"/>
      <c r="G41" s="27"/>
      <c r="H41" s="20"/>
      <c r="I41" s="27"/>
      <c r="J41" s="27"/>
      <c r="K41" s="22"/>
      <c r="L41" s="23"/>
      <c r="M41" s="20"/>
      <c r="N41" s="27"/>
    </row>
    <row r="42" spans="1:14" x14ac:dyDescent="0.25">
      <c r="A42" s="21">
        <f t="shared" si="0"/>
        <v>41</v>
      </c>
      <c r="B42" s="27"/>
      <c r="C42" s="22"/>
      <c r="D42" s="23"/>
      <c r="E42" s="23"/>
      <c r="F42" s="23"/>
      <c r="G42" s="27"/>
      <c r="H42" s="20"/>
      <c r="I42" s="27"/>
      <c r="J42" s="27"/>
      <c r="K42" s="22"/>
      <c r="L42" s="23"/>
      <c r="M42" s="20"/>
      <c r="N42" s="27"/>
    </row>
    <row r="43" spans="1:14" x14ac:dyDescent="0.25">
      <c r="A43" s="21">
        <f t="shared" si="0"/>
        <v>42</v>
      </c>
      <c r="B43" s="27"/>
      <c r="C43" s="22"/>
      <c r="D43" s="23"/>
      <c r="E43" s="23"/>
      <c r="F43" s="23"/>
      <c r="G43" s="27"/>
      <c r="H43" s="20"/>
      <c r="I43" s="27"/>
      <c r="J43" s="27"/>
      <c r="K43" s="22"/>
      <c r="L43" s="23"/>
      <c r="M43" s="20"/>
      <c r="N43" s="27"/>
    </row>
    <row r="44" spans="1:14" x14ac:dyDescent="0.25">
      <c r="A44" s="21">
        <f t="shared" si="0"/>
        <v>43</v>
      </c>
      <c r="B44" s="27"/>
      <c r="C44" s="22"/>
      <c r="D44" s="23"/>
      <c r="E44" s="23"/>
      <c r="F44" s="23"/>
      <c r="G44" s="27"/>
      <c r="H44" s="20"/>
      <c r="I44" s="27"/>
      <c r="J44" s="27"/>
      <c r="K44" s="22"/>
      <c r="L44" s="23"/>
      <c r="M44" s="20"/>
      <c r="N44" s="27"/>
    </row>
    <row r="45" spans="1:14" x14ac:dyDescent="0.25">
      <c r="A45" s="21">
        <f t="shared" si="0"/>
        <v>44</v>
      </c>
      <c r="B45" s="27"/>
      <c r="C45" s="22"/>
      <c r="D45" s="23"/>
      <c r="E45" s="23"/>
      <c r="F45" s="23"/>
      <c r="G45" s="27"/>
      <c r="H45" s="20"/>
      <c r="I45" s="27"/>
      <c r="J45" s="27"/>
      <c r="K45" s="22"/>
      <c r="L45" s="23"/>
      <c r="M45" s="20"/>
      <c r="N45" s="27"/>
    </row>
    <row r="46" spans="1:14" x14ac:dyDescent="0.25">
      <c r="A46" s="21">
        <f t="shared" si="0"/>
        <v>45</v>
      </c>
      <c r="B46" s="27"/>
      <c r="C46" s="22"/>
      <c r="D46" s="23"/>
      <c r="E46" s="23"/>
      <c r="F46" s="23"/>
      <c r="G46" s="27"/>
      <c r="H46" s="20"/>
      <c r="I46" s="27"/>
      <c r="J46" s="27"/>
      <c r="K46" s="22"/>
      <c r="L46" s="23"/>
      <c r="M46" s="20"/>
      <c r="N46" s="27"/>
    </row>
    <row r="47" spans="1:14" x14ac:dyDescent="0.25">
      <c r="A47" s="21">
        <f t="shared" si="0"/>
        <v>46</v>
      </c>
      <c r="B47" s="27"/>
      <c r="C47" s="22"/>
      <c r="D47" s="23"/>
      <c r="E47" s="23"/>
      <c r="F47" s="23"/>
      <c r="G47" s="27"/>
      <c r="H47" s="20"/>
      <c r="I47" s="27"/>
      <c r="J47" s="27"/>
      <c r="K47" s="22"/>
      <c r="L47" s="23"/>
      <c r="M47" s="20"/>
      <c r="N47" s="27"/>
    </row>
    <row r="48" spans="1:14" x14ac:dyDescent="0.25">
      <c r="A48" s="21">
        <f t="shared" si="0"/>
        <v>47</v>
      </c>
      <c r="B48" s="27"/>
      <c r="C48" s="22"/>
      <c r="D48" s="23"/>
      <c r="E48" s="23"/>
      <c r="F48" s="23"/>
      <c r="G48" s="27"/>
      <c r="H48" s="20"/>
      <c r="I48" s="27"/>
      <c r="J48" s="27"/>
      <c r="K48" s="22"/>
      <c r="L48" s="23"/>
      <c r="M48" s="20"/>
      <c r="N48" s="27"/>
    </row>
    <row r="49" spans="1:14" x14ac:dyDescent="0.25">
      <c r="A49" s="21">
        <f t="shared" si="0"/>
        <v>48</v>
      </c>
      <c r="B49" s="27"/>
      <c r="C49" s="22"/>
      <c r="D49" s="23"/>
      <c r="E49" s="23"/>
      <c r="F49" s="23"/>
      <c r="G49" s="27"/>
      <c r="H49" s="20"/>
      <c r="I49" s="27"/>
      <c r="J49" s="27"/>
      <c r="K49" s="22"/>
      <c r="L49" s="23"/>
      <c r="M49" s="20"/>
      <c r="N49" s="27"/>
    </row>
    <row r="50" spans="1:14" x14ac:dyDescent="0.25">
      <c r="A50" s="21">
        <f t="shared" si="0"/>
        <v>49</v>
      </c>
      <c r="B50" s="27"/>
      <c r="C50" s="22"/>
      <c r="D50" s="23"/>
      <c r="E50" s="23"/>
      <c r="F50" s="23"/>
      <c r="G50" s="27"/>
      <c r="H50" s="20"/>
      <c r="I50" s="27"/>
      <c r="J50" s="27"/>
      <c r="K50" s="22"/>
      <c r="L50" s="23"/>
      <c r="M50" s="20"/>
      <c r="N50" s="27"/>
    </row>
    <row r="51" spans="1:14" x14ac:dyDescent="0.25">
      <c r="A51" s="21">
        <f t="shared" si="0"/>
        <v>50</v>
      </c>
      <c r="B51" s="27"/>
      <c r="C51" s="22"/>
      <c r="D51" s="23"/>
      <c r="E51" s="23"/>
      <c r="F51" s="23"/>
      <c r="G51" s="27"/>
      <c r="H51" s="20"/>
      <c r="I51" s="27"/>
      <c r="J51" s="27"/>
      <c r="K51" s="22"/>
      <c r="L51" s="23"/>
      <c r="M51" s="20"/>
      <c r="N51" s="27"/>
    </row>
  </sheetData>
  <autoFilter ref="A1:N51" xr:uid="{AC2894D6-04F1-40B9-AE17-FEC113C806B4}"/>
  <conditionalFormatting sqref="F1:F1048576">
    <cfRule type="containsText" dxfId="213" priority="4" operator="containsText" text="Resolved">
      <formula>NOT(ISERROR(SEARCH("Resolved",F1)))</formula>
    </cfRule>
  </conditionalFormatting>
  <conditionalFormatting sqref="F2:F1048576">
    <cfRule type="containsText" dxfId="212" priority="1" operator="containsText" text="No Action">
      <formula>NOT(ISERROR(SEARCH("No Action",F2)))</formula>
    </cfRule>
    <cfRule type="containsText" dxfId="211" priority="2" operator="containsText" text="New">
      <formula>NOT(ISERROR(SEARCH("New",F2)))</formula>
    </cfRule>
    <cfRule type="containsText" dxfId="210" priority="3" operator="containsText" text="Retest In Progress">
      <formula>NOT(ISERROR(SEARCH("Retest In Progress",F2)))</formula>
    </cfRule>
    <cfRule type="containsText" dxfId="209" priority="5" operator="containsText" text="Return to Dev">
      <formula>NOT(ISERROR(SEARCH("Return to Dev",F2)))</formula>
    </cfRule>
  </conditionalFormatting>
  <conditionalFormatting sqref="L2:L1048576">
    <cfRule type="containsText" dxfId="208" priority="10" operator="containsText" text="Pass with Comments">
      <formula>NOT(ISERROR(SEARCH("Pass with Comments",L2)))</formula>
    </cfRule>
    <cfRule type="containsText" dxfId="207" priority="11" operator="containsText" text="Fail">
      <formula>NOT(ISERROR(SEARCH("Fail",L2)))</formula>
    </cfRule>
    <cfRule type="containsText" dxfId="206" priority="12" operator="containsText" text="Pass">
      <formula>NOT(ISERROR(SEARCH("Pass",L2)))</formula>
    </cfRule>
  </conditionalFormatting>
  <dataValidations count="1">
    <dataValidation type="list" allowBlank="1" showInputMessage="1" showErrorMessage="1" sqref="C2:C51" xr:uid="{A0E44C65-F303-4B81-90E6-640E3027D3BB}">
      <formula1>"Both,Web Only,PB Only"</formula1>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L2:L51</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 type="list" allowBlank="1" showInputMessage="1" showErrorMessage="1" xr:uid="{3906557F-AEE2-41CE-81DC-5F122F965822}">
          <x14:formula1>
            <xm:f>Sheet2!$H$1:$H$2</xm:f>
          </x14:formula1>
          <xm:sqref>D2:D51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A3B7-2674-4D38-A0DA-376267138874}">
  <dimension ref="A1:Q19"/>
  <sheetViews>
    <sheetView topLeftCell="A2" workbookViewId="0">
      <selection activeCell="I21" sqref="I21"/>
    </sheetView>
  </sheetViews>
  <sheetFormatPr defaultColWidth="9.140625" defaultRowHeight="15" x14ac:dyDescent="0.25"/>
  <cols>
    <col min="1" max="2" width="9.140625" style="14"/>
    <col min="3" max="3" width="21.7109375" style="14" bestFit="1" customWidth="1"/>
    <col min="4" max="4" width="16.28515625" style="14" bestFit="1" customWidth="1"/>
    <col min="5" max="5" width="9.7109375" style="14" bestFit="1" customWidth="1"/>
    <col min="6" max="6" width="11.28515625" style="14" bestFit="1" customWidth="1"/>
    <col min="7" max="7" width="13.28515625" style="14" bestFit="1" customWidth="1"/>
    <col min="8" max="9" width="11.28515625" style="14" bestFit="1" customWidth="1"/>
    <col min="10" max="10" width="12.140625" style="14" bestFit="1" customWidth="1"/>
    <col min="11" max="11" width="11.28515625" style="14" bestFit="1" customWidth="1"/>
    <col min="12" max="12" width="9.140625" style="14"/>
    <col min="13" max="13" width="13.140625" style="14" bestFit="1" customWidth="1"/>
    <col min="14" max="14" width="17.28515625" style="14" bestFit="1" customWidth="1"/>
    <col min="15" max="15" width="9.140625" style="14"/>
    <col min="16" max="16" width="13.140625" style="14" bestFit="1" customWidth="1"/>
    <col min="17" max="17" width="14.5703125" style="14" bestFit="1" customWidth="1"/>
    <col min="18" max="16384" width="9.140625" style="14"/>
  </cols>
  <sheetData>
    <row r="1" spans="1:17" hidden="1" x14ac:dyDescent="0.25">
      <c r="A1" s="29"/>
      <c r="B1" s="29"/>
      <c r="C1" s="37" t="s">
        <v>121</v>
      </c>
      <c r="D1" s="37" t="s">
        <v>122</v>
      </c>
      <c r="E1" s="41"/>
      <c r="F1" s="41"/>
      <c r="G1"/>
      <c r="H1"/>
      <c r="I1"/>
      <c r="J1" s="29"/>
      <c r="K1" s="29"/>
      <c r="L1" s="29"/>
      <c r="M1" s="29"/>
      <c r="N1" s="29"/>
      <c r="O1" s="29"/>
      <c r="P1" s="29"/>
      <c r="Q1" s="29"/>
    </row>
    <row r="2" spans="1:17" x14ac:dyDescent="0.25">
      <c r="A2" s="29"/>
      <c r="B2" s="29"/>
      <c r="C2" s="37" t="s">
        <v>123</v>
      </c>
      <c r="D2" s="41" t="s">
        <v>17</v>
      </c>
      <c r="E2" s="41" t="s">
        <v>40</v>
      </c>
      <c r="F2" s="41" t="s">
        <v>124</v>
      </c>
      <c r="G2"/>
      <c r="H2"/>
      <c r="I2"/>
      <c r="J2" s="29"/>
      <c r="K2" s="29"/>
      <c r="L2" s="29"/>
      <c r="M2" s="32" t="s">
        <v>123</v>
      </c>
      <c r="N2" s="33" t="s">
        <v>125</v>
      </c>
      <c r="O2" s="29"/>
      <c r="P2" s="32" t="s">
        <v>123</v>
      </c>
      <c r="Q2" s="33" t="s">
        <v>126</v>
      </c>
    </row>
    <row r="3" spans="1:17" x14ac:dyDescent="0.25">
      <c r="A3" s="15">
        <v>1</v>
      </c>
      <c r="B3" s="16">
        <v>0.66666666666666663</v>
      </c>
      <c r="C3" s="19">
        <v>46147</v>
      </c>
      <c r="D3" s="42">
        <v>9</v>
      </c>
      <c r="E3" s="42">
        <v>3</v>
      </c>
      <c r="F3" s="42">
        <v>12</v>
      </c>
      <c r="G3"/>
      <c r="H3"/>
      <c r="I3"/>
      <c r="J3" s="29"/>
      <c r="K3" s="29"/>
      <c r="L3" s="29"/>
      <c r="M3" s="34" t="s">
        <v>25</v>
      </c>
      <c r="N3" s="35">
        <v>5</v>
      </c>
      <c r="O3" s="29"/>
      <c r="P3" s="34" t="s">
        <v>17</v>
      </c>
      <c r="Q3" s="35">
        <v>17</v>
      </c>
    </row>
    <row r="4" spans="1:17" x14ac:dyDescent="0.25">
      <c r="A4" s="29"/>
      <c r="B4" s="29"/>
      <c r="C4" s="39" t="s">
        <v>24</v>
      </c>
      <c r="D4" s="36">
        <v>3</v>
      </c>
      <c r="E4" s="36">
        <v>1</v>
      </c>
      <c r="F4" s="36">
        <v>4</v>
      </c>
      <c r="G4"/>
      <c r="H4"/>
      <c r="I4"/>
      <c r="J4" s="29"/>
      <c r="K4" s="29"/>
      <c r="L4" s="29"/>
      <c r="M4" s="34" t="s">
        <v>16</v>
      </c>
      <c r="N4" s="35">
        <v>16</v>
      </c>
      <c r="O4" s="29"/>
      <c r="P4" s="34" t="s">
        <v>40</v>
      </c>
      <c r="Q4" s="35">
        <v>5</v>
      </c>
    </row>
    <row r="5" spans="1:17" x14ac:dyDescent="0.25">
      <c r="A5" s="29"/>
      <c r="B5" s="29"/>
      <c r="C5" s="40" t="s">
        <v>25</v>
      </c>
      <c r="D5" s="36">
        <v>3</v>
      </c>
      <c r="E5" s="36">
        <v>1</v>
      </c>
      <c r="F5" s="36">
        <v>4</v>
      </c>
      <c r="G5"/>
      <c r="H5"/>
      <c r="I5"/>
      <c r="J5" s="29"/>
      <c r="K5" s="29"/>
      <c r="L5" s="29"/>
      <c r="M5" s="34" t="s">
        <v>124</v>
      </c>
      <c r="N5" s="35">
        <v>21</v>
      </c>
      <c r="O5" s="29"/>
      <c r="P5" s="34" t="s">
        <v>124</v>
      </c>
      <c r="Q5" s="35">
        <v>22</v>
      </c>
    </row>
    <row r="6" spans="1:17" x14ac:dyDescent="0.25">
      <c r="A6" s="29"/>
      <c r="B6" s="29"/>
      <c r="C6" s="39" t="s">
        <v>15</v>
      </c>
      <c r="D6" s="36">
        <v>6</v>
      </c>
      <c r="E6" s="36">
        <v>2</v>
      </c>
      <c r="F6" s="36">
        <v>8</v>
      </c>
      <c r="G6"/>
      <c r="H6"/>
      <c r="I6"/>
      <c r="J6" s="29"/>
      <c r="K6" s="29"/>
      <c r="L6" s="29"/>
      <c r="M6" s="29"/>
      <c r="N6" s="29"/>
      <c r="O6" s="29"/>
      <c r="P6"/>
      <c r="Q6"/>
    </row>
    <row r="7" spans="1:17" x14ac:dyDescent="0.25">
      <c r="A7" s="29"/>
      <c r="B7" s="29"/>
      <c r="C7" s="40" t="s">
        <v>16</v>
      </c>
      <c r="D7" s="36">
        <v>6</v>
      </c>
      <c r="E7" s="36">
        <v>2</v>
      </c>
      <c r="F7" s="36">
        <v>8</v>
      </c>
      <c r="G7"/>
      <c r="H7"/>
      <c r="I7"/>
      <c r="J7" s="29"/>
      <c r="K7" s="29"/>
      <c r="L7" s="29"/>
      <c r="M7" s="29"/>
      <c r="N7" s="29"/>
      <c r="O7" s="29"/>
      <c r="P7"/>
      <c r="Q7"/>
    </row>
    <row r="8" spans="1:17" x14ac:dyDescent="0.25">
      <c r="A8" s="15">
        <v>2</v>
      </c>
      <c r="B8" s="16">
        <v>0.16666666666666666</v>
      </c>
      <c r="C8" s="19">
        <v>46161</v>
      </c>
      <c r="D8" s="42">
        <v>6</v>
      </c>
      <c r="E8" s="42"/>
      <c r="F8" s="42">
        <v>6</v>
      </c>
      <c r="G8"/>
      <c r="H8"/>
      <c r="I8"/>
      <c r="J8" s="29"/>
      <c r="K8" s="29"/>
      <c r="L8" s="29"/>
      <c r="M8" s="29"/>
      <c r="N8" s="29"/>
      <c r="O8" s="29"/>
      <c r="P8"/>
      <c r="Q8"/>
    </row>
    <row r="9" spans="1:17" x14ac:dyDescent="0.25">
      <c r="A9" s="29"/>
      <c r="B9" s="29"/>
      <c r="C9" s="39" t="s">
        <v>24</v>
      </c>
      <c r="D9" s="36">
        <v>1</v>
      </c>
      <c r="E9" s="36"/>
      <c r="F9" s="36">
        <v>1</v>
      </c>
      <c r="G9"/>
      <c r="H9"/>
      <c r="I9"/>
      <c r="J9" s="29"/>
      <c r="K9" s="29"/>
      <c r="L9" s="29"/>
      <c r="M9" s="29"/>
      <c r="N9" s="29"/>
      <c r="O9" s="29"/>
      <c r="P9" s="29"/>
      <c r="Q9" s="29"/>
    </row>
    <row r="10" spans="1:17" x14ac:dyDescent="0.25">
      <c r="A10" s="29"/>
      <c r="B10" s="29"/>
      <c r="C10" s="40" t="s">
        <v>25</v>
      </c>
      <c r="D10" s="36">
        <v>1</v>
      </c>
      <c r="E10" s="36"/>
      <c r="F10" s="36">
        <v>1</v>
      </c>
      <c r="G10"/>
      <c r="H10"/>
      <c r="I10"/>
      <c r="J10" s="29"/>
      <c r="K10" s="29"/>
      <c r="L10" s="29"/>
      <c r="M10" s="29"/>
      <c r="N10" s="29"/>
      <c r="O10" s="29"/>
      <c r="P10" s="29"/>
      <c r="Q10" s="29"/>
    </row>
    <row r="11" spans="1:17" x14ac:dyDescent="0.25">
      <c r="A11" s="29"/>
      <c r="B11" s="29"/>
      <c r="C11" s="39" t="s">
        <v>15</v>
      </c>
      <c r="D11" s="36">
        <v>5</v>
      </c>
      <c r="E11" s="36"/>
      <c r="F11" s="36">
        <v>5</v>
      </c>
      <c r="G11"/>
      <c r="H11"/>
      <c r="I11"/>
      <c r="J11" s="29"/>
      <c r="K11" s="29"/>
      <c r="L11" s="29"/>
      <c r="M11" s="29"/>
      <c r="N11" s="29"/>
      <c r="O11" s="29"/>
      <c r="P11" s="29"/>
      <c r="Q11" s="29"/>
    </row>
    <row r="12" spans="1:17" x14ac:dyDescent="0.25">
      <c r="A12" s="29"/>
      <c r="B12" s="29"/>
      <c r="C12" s="40" t="s">
        <v>16</v>
      </c>
      <c r="D12" s="36">
        <v>5</v>
      </c>
      <c r="E12" s="36"/>
      <c r="F12" s="36">
        <v>5</v>
      </c>
      <c r="G12"/>
      <c r="H12"/>
      <c r="I12"/>
      <c r="J12" s="29"/>
      <c r="K12" s="29"/>
      <c r="L12" s="29"/>
      <c r="M12" s="29"/>
      <c r="N12" s="29"/>
      <c r="O12" s="29"/>
      <c r="P12" s="29"/>
      <c r="Q12" s="29"/>
    </row>
    <row r="13" spans="1:17" x14ac:dyDescent="0.25">
      <c r="A13" s="15">
        <v>3</v>
      </c>
      <c r="B13" s="16">
        <v>0.33333333333333331</v>
      </c>
      <c r="C13" s="19">
        <v>46183</v>
      </c>
      <c r="D13" s="42">
        <v>2</v>
      </c>
      <c r="E13" s="42">
        <v>1</v>
      </c>
      <c r="F13" s="42">
        <v>3</v>
      </c>
      <c r="G13"/>
      <c r="H13"/>
      <c r="I13"/>
      <c r="J13" s="29"/>
      <c r="K13" s="29"/>
      <c r="L13" s="29"/>
      <c r="M13" s="29"/>
      <c r="N13" s="29"/>
      <c r="O13" s="29"/>
      <c r="P13" s="29"/>
      <c r="Q13" s="29"/>
    </row>
    <row r="14" spans="1:17" x14ac:dyDescent="0.25">
      <c r="A14" s="29"/>
      <c r="B14" s="29"/>
      <c r="C14" s="39" t="s">
        <v>15</v>
      </c>
      <c r="D14" s="36">
        <v>2</v>
      </c>
      <c r="E14" s="36">
        <v>1</v>
      </c>
      <c r="F14" s="36">
        <v>3</v>
      </c>
      <c r="G14"/>
      <c r="H14"/>
      <c r="I14"/>
      <c r="J14" s="29"/>
      <c r="K14" s="29"/>
      <c r="L14" s="29"/>
      <c r="M14" s="29"/>
      <c r="N14" s="29"/>
      <c r="O14" s="29"/>
      <c r="P14" s="29"/>
      <c r="Q14" s="29"/>
    </row>
    <row r="15" spans="1:17" x14ac:dyDescent="0.25">
      <c r="A15" s="29"/>
      <c r="B15" s="29"/>
      <c r="C15" s="40" t="s">
        <v>16</v>
      </c>
      <c r="D15" s="36">
        <v>2</v>
      </c>
      <c r="E15" s="36">
        <v>1</v>
      </c>
      <c r="F15" s="36">
        <v>3</v>
      </c>
      <c r="G15"/>
      <c r="H15"/>
      <c r="I15" s="29"/>
      <c r="J15" s="29"/>
      <c r="K15" s="29"/>
      <c r="L15" s="29"/>
      <c r="M15" s="29"/>
      <c r="N15" s="29"/>
      <c r="O15" s="29"/>
      <c r="P15" s="29"/>
      <c r="Q15" s="29"/>
    </row>
    <row r="16" spans="1:17" x14ac:dyDescent="0.25">
      <c r="A16" s="15">
        <v>4</v>
      </c>
      <c r="B16" s="16">
        <v>0.25</v>
      </c>
      <c r="C16" s="38" t="s">
        <v>124</v>
      </c>
      <c r="D16" s="36">
        <v>17</v>
      </c>
      <c r="E16" s="36">
        <v>4</v>
      </c>
      <c r="F16" s="36">
        <v>21</v>
      </c>
      <c r="G16"/>
      <c r="H16"/>
      <c r="I16" s="29"/>
      <c r="J16" s="29"/>
      <c r="K16" s="29"/>
      <c r="L16" s="29"/>
      <c r="M16" s="29"/>
      <c r="N16" s="29"/>
      <c r="O16" s="29"/>
      <c r="P16" s="29"/>
      <c r="Q16" s="29"/>
    </row>
    <row r="19" spans="2:2" x14ac:dyDescent="0.25">
      <c r="B19"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22</v>
      </c>
      <c r="F1" t="s">
        <v>127</v>
      </c>
      <c r="H1" t="s">
        <v>24</v>
      </c>
    </row>
    <row r="2" spans="1:8" x14ac:dyDescent="0.25">
      <c r="A2" t="s">
        <v>85</v>
      </c>
      <c r="C2" t="s">
        <v>128</v>
      </c>
      <c r="F2" t="s">
        <v>25</v>
      </c>
      <c r="H2" t="s">
        <v>15</v>
      </c>
    </row>
    <row r="3" spans="1:8" x14ac:dyDescent="0.25">
      <c r="A3" t="s">
        <v>45</v>
      </c>
      <c r="C3" t="s">
        <v>81</v>
      </c>
      <c r="F3" t="s">
        <v>16</v>
      </c>
    </row>
    <row r="4" spans="1:8" x14ac:dyDescent="0.25">
      <c r="C4" t="s">
        <v>17</v>
      </c>
    </row>
    <row r="5" spans="1:8" x14ac:dyDescent="0.25">
      <c r="C5" t="s">
        <v>107</v>
      </c>
    </row>
    <row r="6" spans="1:8" x14ac:dyDescent="0.25">
      <c r="C6"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13</xvqq>
    <Notes xmlns="3d05c41d-42c7-4345-8236-8005f0c89855">Dev: NV | BSA: CL</Notes>
    <lcf76f155ced4ddcb4097134ff3c332f xmlns="3d05c41d-42c7-4345-8236-8005f0c8985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B7F820-EF1D-4787-AB7B-A6778CE299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4EED5A-6E5F-40C5-9AEF-0B62B473C06D}">
  <ds:schemaRefs>
    <ds:schemaRef ds:uri="3d05c41d-42c7-4345-8236-8005f0c89855"/>
    <ds:schemaRef ds:uri="http://purl.org/dc/dcmitype/"/>
    <ds:schemaRef ds:uri="http://schemas.openxmlformats.org/package/2006/metadata/core-properties"/>
    <ds:schemaRef ds:uri="http://purl.org/dc/terms/"/>
    <ds:schemaRef ds:uri="http://schemas.microsoft.com/office/infopath/2007/PartnerControls"/>
    <ds:schemaRef ds:uri="29065daa-3ce8-4783-94b0-fa366394ba57"/>
    <ds:schemaRef ds:uri="http://schemas.microsoft.com/office/2006/documentManagement/types"/>
    <ds:schemaRef ds:uri="http://schemas.microsoft.com/office/2006/metadata/properties"/>
    <ds:schemaRef ds:uri="http://www.w3.org/XML/1998/namespace"/>
    <ds:schemaRef ds:uri="http://purl.org/dc/elements/1.1/"/>
  </ds:schemaRefs>
</ds:datastoreItem>
</file>

<file path=customXml/itemProps3.xml><?xml version="1.0" encoding="utf-8"?>
<ds:datastoreItem xmlns:ds="http://schemas.openxmlformats.org/officeDocument/2006/customXml" ds:itemID="{6B5146E5-CF4E-4085-BE9F-ED12D10E8B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DEFECTS</vt:lpstr>
      <vt:lpstr>SUMMARY</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Melanie Uyehara</cp:lastModifiedBy>
  <cp:revision/>
  <dcterms:created xsi:type="dcterms:W3CDTF">2025-10-01T18:45:47Z</dcterms:created>
  <dcterms:modified xsi:type="dcterms:W3CDTF">2026-07-20T17:48:04Z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