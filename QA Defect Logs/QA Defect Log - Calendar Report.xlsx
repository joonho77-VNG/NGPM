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634" documentId="8_{32BC0B0E-3EE8-43AB-8119-D28931438715}" xr6:coauthVersionLast="47" xr6:coauthVersionMax="47" xr10:uidLastSave="{74A86417-67CB-4F61-9849-94BD4A0E8A8F}"/>
  <bookViews>
    <workbookView xWindow="-120" yWindow="-120" windowWidth="51840" windowHeight="21120" xr2:uid="{7496AAB9-9610-4154-B91D-ED1C66077D08}"/>
  </bookViews>
  <sheets>
    <sheet name="DEFECTS" sheetId="1" r:id="rId1"/>
    <sheet name="NG Links" sheetId="4" r:id="rId2"/>
    <sheet name="Screen View of Defects" sheetId="5" r:id="rId3"/>
    <sheet name="Sheet2" sheetId="3" state="hidden" r:id="rId4"/>
  </sheets>
  <definedNames>
    <definedName name="_xlnm._FilterDatabase" localSheetId="0" hidden="1">DEFECTS!$A$1:$M$41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 l="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3" i="1"/>
  <c r="A4" i="1"/>
  <c r="A5" i="1"/>
  <c r="A6" i="1"/>
  <c r="A7" i="1"/>
  <c r="A8" i="1"/>
  <c r="A9" i="1"/>
  <c r="A10" i="1"/>
  <c r="A11" i="1"/>
  <c r="A2" i="1"/>
</calcChain>
</file>

<file path=xl/sharedStrings.xml><?xml version="1.0" encoding="utf-8"?>
<sst xmlns="http://schemas.openxmlformats.org/spreadsheetml/2006/main" count="168" uniqueCount="104">
  <si>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</si>
  <si>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</si>
  <si>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</si>
  <si>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</si>
  <si>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</si>
  <si>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</si>
  <si>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</si>
  <si>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</si>
  <si>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</si>
  <si>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</si>
  <si>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</si>
  <si>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</si>
  <si>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</si>
  <si>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</si>
  <si>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</si>
  <si>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</si>
  <si>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</si>
  <si>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Resolved</t>
  </si>
  <si>
    <t>F3 Refresh</t>
  </si>
  <si>
    <t>The top portion of the window is not refreshing to the default</t>
  </si>
  <si>
    <t xml:space="preserve">Search criteria entered in the top section of the window does not go back to the window default when you F3 - Refresh
See screen view #1 for comparison
</t>
  </si>
  <si>
    <t xml:space="preserve">See UI guideline #54
F3 Refresh does nothing in old window
</t>
  </si>
  <si>
    <t>Pass with Comments</t>
  </si>
  <si>
    <t>See also #12 - To be reviewed w/ BSAs</t>
  </si>
  <si>
    <t>10/12: Top now resets to default on F3 refresh</t>
  </si>
  <si>
    <t>Time Picker</t>
  </si>
  <si>
    <t>Time section
Fields:  From and To</t>
  </si>
  <si>
    <t>The "From" and "To" fields does not allow you to type in the time and you have to use the time picker selection.  We should be able to type the time picker in the correct format like the NG Priors window, and have the time picker available</t>
  </si>
  <si>
    <t>This time picker will be standardized for NG windows</t>
  </si>
  <si>
    <t>Pass</t>
  </si>
  <si>
    <t>in progress jorge
Manual entries of time is working as expected
It is noted othe NG windows (e.g. Court Trial &amp; Calendar Transfer) have the time picker</t>
  </si>
  <si>
    <t>10/13: I have created a generic time picker based on Jorge's Priors time picker, no more dropdown, user will type in</t>
  </si>
  <si>
    <t>Functionality</t>
  </si>
  <si>
    <t>Return to Dev</t>
  </si>
  <si>
    <t>Courtroom, Calendar fields</t>
  </si>
  <si>
    <t>Courtroom All</t>
  </si>
  <si>
    <t>When Courtroom All is selected, then Calendar Department is selected, a warning message should appear preventing the retrieval. Current behavior is the search continues before the picker appears</t>
  </si>
  <si>
    <t>This error message appears when "Court Location" is set to all and department is entered</t>
  </si>
  <si>
    <t>Fail</t>
  </si>
  <si>
    <t>10/12: Added message to appear when retrieve is clicked, will only appear on button click not dropdown selection though as discussed during earlier meeting
10/19: Fixed verbiage</t>
  </si>
  <si>
    <t>Retrieve</t>
  </si>
  <si>
    <t>Enter keypress does not select the Retrieve button</t>
  </si>
  <si>
    <t>In PB window, the enter keypress selects the retrieve button regardless of where the cursor lands. In NG, if the last selected field is a dropdown, the dropdown opens instead. If the last selected field is the date picker, nothing happens</t>
  </si>
  <si>
    <t>Not sure if this can be fixed</t>
  </si>
  <si>
    <t xml:space="preserve">10/15
When you use the "Enter" key or click on "OK" in the popup the focus is no longer on the window page and the cursor is no longer present on the window.  The cursor should be placed back to the field that resulted in the error popup for user to address.
* After you successfully "Retrieve", the Developer would like to know if he should highlight the first row in the data grid.  Did not see any UI guideline on this or where the cursor should be after a successful "Retrieve".
Per BSAs input, yes we should highlight 1st row so user can navigate between the rows using the keyboard.  See new UI ID #113
</t>
  </si>
  <si>
    <t>10/13: I made it so that if the focus is NOT on a dropdown it will call the retrieve. However, if it is still on a dropdown, enter will simply do the SyncFusion default of opening the dropdown.
10/19: Focus on first row after retreive</t>
  </si>
  <si>
    <t>Tab keypress</t>
  </si>
  <si>
    <t>Tab press after the Calendar field navigates to the grid instead of the Retrieve button</t>
  </si>
  <si>
    <t>Tab press after the Calendar field navigates to the grid instead of the Retrieve button. Black border on the grid appears</t>
  </si>
  <si>
    <t xml:space="preserve">10/15:  The changes are working as expected; however, you have to do multiple tabbing (about 15 ) before the cursor shows up in the "Cases For" field.  Tabbing should always go from left to right and down regardless of where it is.  
For example if you at the "Retreive" button and tab then it should always go to the next selectable item to the right.
Developer mentioned in the old window from the "Retrieve" button when you tab, the Filter radio buttons are not focused on. Before he spends any effort is it okay if he also exlcude the radio buttons from the tabbing for this window? 
Per BSAs input, we can exlcude the radio buttons.  In Minutes we skip the radio button.  See new UI ID #114 </t>
  </si>
  <si>
    <t>10/12: Tab press on Calendar dropdown goes to the Retrieve button now, tabbing again will not show the Black border
10/19: Tab will circle around when it gets to the end of the buttons at the top, excluding the radio buttons. Tabbing will skip the grid.</t>
  </si>
  <si>
    <t>Courtroom</t>
  </si>
  <si>
    <t>Code appears multiple times</t>
  </si>
  <si>
    <t>PB window shows Code - Description for each courtroom. NG window shows Code  Code - Description.</t>
  </si>
  <si>
    <t>Can the dropdown from Calendar Transfer NG window be used here? This one displays the code and description in the dropdown, but the formatting changes once a row is selected.</t>
  </si>
  <si>
    <t>10/12: Fixed to match original</t>
  </si>
  <si>
    <t>Cases For</t>
  </si>
  <si>
    <t>Window open cursor</t>
  </si>
  <si>
    <t>On window open, cursor should land on the "Cases For" field</t>
  </si>
  <si>
    <t>UI guideline #3</t>
  </si>
  <si>
    <t>The "Cases For" field is being highlilghted as expected; however, when you type in a date and F3 to refresh the field remains with the date you typed in.  F3 is to refresh to the default when you first open the window.</t>
  </si>
  <si>
    <t>10/12: Done, now targets date picker with highlight immediately so user can begin typing
10/19: Refresh should now refresh input in the date picker.</t>
  </si>
  <si>
    <t>Retrieve, Batch Print buttons</t>
  </si>
  <si>
    <t>Alt + (underscore letter) shortkey functionality can be removed</t>
  </si>
  <si>
    <t>Alt + R for retrieve, Alt + P for batch print, and Alt + G for generate document functionality can be removed. BSA decision was made 10/8 to remove these short keys from NG windows</t>
  </si>
  <si>
    <t>10/12: Done, no more Alt + Key combos</t>
  </si>
  <si>
    <t>No Action</t>
  </si>
  <si>
    <t>1. Search for a calendar that has an official request and retrieve
2. Search for a calendar without an official request and retrieve - Last Request field from the first search remains in PB. Correct last request value - null - appears in NG</t>
  </si>
  <si>
    <t>Added as FYI in case it comes up during UAT. No Action item</t>
  </si>
  <si>
    <t>Departmental Calendar printout</t>
  </si>
  <si>
    <t>Match the report column and value alignment with the grid</t>
  </si>
  <si>
    <t>In PB window, ROC column in the departmental calendar report printout is center aligned</t>
  </si>
  <si>
    <t>10/12: Done, center aligned ROC column header</t>
  </si>
  <si>
    <t>New</t>
  </si>
  <si>
    <t>Dropdown default</t>
  </si>
  <si>
    <t>When you select from the "Court Location" dropdown the "Courtroom" default automatically changes from blank to ALL.
In PB window the "Courtroom" default remains as blank.</t>
  </si>
  <si>
    <t>Do not change the default to "ALL".  We should leave the default as blank.</t>
  </si>
  <si>
    <t>10/19: Default  in courtroom droppdown switched from "All" to blank on court location change</t>
  </si>
  <si>
    <t>Data grid - Multiple Filtering</t>
  </si>
  <si>
    <t>Filtering on data grid remains when you change the dropdown selection</t>
  </si>
  <si>
    <t xml:space="preserve">#1 - Retrieve is successful made and filtering are done on the columns in the data grid.  When you go to the top section and change your dropdown selection to something else the data gird filtering remains and is not automatically clear out.
#2 - The Offense and Adult/Juv columns are narrow and when you sort on them you will not see the circle number indicator of the sorting sequence on multiple sorting.
</t>
  </si>
  <si>
    <t>#1: Need to modify to behaves like a "refresh" and clear out the sorting for this window only
#2:  Okay to keep the columns width.  User can expands the column to see the sorting sequence numbers</t>
  </si>
  <si>
    <t>#1 - Per input from BSAs
#2 - Per input from BSAs - No action needed</t>
  </si>
  <si>
    <t>10/19: Retreive button also clears sorting.</t>
  </si>
  <si>
    <t>Major</t>
  </si>
  <si>
    <t>Column Filter</t>
  </si>
  <si>
    <t xml:space="preserve">Remove all Filter Pop-up from all the columns in the data grid
</t>
  </si>
  <si>
    <t>This Filter Pop-up is not needed for the columns in this window data grid</t>
  </si>
  <si>
    <t>10/19: No more filtering.</t>
  </si>
  <si>
    <t>ST</t>
  </si>
  <si>
    <t>https://visionngst.occourts.org/Account/login</t>
  </si>
  <si>
    <t>QA</t>
  </si>
  <si>
    <t>https://visionngqa.occourts.org/Account/login</t>
  </si>
  <si>
    <t>D2</t>
  </si>
  <si>
    <t>https://visionngpreprod.occourts.org/account/login</t>
  </si>
  <si>
    <t>#1</t>
  </si>
  <si>
    <t>F3 - Refresh is leaving the top portion and not putting back the window default</t>
  </si>
  <si>
    <t>Window default when you first open it</t>
  </si>
  <si>
    <t>#19</t>
  </si>
  <si>
    <t>NG Department print out - Name column is wrap</t>
  </si>
  <si>
    <t>Old window print out - Name column is not wrap</t>
  </si>
  <si>
    <t>Regression</t>
  </si>
  <si>
    <t>Retest In Progress</t>
  </si>
  <si>
    <t xml:space="preserve">Error popup message verbiage to be updated since Inventory is no longer part of the dropdwon selection.
New verbiage:  Courtroom Location ALL is only for Master Report
10/20:  NG Error pop up has the button label as "Ok" which is being used in other NG windows (SENT WK Maint and Priors) whereas in old window the label is in all caps as "OK".  Will leave as it.  Also, in the pop up the focus is on the "Ok" button and you are able to use "Enter" keypress to exit from the pop up if you do not wish to use the mouse to click.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</si>
</sst>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sz val="11"/>
      <color theme="6"/>
      <name val="Calibri"/>
      <family val="2"/>
    </font>
    <font>
      <sz val="11"/>
      <color rgb="FFFF0000"/>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theme="9" tint="0.79998168889431442"/>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6" fillId="0" borderId="0" xfId="1"/>
    <xf numFmtId="164" fontId="7" fillId="0" borderId="1" xfId="0" applyNumberFormat="1" applyFont="1" applyBorder="1" applyAlignment="1">
      <alignment horizontal="center" vertical="top"/>
    </xf>
    <xf numFmtId="0" fontId="7" fillId="0" borderId="1" xfId="0" applyFont="1" applyBorder="1" applyAlignment="1">
      <alignment horizontal="left" vertical="top" wrapText="1"/>
    </xf>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horizontal="center" vertical="top"/>
    </xf>
    <xf numFmtId="0" fontId="1"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0" fillId="0" borderId="0" xfId="0" applyAlignment="1">
      <alignment vertical="top" wrapText="1"/>
    </xf>
    <xf numFmtId="0" fontId="8" fillId="0" borderId="1" xfId="0" applyFont="1" applyBorder="1" applyAlignment="1">
      <alignment horizontal="left" vertical="top" wrapText="1"/>
    </xf>
    <xf numFmtId="0" fontId="3" fillId="0" borderId="1" xfId="0" applyFont="1" applyBorder="1" applyAlignment="1">
      <alignment vertical="top" wrapText="1"/>
    </xf>
    <xf numFmtId="0" fontId="1" fillId="3" borderId="1" xfId="0" applyFont="1" applyFill="1" applyBorder="1" applyAlignment="1">
      <alignment vertical="top"/>
    </xf>
    <xf numFmtId="0" fontId="1" fillId="3" borderId="1" xfId="0" applyFont="1" applyFill="1" applyBorder="1" applyAlignment="1">
      <alignment vertical="top" wrapText="1"/>
    </xf>
  </cellXfs>
  <cellStyles count="2">
    <cellStyle name="Hyperlink" xfId="1" builtinId="8"/>
    <cellStyle name="Normal" xfId="0" builtinId="0"/>
  </cellStyles>
  <dxfs count="8">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25</xdr:col>
      <xdr:colOff>335464</xdr:colOff>
      <xdr:row>16</xdr:row>
      <xdr:rowOff>105162</xdr:rowOff>
    </xdr:to>
    <xdr:pic>
      <xdr:nvPicPr>
        <xdr:cNvPr id="3" name="Picture 2">
          <a:extLst>
            <a:ext uri="{FF2B5EF4-FFF2-40B4-BE49-F238E27FC236}">
              <a16:creationId xmlns:a16="http://schemas.microsoft.com/office/drawing/2014/main" id="{70F204B4-F52F-C3E9-1BF3-E97E1AF2EAD1}"/>
            </a:ext>
          </a:extLst>
        </xdr:cNvPr>
        <xdr:cNvPicPr>
          <a:picLocks noChangeAspect="1"/>
        </xdr:cNvPicPr>
      </xdr:nvPicPr>
      <xdr:blipFill>
        <a:blip xmlns:r="http://schemas.openxmlformats.org/officeDocument/2006/relationships" r:embed="rId1"/>
        <a:stretch>
          <a:fillRect/>
        </a:stretch>
      </xdr:blipFill>
      <xdr:spPr>
        <a:xfrm>
          <a:off x="609600" y="381000"/>
          <a:ext cx="14965864" cy="2772162"/>
        </a:xfrm>
        <a:prstGeom prst="rect">
          <a:avLst/>
        </a:prstGeom>
      </xdr:spPr>
    </xdr:pic>
    <xdr:clientData/>
  </xdr:twoCellAnchor>
  <xdr:twoCellAnchor editAs="oneCell">
    <xdr:from>
      <xdr:col>26</xdr:col>
      <xdr:colOff>0</xdr:colOff>
      <xdr:row>2</xdr:row>
      <xdr:rowOff>0</xdr:rowOff>
    </xdr:from>
    <xdr:to>
      <xdr:col>49</xdr:col>
      <xdr:colOff>192484</xdr:colOff>
      <xdr:row>15</xdr:row>
      <xdr:rowOff>171820</xdr:rowOff>
    </xdr:to>
    <xdr:pic>
      <xdr:nvPicPr>
        <xdr:cNvPr id="4" name="Picture 3">
          <a:extLst>
            <a:ext uri="{FF2B5EF4-FFF2-40B4-BE49-F238E27FC236}">
              <a16:creationId xmlns:a16="http://schemas.microsoft.com/office/drawing/2014/main" id="{FFDDD4DA-370D-B32C-162E-62D7753EBDBD}"/>
            </a:ext>
          </a:extLst>
        </xdr:cNvPr>
        <xdr:cNvPicPr>
          <a:picLocks noChangeAspect="1"/>
        </xdr:cNvPicPr>
      </xdr:nvPicPr>
      <xdr:blipFill>
        <a:blip xmlns:r="http://schemas.openxmlformats.org/officeDocument/2006/relationships" r:embed="rId2"/>
        <a:stretch>
          <a:fillRect/>
        </a:stretch>
      </xdr:blipFill>
      <xdr:spPr>
        <a:xfrm>
          <a:off x="15849600" y="381000"/>
          <a:ext cx="14213284" cy="2648320"/>
        </a:xfrm>
        <a:prstGeom prst="rect">
          <a:avLst/>
        </a:prstGeom>
      </xdr:spPr>
    </xdr:pic>
    <xdr:clientData/>
  </xdr:twoCellAnchor>
  <xdr:twoCellAnchor editAs="oneCell">
    <xdr:from>
      <xdr:col>2</xdr:col>
      <xdr:colOff>0</xdr:colOff>
      <xdr:row>20</xdr:row>
      <xdr:rowOff>0</xdr:rowOff>
    </xdr:from>
    <xdr:to>
      <xdr:col>21</xdr:col>
      <xdr:colOff>49248</xdr:colOff>
      <xdr:row>65</xdr:row>
      <xdr:rowOff>153618</xdr:rowOff>
    </xdr:to>
    <xdr:pic>
      <xdr:nvPicPr>
        <xdr:cNvPr id="6" name="Picture 5">
          <a:extLst>
            <a:ext uri="{FF2B5EF4-FFF2-40B4-BE49-F238E27FC236}">
              <a16:creationId xmlns:a16="http://schemas.microsoft.com/office/drawing/2014/main" id="{536C440C-430F-CAF8-AE1D-64A99C2F4586}"/>
            </a:ext>
          </a:extLst>
        </xdr:cNvPr>
        <xdr:cNvPicPr>
          <a:picLocks noChangeAspect="1"/>
        </xdr:cNvPicPr>
      </xdr:nvPicPr>
      <xdr:blipFill>
        <a:blip xmlns:r="http://schemas.openxmlformats.org/officeDocument/2006/relationships" r:embed="rId3"/>
        <a:stretch>
          <a:fillRect/>
        </a:stretch>
      </xdr:blipFill>
      <xdr:spPr>
        <a:xfrm>
          <a:off x="1219200" y="3810000"/>
          <a:ext cx="11631648" cy="8726118"/>
        </a:xfrm>
        <a:prstGeom prst="rect">
          <a:avLst/>
        </a:prstGeom>
      </xdr:spPr>
    </xdr:pic>
    <xdr:clientData/>
  </xdr:twoCellAnchor>
  <xdr:twoCellAnchor editAs="oneCell">
    <xdr:from>
      <xdr:col>22</xdr:col>
      <xdr:colOff>0</xdr:colOff>
      <xdr:row>20</xdr:row>
      <xdr:rowOff>0</xdr:rowOff>
    </xdr:from>
    <xdr:to>
      <xdr:col>40</xdr:col>
      <xdr:colOff>563585</xdr:colOff>
      <xdr:row>67</xdr:row>
      <xdr:rowOff>10776</xdr:rowOff>
    </xdr:to>
    <xdr:pic>
      <xdr:nvPicPr>
        <xdr:cNvPr id="7" name="Picture 6">
          <a:extLst>
            <a:ext uri="{FF2B5EF4-FFF2-40B4-BE49-F238E27FC236}">
              <a16:creationId xmlns:a16="http://schemas.microsoft.com/office/drawing/2014/main" id="{367FAC3A-EB57-0436-05F8-559EE13A69F9}"/>
            </a:ext>
          </a:extLst>
        </xdr:cNvPr>
        <xdr:cNvPicPr>
          <a:picLocks noChangeAspect="1"/>
        </xdr:cNvPicPr>
      </xdr:nvPicPr>
      <xdr:blipFill>
        <a:blip xmlns:r="http://schemas.openxmlformats.org/officeDocument/2006/relationships" r:embed="rId4"/>
        <a:stretch>
          <a:fillRect/>
        </a:stretch>
      </xdr:blipFill>
      <xdr:spPr>
        <a:xfrm>
          <a:off x="13411200" y="3810000"/>
          <a:ext cx="11536385" cy="8964276"/>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47"/>
  <sheetViews>
    <sheetView tabSelected="1" zoomScale="85" zoomScaleNormal="85" workbookViewId="0">
      <pane ySplit="1" topLeftCell="A6" activePane="bottomLeft" state="frozen"/>
      <selection activeCell="E2" sqref="A2:F1048576"/>
      <selection pane="bottomLeft" activeCell="K15" sqref="K15"/>
    </sheetView>
  </sheetViews>
  <sheetFormatPr defaultRowHeight="15" x14ac:dyDescent="0.25"/>
  <cols>
    <col min="1" max="1" width="5.42578125" style="14" customWidth="1"/>
    <col min="2" max="3" width="10.7109375" style="14" customWidth="1"/>
    <col min="4" max="4" width="12.5703125" style="14" bestFit="1" customWidth="1"/>
    <col min="5" max="5" width="10.7109375" style="14" bestFit="1" customWidth="1"/>
    <col min="6" max="6" width="17" style="14" bestFit="1" customWidth="1"/>
    <col min="7" max="7" width="14" style="14" bestFit="1" customWidth="1"/>
    <col min="8" max="8" width="23" style="3" customWidth="1"/>
    <col min="9" max="9" width="41.42578125" style="14" customWidth="1"/>
    <col min="10" max="10" width="51.42578125" style="14" customWidth="1"/>
    <col min="11" max="11" width="10.7109375" style="15" customWidth="1"/>
    <col min="12" max="12" width="19.42578125" style="14" customWidth="1"/>
    <col min="13" max="13" width="80.42578125" style="3" customWidth="1"/>
    <col min="14" max="14" width="60.7109375" style="14" customWidth="1"/>
    <col min="15" max="16384" width="9.140625" style="14"/>
  </cols>
  <sheetData>
    <row r="1" spans="1:14"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row>
    <row r="2" spans="1:14" ht="75" x14ac:dyDescent="0.25">
      <c r="A2" s="7">
        <f>ROW() - 1</f>
        <v>1</v>
      </c>
      <c r="B2" s="8">
        <v>46301</v>
      </c>
      <c r="C2" s="8" t="s">
        <v>14</v>
      </c>
      <c r="D2" s="9" t="s">
        <v>15</v>
      </c>
      <c r="E2" s="9" t="s">
        <v>16</v>
      </c>
      <c r="F2" s="9" t="s">
        <v>17</v>
      </c>
      <c r="G2" s="9" t="s">
        <v>18</v>
      </c>
      <c r="H2" s="9" t="s">
        <v>19</v>
      </c>
      <c r="I2" s="9" t="s">
        <v>20</v>
      </c>
      <c r="J2" s="9" t="s">
        <v>21</v>
      </c>
      <c r="K2" s="12">
        <v>46310</v>
      </c>
      <c r="L2" s="9" t="s">
        <v>22</v>
      </c>
      <c r="M2" s="10" t="s">
        <v>23</v>
      </c>
      <c r="N2" s="23" t="s">
        <v>24</v>
      </c>
    </row>
    <row r="3" spans="1:14" ht="76.5" customHeight="1" x14ac:dyDescent="0.25">
      <c r="A3" s="7">
        <f t="shared" ref="A3:A42" si="0">ROW() - 1</f>
        <v>2</v>
      </c>
      <c r="B3" s="8">
        <v>46302</v>
      </c>
      <c r="C3" s="8" t="s">
        <v>14</v>
      </c>
      <c r="D3" s="9" t="s">
        <v>15</v>
      </c>
      <c r="E3" s="9" t="s">
        <v>16</v>
      </c>
      <c r="F3" s="9" t="s">
        <v>17</v>
      </c>
      <c r="G3" s="9" t="s">
        <v>25</v>
      </c>
      <c r="H3" s="9" t="s">
        <v>26</v>
      </c>
      <c r="I3" s="6" t="s">
        <v>27</v>
      </c>
      <c r="J3" s="9" t="s">
        <v>28</v>
      </c>
      <c r="K3" s="12">
        <v>46310</v>
      </c>
      <c r="L3" s="9" t="s">
        <v>29</v>
      </c>
      <c r="M3" s="10" t="s">
        <v>30</v>
      </c>
      <c r="N3" s="23" t="s">
        <v>31</v>
      </c>
    </row>
    <row r="4" spans="1:14" ht="150" x14ac:dyDescent="0.25">
      <c r="A4" s="7">
        <f t="shared" si="0"/>
        <v>3</v>
      </c>
      <c r="B4" s="8">
        <v>46303</v>
      </c>
      <c r="C4" s="8" t="s">
        <v>14</v>
      </c>
      <c r="D4" s="9" t="s">
        <v>32</v>
      </c>
      <c r="E4" s="9" t="s">
        <v>16</v>
      </c>
      <c r="F4" s="9" t="s">
        <v>17</v>
      </c>
      <c r="G4" s="9" t="s">
        <v>34</v>
      </c>
      <c r="H4" s="9" t="s">
        <v>35</v>
      </c>
      <c r="I4" s="9" t="s">
        <v>36</v>
      </c>
      <c r="J4" s="9" t="s">
        <v>37</v>
      </c>
      <c r="K4" s="12">
        <v>46315</v>
      </c>
      <c r="L4" s="9" t="s">
        <v>22</v>
      </c>
      <c r="M4" s="16" t="s">
        <v>103</v>
      </c>
      <c r="N4" s="23" t="s">
        <v>39</v>
      </c>
    </row>
    <row r="5" spans="1:14" ht="192" customHeight="1" x14ac:dyDescent="0.25">
      <c r="A5" s="7">
        <f t="shared" si="0"/>
        <v>4</v>
      </c>
      <c r="B5" s="8">
        <v>46303</v>
      </c>
      <c r="C5" s="8" t="s">
        <v>14</v>
      </c>
      <c r="D5" s="9" t="s">
        <v>32</v>
      </c>
      <c r="E5" s="9" t="s">
        <v>16</v>
      </c>
      <c r="F5" s="9" t="s">
        <v>17</v>
      </c>
      <c r="G5" s="9" t="s">
        <v>40</v>
      </c>
      <c r="H5" s="9" t="s">
        <v>41</v>
      </c>
      <c r="I5" s="9" t="s">
        <v>42</v>
      </c>
      <c r="J5" s="9" t="s">
        <v>43</v>
      </c>
      <c r="K5" s="12">
        <v>46316</v>
      </c>
      <c r="L5" s="9" t="s">
        <v>29</v>
      </c>
      <c r="M5" s="27" t="s">
        <v>44</v>
      </c>
      <c r="N5" s="23" t="s">
        <v>45</v>
      </c>
    </row>
    <row r="6" spans="1:14" s="2" customFormat="1" ht="242.25" customHeight="1" x14ac:dyDescent="0.25">
      <c r="A6" s="7">
        <f t="shared" si="0"/>
        <v>5</v>
      </c>
      <c r="B6" s="8">
        <v>46303</v>
      </c>
      <c r="C6" s="8" t="s">
        <v>14</v>
      </c>
      <c r="D6" s="9" t="s">
        <v>32</v>
      </c>
      <c r="E6" s="9" t="s">
        <v>16</v>
      </c>
      <c r="F6" s="9" t="s">
        <v>17</v>
      </c>
      <c r="G6" s="9" t="s">
        <v>46</v>
      </c>
      <c r="H6" s="9" t="s">
        <v>47</v>
      </c>
      <c r="I6" s="9" t="s">
        <v>48</v>
      </c>
      <c r="J6" s="9"/>
      <c r="K6" s="12">
        <v>46316</v>
      </c>
      <c r="L6" s="9" t="s">
        <v>29</v>
      </c>
      <c r="M6" s="27" t="s">
        <v>49</v>
      </c>
      <c r="N6" s="23" t="s">
        <v>50</v>
      </c>
    </row>
    <row r="7" spans="1:14" ht="59.25" customHeight="1" x14ac:dyDescent="0.25">
      <c r="A7" s="7">
        <f t="shared" si="0"/>
        <v>6</v>
      </c>
      <c r="B7" s="8">
        <v>46303</v>
      </c>
      <c r="C7" s="8" t="s">
        <v>14</v>
      </c>
      <c r="D7" s="9" t="s">
        <v>15</v>
      </c>
      <c r="E7" s="9" t="s">
        <v>16</v>
      </c>
      <c r="F7" s="9" t="s">
        <v>17</v>
      </c>
      <c r="G7" s="6" t="s">
        <v>51</v>
      </c>
      <c r="H7" s="9" t="s">
        <v>52</v>
      </c>
      <c r="I7" s="6" t="s">
        <v>53</v>
      </c>
      <c r="J7" s="6" t="s">
        <v>54</v>
      </c>
      <c r="K7" s="13">
        <v>46310</v>
      </c>
      <c r="L7" s="9" t="s">
        <v>29</v>
      </c>
      <c r="M7" s="10"/>
      <c r="N7" s="24" t="s">
        <v>55</v>
      </c>
    </row>
    <row r="8" spans="1:14" ht="70.5" customHeight="1" x14ac:dyDescent="0.25">
      <c r="A8" s="7">
        <f t="shared" si="0"/>
        <v>7</v>
      </c>
      <c r="B8" s="8">
        <v>46303</v>
      </c>
      <c r="C8" s="8" t="s">
        <v>14</v>
      </c>
      <c r="D8" s="9" t="s">
        <v>15</v>
      </c>
      <c r="E8" s="9" t="s">
        <v>16</v>
      </c>
      <c r="F8" s="9" t="s">
        <v>17</v>
      </c>
      <c r="G8" s="6" t="s">
        <v>56</v>
      </c>
      <c r="H8" s="6" t="s">
        <v>57</v>
      </c>
      <c r="I8" s="6" t="s">
        <v>58</v>
      </c>
      <c r="J8" s="6" t="s">
        <v>59</v>
      </c>
      <c r="K8" s="13">
        <v>46316</v>
      </c>
      <c r="L8" s="9" t="s">
        <v>29</v>
      </c>
      <c r="M8" s="16" t="s">
        <v>60</v>
      </c>
      <c r="N8" s="24" t="s">
        <v>61</v>
      </c>
    </row>
    <row r="9" spans="1:14" ht="75" x14ac:dyDescent="0.25">
      <c r="A9" s="7">
        <f t="shared" si="0"/>
        <v>8</v>
      </c>
      <c r="B9" s="8">
        <v>46303</v>
      </c>
      <c r="C9" s="8" t="s">
        <v>14</v>
      </c>
      <c r="D9" s="9" t="s">
        <v>32</v>
      </c>
      <c r="E9" s="9" t="s">
        <v>16</v>
      </c>
      <c r="F9" s="9" t="s">
        <v>17</v>
      </c>
      <c r="G9" s="9" t="s">
        <v>62</v>
      </c>
      <c r="H9" s="9" t="s">
        <v>63</v>
      </c>
      <c r="I9" s="6" t="s">
        <v>64</v>
      </c>
      <c r="J9" s="9"/>
      <c r="K9" s="12">
        <v>46310</v>
      </c>
      <c r="L9" s="9" t="s">
        <v>29</v>
      </c>
      <c r="M9" s="16"/>
      <c r="N9" s="23" t="s">
        <v>65</v>
      </c>
    </row>
    <row r="10" spans="1:14" ht="70.5" customHeight="1" x14ac:dyDescent="0.25">
      <c r="A10" s="7">
        <f t="shared" si="0"/>
        <v>9</v>
      </c>
      <c r="B10" s="18">
        <v>46303</v>
      </c>
      <c r="C10" s="18" t="s">
        <v>14</v>
      </c>
      <c r="D10" s="19" t="s">
        <v>32</v>
      </c>
      <c r="E10" s="19" t="s">
        <v>16</v>
      </c>
      <c r="F10" s="19" t="s">
        <v>66</v>
      </c>
      <c r="G10" s="19"/>
      <c r="H10" s="19"/>
      <c r="I10" s="19" t="s">
        <v>67</v>
      </c>
      <c r="J10" s="19" t="s">
        <v>68</v>
      </c>
      <c r="K10" s="12"/>
      <c r="L10" s="9"/>
      <c r="M10" s="10"/>
      <c r="N10" s="9"/>
    </row>
    <row r="11" spans="1:14" ht="45" x14ac:dyDescent="0.25">
      <c r="A11" s="7">
        <f t="shared" si="0"/>
        <v>10</v>
      </c>
      <c r="B11" s="8">
        <v>46303</v>
      </c>
      <c r="C11" s="8" t="s">
        <v>14</v>
      </c>
      <c r="D11" s="9" t="s">
        <v>15</v>
      </c>
      <c r="E11" s="9" t="s">
        <v>16</v>
      </c>
      <c r="F11" s="9" t="s">
        <v>17</v>
      </c>
      <c r="G11" s="9" t="s">
        <v>69</v>
      </c>
      <c r="H11" s="9" t="s">
        <v>70</v>
      </c>
      <c r="I11" s="6" t="s">
        <v>71</v>
      </c>
      <c r="J11" s="26"/>
      <c r="K11" s="12">
        <v>46310</v>
      </c>
      <c r="L11" s="9" t="s">
        <v>29</v>
      </c>
      <c r="M11" s="16"/>
      <c r="N11" s="23" t="s">
        <v>72</v>
      </c>
    </row>
    <row r="12" spans="1:14" ht="129.75" customHeight="1" x14ac:dyDescent="0.25">
      <c r="A12" s="7">
        <f t="shared" si="0"/>
        <v>11</v>
      </c>
      <c r="B12" s="8">
        <v>46310</v>
      </c>
      <c r="C12" s="8" t="s">
        <v>14</v>
      </c>
      <c r="D12" s="9" t="s">
        <v>15</v>
      </c>
      <c r="E12" s="9" t="s">
        <v>16</v>
      </c>
      <c r="F12" s="25" t="s">
        <v>17</v>
      </c>
      <c r="G12" s="11" t="s">
        <v>51</v>
      </c>
      <c r="H12" s="10" t="s">
        <v>74</v>
      </c>
      <c r="I12" s="10" t="s">
        <v>75</v>
      </c>
      <c r="J12" s="27" t="s">
        <v>76</v>
      </c>
      <c r="K12" s="8">
        <v>46316</v>
      </c>
      <c r="L12" s="9" t="s">
        <v>29</v>
      </c>
      <c r="M12" s="10"/>
      <c r="N12" s="29" t="s">
        <v>77</v>
      </c>
    </row>
    <row r="13" spans="1:14" ht="180" x14ac:dyDescent="0.25">
      <c r="A13" s="7">
        <f t="shared" si="0"/>
        <v>12</v>
      </c>
      <c r="B13" s="8">
        <v>46310</v>
      </c>
      <c r="C13" s="8" t="s">
        <v>14</v>
      </c>
      <c r="D13" s="9" t="s">
        <v>15</v>
      </c>
      <c r="E13" s="9" t="s">
        <v>16</v>
      </c>
      <c r="F13" s="25" t="s">
        <v>17</v>
      </c>
      <c r="G13" s="10" t="s">
        <v>78</v>
      </c>
      <c r="H13" s="10" t="s">
        <v>79</v>
      </c>
      <c r="I13" s="10" t="s">
        <v>80</v>
      </c>
      <c r="J13" s="27" t="s">
        <v>81</v>
      </c>
      <c r="K13" s="8">
        <v>46316</v>
      </c>
      <c r="L13" s="9" t="s">
        <v>29</v>
      </c>
      <c r="M13" s="10" t="s">
        <v>82</v>
      </c>
      <c r="N13" s="28" t="s">
        <v>83</v>
      </c>
    </row>
    <row r="14" spans="1:14" ht="60" x14ac:dyDescent="0.25">
      <c r="A14" s="7">
        <f t="shared" si="0"/>
        <v>13</v>
      </c>
      <c r="B14" s="8">
        <v>46310</v>
      </c>
      <c r="C14" s="8" t="s">
        <v>14</v>
      </c>
      <c r="D14" s="9" t="s">
        <v>15</v>
      </c>
      <c r="E14" s="9" t="s">
        <v>84</v>
      </c>
      <c r="F14" s="9" t="s">
        <v>17</v>
      </c>
      <c r="G14" s="9" t="s">
        <v>85</v>
      </c>
      <c r="H14" s="9" t="s">
        <v>86</v>
      </c>
      <c r="I14" s="6" t="s">
        <v>87</v>
      </c>
      <c r="J14" s="9"/>
      <c r="K14" s="8">
        <v>46316</v>
      </c>
      <c r="L14" s="9" t="s">
        <v>29</v>
      </c>
      <c r="M14" s="10"/>
      <c r="N14" s="23" t="s">
        <v>88</v>
      </c>
    </row>
    <row r="15" spans="1:14" x14ac:dyDescent="0.25">
      <c r="A15" s="7">
        <f t="shared" si="0"/>
        <v>14</v>
      </c>
      <c r="B15" s="8"/>
      <c r="C15" s="8"/>
      <c r="D15" s="9"/>
      <c r="E15" s="9"/>
      <c r="F15" s="9"/>
      <c r="G15" s="11"/>
      <c r="H15" s="10"/>
      <c r="I15" s="11"/>
      <c r="J15" s="11"/>
      <c r="K15" s="8"/>
      <c r="L15" s="9"/>
      <c r="M15" s="10"/>
      <c r="N15" s="11"/>
    </row>
    <row r="16" spans="1:14" x14ac:dyDescent="0.25">
      <c r="A16" s="7">
        <f t="shared" si="0"/>
        <v>15</v>
      </c>
      <c r="B16" s="8"/>
      <c r="C16" s="8"/>
      <c r="D16" s="9"/>
      <c r="E16" s="9"/>
      <c r="F16" s="9"/>
      <c r="G16" s="11"/>
      <c r="H16" s="10"/>
      <c r="I16" s="10"/>
      <c r="J16" s="11"/>
      <c r="K16" s="8"/>
      <c r="L16" s="9"/>
      <c r="M16" s="10"/>
      <c r="N16" s="11"/>
    </row>
    <row r="17" spans="1:14" x14ac:dyDescent="0.25">
      <c r="A17" s="7">
        <f t="shared" si="0"/>
        <v>16</v>
      </c>
      <c r="B17" s="8"/>
      <c r="C17" s="8"/>
      <c r="D17" s="9"/>
      <c r="E17" s="9"/>
      <c r="F17" s="9"/>
      <c r="G17" s="11"/>
      <c r="H17" s="10"/>
      <c r="I17" s="11"/>
      <c r="J17" s="11"/>
      <c r="K17" s="8"/>
      <c r="L17" s="9"/>
      <c r="M17" s="10"/>
      <c r="N17" s="11"/>
    </row>
    <row r="18" spans="1:14" x14ac:dyDescent="0.25">
      <c r="A18" s="7">
        <f t="shared" si="0"/>
        <v>17</v>
      </c>
      <c r="B18" s="8"/>
      <c r="C18" s="8"/>
      <c r="D18" s="9"/>
      <c r="E18" s="9"/>
      <c r="F18" s="9"/>
      <c r="G18" s="11"/>
      <c r="H18" s="10"/>
      <c r="I18" s="10"/>
      <c r="J18" s="10"/>
      <c r="K18" s="8"/>
      <c r="L18" s="9"/>
      <c r="M18" s="10"/>
      <c r="N18" s="10"/>
    </row>
    <row r="19" spans="1:14" x14ac:dyDescent="0.25">
      <c r="A19" s="7">
        <f t="shared" si="0"/>
        <v>18</v>
      </c>
      <c r="B19" s="8"/>
      <c r="C19" s="8"/>
      <c r="D19" s="9"/>
      <c r="E19" s="9"/>
      <c r="F19" s="9"/>
      <c r="G19" s="11"/>
      <c r="H19" s="10"/>
      <c r="I19" s="10"/>
      <c r="J19" s="11"/>
      <c r="K19" s="8"/>
      <c r="L19" s="9"/>
      <c r="M19" s="10"/>
      <c r="N19" s="11"/>
    </row>
    <row r="20" spans="1:14" x14ac:dyDescent="0.25">
      <c r="A20" s="7">
        <f t="shared" si="0"/>
        <v>19</v>
      </c>
      <c r="B20" s="8"/>
      <c r="C20" s="8"/>
      <c r="D20" s="9"/>
      <c r="E20" s="9"/>
      <c r="F20" s="9"/>
      <c r="G20" s="11"/>
      <c r="H20" s="10"/>
      <c r="I20" s="10"/>
      <c r="J20" s="10"/>
      <c r="K20" s="8"/>
      <c r="L20" s="9"/>
      <c r="M20" s="10"/>
      <c r="N20" s="10"/>
    </row>
    <row r="21" spans="1:14" x14ac:dyDescent="0.25">
      <c r="A21" s="7">
        <f t="shared" si="0"/>
        <v>20</v>
      </c>
      <c r="B21" s="8"/>
      <c r="C21" s="8"/>
      <c r="D21" s="9"/>
      <c r="E21" s="9"/>
      <c r="F21" s="9"/>
      <c r="G21" s="11"/>
      <c r="H21" s="10"/>
      <c r="I21" s="10"/>
      <c r="J21" s="10"/>
      <c r="K21" s="8"/>
      <c r="L21" s="9"/>
      <c r="M21" s="10"/>
      <c r="N21" s="10"/>
    </row>
    <row r="22" spans="1:14" x14ac:dyDescent="0.25">
      <c r="A22" s="7">
        <f t="shared" si="0"/>
        <v>21</v>
      </c>
      <c r="B22" s="8"/>
      <c r="C22" s="8"/>
      <c r="D22" s="9"/>
      <c r="E22" s="9"/>
      <c r="F22" s="9"/>
      <c r="G22" s="11"/>
      <c r="H22" s="10"/>
      <c r="I22" s="10"/>
      <c r="J22" s="11"/>
      <c r="K22" s="8"/>
      <c r="L22" s="9"/>
      <c r="M22" s="10"/>
      <c r="N22" s="11"/>
    </row>
    <row r="23" spans="1:14" x14ac:dyDescent="0.25">
      <c r="A23" s="7">
        <f t="shared" si="0"/>
        <v>22</v>
      </c>
      <c r="B23" s="8"/>
      <c r="C23" s="8"/>
      <c r="D23" s="9"/>
      <c r="E23" s="9"/>
      <c r="F23" s="9"/>
      <c r="G23" s="11"/>
      <c r="H23" s="10"/>
      <c r="I23" s="11"/>
      <c r="J23" s="11"/>
      <c r="K23" s="8"/>
      <c r="L23" s="9"/>
      <c r="M23" s="10"/>
      <c r="N23" s="11"/>
    </row>
    <row r="24" spans="1:14" x14ac:dyDescent="0.25">
      <c r="A24" s="7">
        <f t="shared" si="0"/>
        <v>23</v>
      </c>
      <c r="B24" s="11"/>
      <c r="C24" s="8"/>
      <c r="D24" s="9"/>
      <c r="E24" s="9"/>
      <c r="F24" s="9"/>
      <c r="G24" s="11"/>
      <c r="H24" s="10"/>
      <c r="I24" s="11"/>
      <c r="J24" s="11"/>
      <c r="K24" s="8"/>
      <c r="L24" s="9"/>
      <c r="M24" s="10"/>
      <c r="N24" s="11"/>
    </row>
    <row r="25" spans="1:14" x14ac:dyDescent="0.25">
      <c r="A25" s="7">
        <f t="shared" si="0"/>
        <v>24</v>
      </c>
      <c r="B25" s="11"/>
      <c r="C25" s="8"/>
      <c r="D25" s="9"/>
      <c r="E25" s="9"/>
      <c r="F25" s="9"/>
      <c r="G25" s="11"/>
      <c r="H25" s="10"/>
      <c r="I25" s="11"/>
      <c r="J25" s="11"/>
      <c r="K25" s="8"/>
      <c r="L25" s="9"/>
      <c r="M25" s="10"/>
      <c r="N25" s="11"/>
    </row>
    <row r="26" spans="1:14" x14ac:dyDescent="0.25">
      <c r="A26" s="7">
        <f t="shared" si="0"/>
        <v>25</v>
      </c>
      <c r="B26" s="11"/>
      <c r="C26" s="8"/>
      <c r="D26" s="9"/>
      <c r="E26" s="9"/>
      <c r="F26" s="9"/>
      <c r="G26" s="11"/>
      <c r="H26" s="10"/>
      <c r="I26" s="11"/>
      <c r="J26" s="11"/>
      <c r="K26" s="8"/>
      <c r="L26" s="9"/>
      <c r="M26" s="10"/>
      <c r="N26" s="11"/>
    </row>
    <row r="27" spans="1:14" x14ac:dyDescent="0.25">
      <c r="A27" s="7">
        <f t="shared" si="0"/>
        <v>26</v>
      </c>
      <c r="B27" s="11"/>
      <c r="C27" s="8"/>
      <c r="D27" s="9"/>
      <c r="E27" s="9"/>
      <c r="F27" s="9"/>
      <c r="G27" s="11"/>
      <c r="H27" s="10"/>
      <c r="I27" s="11"/>
      <c r="J27" s="11"/>
      <c r="K27" s="8"/>
      <c r="L27" s="9"/>
      <c r="M27" s="10"/>
      <c r="N27" s="11"/>
    </row>
    <row r="28" spans="1:14" x14ac:dyDescent="0.25">
      <c r="A28" s="7">
        <f t="shared" si="0"/>
        <v>27</v>
      </c>
      <c r="B28" s="11"/>
      <c r="C28" s="8"/>
      <c r="D28" s="9"/>
      <c r="E28" s="9"/>
      <c r="F28" s="9"/>
      <c r="G28" s="11"/>
      <c r="H28" s="10"/>
      <c r="I28" s="11"/>
      <c r="J28" s="11"/>
      <c r="K28" s="8"/>
      <c r="L28" s="9"/>
      <c r="M28" s="10"/>
      <c r="N28" s="11"/>
    </row>
    <row r="29" spans="1:14" x14ac:dyDescent="0.25">
      <c r="A29" s="7">
        <f t="shared" si="0"/>
        <v>28</v>
      </c>
      <c r="B29" s="11"/>
      <c r="C29" s="8"/>
      <c r="D29" s="9"/>
      <c r="E29" s="9"/>
      <c r="F29" s="9"/>
      <c r="G29" s="11"/>
      <c r="H29" s="10"/>
      <c r="I29" s="11"/>
      <c r="J29" s="11"/>
      <c r="K29" s="8"/>
      <c r="L29" s="9"/>
      <c r="M29" s="10"/>
      <c r="N29" s="11"/>
    </row>
    <row r="30" spans="1:14" x14ac:dyDescent="0.25">
      <c r="A30" s="7">
        <f t="shared" si="0"/>
        <v>29</v>
      </c>
      <c r="B30" s="11"/>
      <c r="C30" s="8"/>
      <c r="D30" s="9"/>
      <c r="E30" s="9"/>
      <c r="F30" s="9"/>
      <c r="G30" s="11"/>
      <c r="H30" s="10"/>
      <c r="I30" s="11"/>
      <c r="J30" s="11"/>
      <c r="K30" s="8"/>
      <c r="L30" s="9"/>
      <c r="M30" s="10"/>
      <c r="N30" s="11"/>
    </row>
    <row r="31" spans="1:14" x14ac:dyDescent="0.25">
      <c r="A31" s="7">
        <f t="shared" si="0"/>
        <v>30</v>
      </c>
      <c r="B31" s="11"/>
      <c r="C31" s="8"/>
      <c r="D31" s="9"/>
      <c r="E31" s="9"/>
      <c r="F31" s="9"/>
      <c r="G31" s="11"/>
      <c r="H31" s="10"/>
      <c r="I31" s="11"/>
      <c r="J31" s="11"/>
      <c r="K31" s="8"/>
      <c r="L31" s="9"/>
      <c r="M31" s="10"/>
      <c r="N31" s="11"/>
    </row>
    <row r="32" spans="1:14" x14ac:dyDescent="0.25">
      <c r="A32" s="7">
        <f t="shared" si="0"/>
        <v>31</v>
      </c>
      <c r="B32" s="11"/>
      <c r="C32" s="8"/>
      <c r="D32" s="9"/>
      <c r="E32" s="9"/>
      <c r="F32" s="9"/>
      <c r="G32" s="11"/>
      <c r="H32" s="10"/>
      <c r="I32" s="11"/>
      <c r="J32" s="11"/>
      <c r="K32" s="8"/>
      <c r="L32" s="9"/>
      <c r="M32" s="10"/>
      <c r="N32" s="11"/>
    </row>
    <row r="33" spans="1:14" x14ac:dyDescent="0.25">
      <c r="A33" s="7">
        <f t="shared" si="0"/>
        <v>32</v>
      </c>
      <c r="B33" s="11"/>
      <c r="C33" s="8"/>
      <c r="D33" s="9"/>
      <c r="E33" s="9"/>
      <c r="F33" s="9"/>
      <c r="G33" s="11"/>
      <c r="H33" s="10"/>
      <c r="I33" s="11"/>
      <c r="J33" s="11"/>
      <c r="K33" s="8"/>
      <c r="L33" s="9"/>
      <c r="M33" s="10"/>
      <c r="N33" s="11"/>
    </row>
    <row r="34" spans="1:14" x14ac:dyDescent="0.25">
      <c r="A34" s="7">
        <f t="shared" si="0"/>
        <v>33</v>
      </c>
      <c r="B34" s="11"/>
      <c r="C34" s="8"/>
      <c r="D34" s="9"/>
      <c r="E34" s="9"/>
      <c r="F34" s="9"/>
      <c r="G34" s="11"/>
      <c r="H34" s="10"/>
      <c r="I34" s="11"/>
      <c r="J34" s="11"/>
      <c r="K34" s="8"/>
      <c r="L34" s="9"/>
      <c r="M34" s="10"/>
      <c r="N34" s="11"/>
    </row>
    <row r="35" spans="1:14" x14ac:dyDescent="0.25">
      <c r="A35" s="7">
        <f t="shared" si="0"/>
        <v>34</v>
      </c>
      <c r="B35" s="11"/>
      <c r="C35" s="8"/>
      <c r="D35" s="9"/>
      <c r="E35" s="9"/>
      <c r="F35" s="9"/>
      <c r="G35" s="11"/>
      <c r="H35" s="10"/>
      <c r="I35" s="11"/>
      <c r="J35" s="11"/>
      <c r="K35" s="8"/>
      <c r="L35" s="9"/>
      <c r="M35" s="10"/>
      <c r="N35" s="11"/>
    </row>
    <row r="36" spans="1:14" x14ac:dyDescent="0.25">
      <c r="A36" s="7">
        <f t="shared" si="0"/>
        <v>35</v>
      </c>
      <c r="B36" s="11"/>
      <c r="C36" s="8"/>
      <c r="D36" s="9"/>
      <c r="E36" s="9"/>
      <c r="F36" s="9"/>
      <c r="G36" s="11"/>
      <c r="H36" s="10"/>
      <c r="I36" s="11"/>
      <c r="J36" s="11"/>
      <c r="K36" s="8"/>
      <c r="L36" s="9"/>
      <c r="M36" s="10"/>
      <c r="N36" s="11"/>
    </row>
    <row r="37" spans="1:14" x14ac:dyDescent="0.25">
      <c r="A37" s="7">
        <f t="shared" si="0"/>
        <v>36</v>
      </c>
      <c r="B37" s="11"/>
      <c r="C37" s="8"/>
      <c r="D37" s="9"/>
      <c r="E37" s="9"/>
      <c r="F37" s="9"/>
      <c r="G37" s="11"/>
      <c r="H37" s="10"/>
      <c r="I37" s="11"/>
      <c r="J37" s="11"/>
      <c r="K37" s="8"/>
      <c r="L37" s="9"/>
      <c r="M37" s="10"/>
      <c r="N37" s="11"/>
    </row>
    <row r="38" spans="1:14" x14ac:dyDescent="0.25">
      <c r="A38" s="7">
        <f t="shared" si="0"/>
        <v>37</v>
      </c>
      <c r="B38" s="11"/>
      <c r="C38" s="8"/>
      <c r="D38" s="9"/>
      <c r="E38" s="9"/>
      <c r="F38" s="9"/>
      <c r="G38" s="11"/>
      <c r="H38" s="10"/>
      <c r="I38" s="11"/>
      <c r="J38" s="11"/>
      <c r="K38" s="8"/>
      <c r="L38" s="9"/>
      <c r="M38" s="10"/>
      <c r="N38" s="11"/>
    </row>
    <row r="39" spans="1:14" x14ac:dyDescent="0.25">
      <c r="A39" s="7">
        <f t="shared" si="0"/>
        <v>38</v>
      </c>
      <c r="B39" s="11"/>
      <c r="C39" s="8"/>
      <c r="D39" s="9"/>
      <c r="E39" s="9"/>
      <c r="F39" s="9"/>
      <c r="G39" s="11"/>
      <c r="H39" s="10"/>
      <c r="I39" s="11"/>
      <c r="J39" s="11"/>
      <c r="K39" s="8"/>
      <c r="L39" s="9"/>
      <c r="M39" s="10"/>
      <c r="N39" s="11"/>
    </row>
    <row r="40" spans="1:14" x14ac:dyDescent="0.25">
      <c r="A40" s="7">
        <f t="shared" si="0"/>
        <v>39</v>
      </c>
      <c r="B40" s="11"/>
      <c r="C40" s="8"/>
      <c r="D40" s="9"/>
      <c r="E40" s="9"/>
      <c r="F40" s="9"/>
      <c r="G40" s="11"/>
      <c r="H40" s="10"/>
      <c r="I40" s="11"/>
      <c r="J40" s="11"/>
      <c r="K40" s="8"/>
      <c r="L40" s="9"/>
      <c r="M40" s="10"/>
      <c r="N40" s="11"/>
    </row>
    <row r="41" spans="1:14" x14ac:dyDescent="0.25">
      <c r="A41" s="7">
        <f t="shared" si="0"/>
        <v>40</v>
      </c>
      <c r="B41" s="11"/>
      <c r="C41" s="8"/>
      <c r="D41" s="9"/>
      <c r="E41" s="9"/>
      <c r="F41" s="9"/>
      <c r="G41" s="11"/>
      <c r="H41" s="10"/>
      <c r="I41" s="11"/>
      <c r="J41" s="11"/>
      <c r="K41" s="8"/>
      <c r="L41" s="9"/>
      <c r="M41" s="10"/>
      <c r="N41" s="11"/>
    </row>
    <row r="42" spans="1:14" x14ac:dyDescent="0.25">
      <c r="A42" s="7">
        <f t="shared" si="0"/>
        <v>41</v>
      </c>
      <c r="B42" s="11"/>
      <c r="C42" s="8"/>
      <c r="D42" s="9"/>
      <c r="E42" s="9"/>
      <c r="F42" s="9"/>
      <c r="G42" s="11"/>
      <c r="H42" s="10"/>
      <c r="I42" s="11"/>
      <c r="J42" s="11"/>
      <c r="K42" s="8"/>
      <c r="L42" s="9"/>
      <c r="M42" s="10"/>
      <c r="N42" s="11"/>
    </row>
    <row r="43" spans="1:14" x14ac:dyDescent="0.25">
      <c r="A43" s="20"/>
      <c r="B43" s="20"/>
      <c r="C43" s="20"/>
      <c r="D43" s="20"/>
      <c r="E43" s="20"/>
      <c r="F43" s="20"/>
      <c r="G43" s="20"/>
      <c r="H43" s="21"/>
      <c r="I43" s="20"/>
      <c r="J43" s="20"/>
      <c r="K43" s="22"/>
      <c r="L43" s="20"/>
      <c r="M43" s="21"/>
      <c r="N43" s="20"/>
    </row>
    <row r="44" spans="1:14" x14ac:dyDescent="0.25">
      <c r="A44" s="20"/>
      <c r="B44" s="20"/>
      <c r="C44" s="20"/>
      <c r="D44" s="20"/>
      <c r="E44" s="20"/>
      <c r="F44" s="20"/>
      <c r="G44" s="20"/>
      <c r="H44" s="21"/>
      <c r="I44" s="20"/>
      <c r="J44" s="20"/>
      <c r="K44" s="22"/>
      <c r="L44" s="20"/>
      <c r="M44" s="21"/>
      <c r="N44" s="20"/>
    </row>
    <row r="45" spans="1:14" x14ac:dyDescent="0.25">
      <c r="A45" s="20"/>
      <c r="B45" s="20"/>
      <c r="C45" s="20"/>
      <c r="D45" s="20"/>
      <c r="E45" s="20"/>
      <c r="F45" s="20"/>
      <c r="G45" s="20"/>
      <c r="H45" s="21"/>
      <c r="I45" s="20"/>
      <c r="J45" s="20"/>
      <c r="K45" s="22"/>
      <c r="L45" s="20"/>
      <c r="M45" s="21"/>
      <c r="N45" s="20"/>
    </row>
    <row r="46" spans="1:14" x14ac:dyDescent="0.25">
      <c r="A46" s="20"/>
      <c r="B46" s="20"/>
      <c r="C46" s="20"/>
      <c r="D46" s="20"/>
      <c r="E46" s="20"/>
      <c r="F46" s="20"/>
      <c r="G46" s="20"/>
      <c r="H46" s="21"/>
      <c r="I46" s="20"/>
      <c r="J46" s="20"/>
      <c r="K46" s="22"/>
      <c r="L46" s="20"/>
      <c r="M46" s="21"/>
      <c r="N46" s="20"/>
    </row>
    <row r="47" spans="1:14" x14ac:dyDescent="0.25">
      <c r="A47" s="20"/>
      <c r="B47" s="20"/>
      <c r="C47" s="20"/>
      <c r="D47" s="20"/>
      <c r="E47" s="20"/>
      <c r="F47" s="20"/>
      <c r="G47" s="20"/>
      <c r="H47" s="21"/>
      <c r="I47" s="20"/>
      <c r="J47" s="20"/>
      <c r="K47" s="22"/>
      <c r="L47" s="20"/>
      <c r="M47" s="21"/>
      <c r="N47" s="20"/>
    </row>
  </sheetData>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0" operator="containsText" text="Pass with Comments">
      <formula>NOT(ISERROR(SEARCH("Pass with Comments",L2)))</formula>
    </cfRule>
    <cfRule type="containsText" dxfId="1" priority="11" operator="containsText" text="Fail">
      <formula>NOT(ISERROR(SEARCH("Fail",L2)))</formula>
    </cfRule>
    <cfRule type="containsText" dxfId="0" priority="12" operator="containsText" text="Pass">
      <formula>NOT(ISERROR(SEARCH("Pass",L2)))</formula>
    </cfRule>
  </conditionalFormatting>
  <dataValidations count="1">
    <dataValidation type="list" allowBlank="1" showInputMessage="1" showErrorMessage="1" sqref="C2:C42"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13D3BE25-BF98-4733-B1E7-AA4DB88ADC41}">
          <x14:formula1>
            <xm:f>Sheet2!$C$2:$C$6</xm:f>
          </x14:formula1>
          <xm:sqref>F2:F1048576</xm:sqref>
        </x14:dataValidation>
        <x14:dataValidation type="list" allowBlank="1" showInputMessage="1" showErrorMessage="1" xr:uid="{A20A9F25-0DE4-45B6-B5B3-B6F8EA25DBA6}">
          <x14:formula1>
            <xm:f>Sheet2!$A$1:$A$3</xm:f>
          </x14:formula1>
          <xm:sqref>L2:L42</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2" sqref="B2"/>
    </sheetView>
  </sheetViews>
  <sheetFormatPr defaultRowHeight="15" x14ac:dyDescent="0.25"/>
  <cols>
    <col min="2" max="2" width="52.7109375" customWidth="1"/>
  </cols>
  <sheetData>
    <row r="1" spans="1:2" x14ac:dyDescent="0.25">
      <c r="A1" t="s">
        <v>89</v>
      </c>
      <c r="B1" s="17" t="s">
        <v>90</v>
      </c>
    </row>
    <row r="2" spans="1:2" x14ac:dyDescent="0.25">
      <c r="A2" t="s">
        <v>91</v>
      </c>
      <c r="B2" s="17" t="s">
        <v>92</v>
      </c>
    </row>
    <row r="3" spans="1:2" x14ac:dyDescent="0.25">
      <c r="A3" t="s">
        <v>93</v>
      </c>
      <c r="B3" s="17" t="s">
        <v>94</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D2CA-4635-469C-B435-50AE81E7B2AA}">
  <dimension ref="A1:AA20"/>
  <sheetViews>
    <sheetView zoomScale="70" zoomScaleNormal="70" workbookViewId="0">
      <selection activeCell="C69" sqref="C69"/>
    </sheetView>
  </sheetViews>
  <sheetFormatPr defaultRowHeight="15" x14ac:dyDescent="0.25"/>
  <sheetData>
    <row r="1" spans="1:27" x14ac:dyDescent="0.25">
      <c r="A1" t="s">
        <v>95</v>
      </c>
      <c r="B1" t="s">
        <v>96</v>
      </c>
      <c r="AA1" t="s">
        <v>97</v>
      </c>
    </row>
    <row r="20" spans="1:23" x14ac:dyDescent="0.25">
      <c r="A20" t="s">
        <v>98</v>
      </c>
      <c r="B20" t="s">
        <v>99</v>
      </c>
      <c r="W20" t="s">
        <v>100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29</v>
      </c>
      <c r="F1" t="s">
        <v>101</v>
      </c>
      <c r="H1" t="s">
        <v>32</v>
      </c>
    </row>
    <row r="2" spans="1:8" x14ac:dyDescent="0.25">
      <c r="A2" t="s">
        <v>38</v>
      </c>
      <c r="C2" t="s">
        <v>102</v>
      </c>
      <c r="F2" t="s">
        <v>84</v>
      </c>
      <c r="H2" t="s">
        <v>15</v>
      </c>
    </row>
    <row r="3" spans="1:8" x14ac:dyDescent="0.25">
      <c r="A3" t="s">
        <v>22</v>
      </c>
      <c r="C3" t="s">
        <v>33</v>
      </c>
      <c r="F3" t="s">
        <v>16</v>
      </c>
    </row>
    <row r="4" spans="1:8" x14ac:dyDescent="0.25">
      <c r="C4" t="s">
        <v>17</v>
      </c>
    </row>
    <row r="5" spans="1:8" x14ac:dyDescent="0.25">
      <c r="C5" t="s">
        <v>73</v>
      </c>
    </row>
    <row r="6" spans="1:8" x14ac:dyDescent="0.25">
      <c r="C6" t="s">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704EED5A-6E5F-40C5-9AEF-0B62B473C06D}">
  <ds:schemaRefs>
    <ds:schemaRef ds:uri="http://www.w3.org/XML/1998/namespace"/>
    <ds:schemaRef ds:uri="3d05c41d-42c7-4345-8236-8005f0c89855"/>
    <ds:schemaRef ds:uri="http://schemas.microsoft.com/office/2006/documentManagement/types"/>
    <ds:schemaRef ds:uri="http://schemas.microsoft.com/office/2006/metadata/properties"/>
    <ds:schemaRef ds:uri="http://purl.org/dc/terms/"/>
    <ds:schemaRef ds:uri="http://purl.org/dc/elements/1.1/"/>
    <ds:schemaRef ds:uri="http://schemas.openxmlformats.org/package/2006/metadata/core-properties"/>
    <ds:schemaRef ds:uri="http://schemas.microsoft.com/office/infopath/2007/PartnerControls"/>
    <ds:schemaRef ds:uri="29065daa-3ce8-4783-94b0-fa366394ba5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DEFECTS</vt:lpstr>
      <vt:lpstr>NG Links</vt:lpstr>
      <vt:lpstr>Screen View of Defects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Cung Le</cp:lastModifiedBy>
  <cp:revision/>
  <dcterms:created xsi:type="dcterms:W3CDTF">2025-10-01T18:45:47Z</dcterms:created>
  <dcterms:modified xsi:type="dcterms:W3CDTF">2026-10-21T18:33:21Z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